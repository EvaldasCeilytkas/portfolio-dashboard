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Investavimas 2026.08.08\Afranga\"/>
    </mc:Choice>
  </mc:AlternateContent>
  <xr:revisionPtr revIDLastSave="0" documentId="13_ncr:1_{E0E0F65D-053A-49A5-8F3E-C5B0D97458F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verview" sheetId="1" r:id="rId1"/>
    <sheet name="Pinigai" sheetId="15" r:id="rId2"/>
    <sheet name="10001457" sheetId="37" r:id="rId3"/>
    <sheet name="10001352" sheetId="36" r:id="rId4"/>
    <sheet name="10001244" sheetId="35" r:id="rId5"/>
    <sheet name="10000722" sheetId="34" r:id="rId6"/>
    <sheet name="10000591" sheetId="33" r:id="rId7"/>
    <sheet name="10000437" sheetId="32" r:id="rId8"/>
    <sheet name="10000288" sheetId="31" r:id="rId9"/>
    <sheet name="10000263" sheetId="30" r:id="rId10"/>
    <sheet name="10000212" sheetId="29" r:id="rId11"/>
    <sheet name="10000170" sheetId="28" r:id="rId12"/>
    <sheet name="10000158" sheetId="27" r:id="rId13"/>
    <sheet name="10000160" sheetId="26" r:id="rId14"/>
    <sheet name="10000159" sheetId="24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5" i="1" l="1"/>
  <c r="N15" i="1"/>
  <c r="M15" i="1"/>
  <c r="J15" i="1"/>
  <c r="I15" i="1"/>
  <c r="H15" i="1"/>
  <c r="G15" i="1"/>
  <c r="F15" i="1"/>
  <c r="E15" i="1"/>
  <c r="D15" i="1"/>
  <c r="C15" i="1"/>
  <c r="B15" i="1"/>
  <c r="I53" i="37"/>
  <c r="M3" i="37" s="1"/>
  <c r="H53" i="37"/>
  <c r="G53" i="37"/>
  <c r="Y52" i="37"/>
  <c r="X52" i="37"/>
  <c r="F52" i="37"/>
  <c r="Y51" i="37"/>
  <c r="X51" i="37"/>
  <c r="F51" i="37"/>
  <c r="Y50" i="37"/>
  <c r="X50" i="37"/>
  <c r="F50" i="37"/>
  <c r="Y49" i="37"/>
  <c r="X49" i="37"/>
  <c r="F49" i="37"/>
  <c r="Y48" i="37"/>
  <c r="X48" i="37"/>
  <c r="F48" i="37"/>
  <c r="Y47" i="37"/>
  <c r="X47" i="37"/>
  <c r="F47" i="37"/>
  <c r="Y46" i="37"/>
  <c r="X46" i="37"/>
  <c r="F46" i="37"/>
  <c r="Y45" i="37"/>
  <c r="X45" i="37"/>
  <c r="F45" i="37"/>
  <c r="Y44" i="37"/>
  <c r="X44" i="37"/>
  <c r="F44" i="37"/>
  <c r="Y43" i="37"/>
  <c r="X43" i="37"/>
  <c r="F43" i="37"/>
  <c r="Y42" i="37"/>
  <c r="X42" i="37"/>
  <c r="F42" i="37"/>
  <c r="Y41" i="37"/>
  <c r="X41" i="37"/>
  <c r="F41" i="37"/>
  <c r="Y40" i="37"/>
  <c r="X40" i="37"/>
  <c r="F40" i="37"/>
  <c r="Y39" i="37"/>
  <c r="X39" i="37"/>
  <c r="F39" i="37"/>
  <c r="Y38" i="37"/>
  <c r="X38" i="37"/>
  <c r="F38" i="37"/>
  <c r="Y37" i="37"/>
  <c r="X37" i="37"/>
  <c r="F37" i="37"/>
  <c r="Y36" i="37"/>
  <c r="X36" i="37"/>
  <c r="F36" i="37"/>
  <c r="Y35" i="37"/>
  <c r="X35" i="37"/>
  <c r="F35" i="37"/>
  <c r="Y34" i="37"/>
  <c r="X34" i="37"/>
  <c r="F34" i="37"/>
  <c r="Y33" i="37"/>
  <c r="X33" i="37"/>
  <c r="F33" i="37"/>
  <c r="Y32" i="37"/>
  <c r="X32" i="37"/>
  <c r="F32" i="37"/>
  <c r="Y31" i="37"/>
  <c r="X31" i="37"/>
  <c r="F31" i="37"/>
  <c r="Y30" i="37"/>
  <c r="X30" i="37"/>
  <c r="F30" i="37"/>
  <c r="Y29" i="37"/>
  <c r="X29" i="37"/>
  <c r="F29" i="37"/>
  <c r="Y28" i="37"/>
  <c r="X28" i="37"/>
  <c r="F28" i="37"/>
  <c r="Y27" i="37"/>
  <c r="X27" i="37"/>
  <c r="F27" i="37"/>
  <c r="Y26" i="37"/>
  <c r="X26" i="37"/>
  <c r="F26" i="37"/>
  <c r="Y25" i="37"/>
  <c r="X25" i="37"/>
  <c r="F25" i="37"/>
  <c r="Y24" i="37"/>
  <c r="X24" i="37"/>
  <c r="F24" i="37"/>
  <c r="Y23" i="37"/>
  <c r="X23" i="37"/>
  <c r="F23" i="37"/>
  <c r="Y22" i="37"/>
  <c r="X22" i="37"/>
  <c r="F22" i="37"/>
  <c r="Y21" i="37"/>
  <c r="X21" i="37"/>
  <c r="F21" i="37"/>
  <c r="Y20" i="37"/>
  <c r="X20" i="37"/>
  <c r="F20" i="37"/>
  <c r="Y19" i="37"/>
  <c r="X19" i="37"/>
  <c r="F19" i="37"/>
  <c r="Y18" i="37"/>
  <c r="X18" i="37"/>
  <c r="F18" i="37"/>
  <c r="Y17" i="37"/>
  <c r="X17" i="37"/>
  <c r="F17" i="37"/>
  <c r="Y16" i="37"/>
  <c r="X16" i="37"/>
  <c r="F16" i="37"/>
  <c r="Y15" i="37"/>
  <c r="X15" i="37"/>
  <c r="F15" i="37"/>
  <c r="Y14" i="37"/>
  <c r="X14" i="37"/>
  <c r="F14" i="37"/>
  <c r="Y13" i="37"/>
  <c r="X13" i="37"/>
  <c r="F13" i="37"/>
  <c r="Y12" i="37"/>
  <c r="X12" i="37"/>
  <c r="F12" i="37"/>
  <c r="Y11" i="37"/>
  <c r="X11" i="37"/>
  <c r="F11" i="37"/>
  <c r="Y10" i="37"/>
  <c r="X10" i="37"/>
  <c r="F10" i="37"/>
  <c r="Y9" i="37"/>
  <c r="X9" i="37"/>
  <c r="F9" i="37"/>
  <c r="Y8" i="37"/>
  <c r="X8" i="37"/>
  <c r="F8" i="37"/>
  <c r="B8" i="37"/>
  <c r="Y7" i="37"/>
  <c r="X7" i="37"/>
  <c r="F7" i="37"/>
  <c r="Y6" i="37"/>
  <c r="X6" i="37"/>
  <c r="F6" i="37"/>
  <c r="Y5" i="37"/>
  <c r="X5" i="37"/>
  <c r="F5" i="37"/>
  <c r="Y4" i="37"/>
  <c r="X4" i="37"/>
  <c r="Z3" i="37"/>
  <c r="P3" i="37" s="1"/>
  <c r="L15" i="1" s="1"/>
  <c r="Y3" i="37"/>
  <c r="X3" i="37"/>
  <c r="N3" i="37"/>
  <c r="L3" i="37"/>
  <c r="K3" i="37"/>
  <c r="O3" i="37" s="1"/>
  <c r="F3" i="37"/>
  <c r="F7" i="32"/>
  <c r="F10" i="29"/>
  <c r="I14" i="1"/>
  <c r="H14" i="1"/>
  <c r="G14" i="1"/>
  <c r="F14" i="1"/>
  <c r="E14" i="1"/>
  <c r="D14" i="1"/>
  <c r="C14" i="1"/>
  <c r="B14" i="1"/>
  <c r="I53" i="36"/>
  <c r="M3" i="36" s="1"/>
  <c r="O14" i="1" s="1"/>
  <c r="H53" i="36"/>
  <c r="L3" i="36" s="1"/>
  <c r="N14" i="1" s="1"/>
  <c r="G53" i="36"/>
  <c r="K3" i="36" s="1"/>
  <c r="M14" i="1" s="1"/>
  <c r="Y52" i="36"/>
  <c r="X52" i="36"/>
  <c r="F52" i="36"/>
  <c r="Y51" i="36"/>
  <c r="X51" i="36"/>
  <c r="F51" i="36"/>
  <c r="Y50" i="36"/>
  <c r="X50" i="36"/>
  <c r="F50" i="36"/>
  <c r="Y49" i="36"/>
  <c r="X49" i="36"/>
  <c r="F49" i="36"/>
  <c r="Y48" i="36"/>
  <c r="X48" i="36"/>
  <c r="F48" i="36"/>
  <c r="Y47" i="36"/>
  <c r="X47" i="36"/>
  <c r="F47" i="36"/>
  <c r="Y46" i="36"/>
  <c r="X46" i="36"/>
  <c r="F46" i="36"/>
  <c r="Y45" i="36"/>
  <c r="X45" i="36"/>
  <c r="F45" i="36"/>
  <c r="Y44" i="36"/>
  <c r="X44" i="36"/>
  <c r="F44" i="36"/>
  <c r="Y43" i="36"/>
  <c r="X43" i="36"/>
  <c r="F43" i="36"/>
  <c r="Y42" i="36"/>
  <c r="X42" i="36"/>
  <c r="F42" i="36"/>
  <c r="Y41" i="36"/>
  <c r="X41" i="36"/>
  <c r="F41" i="36"/>
  <c r="Y40" i="36"/>
  <c r="X40" i="36"/>
  <c r="F40" i="36"/>
  <c r="Y39" i="36"/>
  <c r="X39" i="36"/>
  <c r="F39" i="36"/>
  <c r="Y38" i="36"/>
  <c r="X38" i="36"/>
  <c r="F38" i="36"/>
  <c r="Y37" i="36"/>
  <c r="X37" i="36"/>
  <c r="F37" i="36"/>
  <c r="Y36" i="36"/>
  <c r="X36" i="36"/>
  <c r="F36" i="36"/>
  <c r="Y35" i="36"/>
  <c r="X35" i="36"/>
  <c r="F35" i="36"/>
  <c r="Y34" i="36"/>
  <c r="X34" i="36"/>
  <c r="F34" i="36"/>
  <c r="Y33" i="36"/>
  <c r="X33" i="36"/>
  <c r="F33" i="36"/>
  <c r="Y32" i="36"/>
  <c r="X32" i="36"/>
  <c r="F32" i="36"/>
  <c r="Y31" i="36"/>
  <c r="X31" i="36"/>
  <c r="F31" i="36"/>
  <c r="Y30" i="36"/>
  <c r="X30" i="36"/>
  <c r="F30" i="36"/>
  <c r="Y29" i="36"/>
  <c r="X29" i="36"/>
  <c r="F29" i="36"/>
  <c r="Y28" i="36"/>
  <c r="X28" i="36"/>
  <c r="F28" i="36"/>
  <c r="Y27" i="36"/>
  <c r="X27" i="36"/>
  <c r="F27" i="36"/>
  <c r="Y26" i="36"/>
  <c r="X26" i="36"/>
  <c r="F26" i="36"/>
  <c r="Y25" i="36"/>
  <c r="X25" i="36"/>
  <c r="F25" i="36"/>
  <c r="Y24" i="36"/>
  <c r="X24" i="36"/>
  <c r="F24" i="36"/>
  <c r="Y23" i="36"/>
  <c r="X23" i="36"/>
  <c r="F23" i="36"/>
  <c r="Y22" i="36"/>
  <c r="X22" i="36"/>
  <c r="F22" i="36"/>
  <c r="Y21" i="36"/>
  <c r="X21" i="36"/>
  <c r="F21" i="36"/>
  <c r="Y20" i="36"/>
  <c r="X20" i="36"/>
  <c r="F20" i="36"/>
  <c r="Y19" i="36"/>
  <c r="X19" i="36"/>
  <c r="F19" i="36"/>
  <c r="Y18" i="36"/>
  <c r="X18" i="36"/>
  <c r="F18" i="36"/>
  <c r="Y17" i="36"/>
  <c r="X17" i="36"/>
  <c r="F17" i="36"/>
  <c r="Y16" i="36"/>
  <c r="X16" i="36"/>
  <c r="F16" i="36"/>
  <c r="Y15" i="36"/>
  <c r="X15" i="36"/>
  <c r="F15" i="36"/>
  <c r="Y14" i="36"/>
  <c r="X14" i="36"/>
  <c r="F14" i="36"/>
  <c r="Y13" i="36"/>
  <c r="X13" i="36"/>
  <c r="F13" i="36"/>
  <c r="Y12" i="36"/>
  <c r="X12" i="36"/>
  <c r="F12" i="36"/>
  <c r="Y11" i="36"/>
  <c r="X11" i="36"/>
  <c r="F11" i="36"/>
  <c r="Y10" i="36"/>
  <c r="X10" i="36"/>
  <c r="F10" i="36"/>
  <c r="Y9" i="36"/>
  <c r="X9" i="36"/>
  <c r="F9" i="36"/>
  <c r="Y8" i="36"/>
  <c r="X8" i="36"/>
  <c r="F8" i="36"/>
  <c r="B8" i="36"/>
  <c r="Y7" i="36"/>
  <c r="X7" i="36"/>
  <c r="F7" i="36"/>
  <c r="Y6" i="36"/>
  <c r="X6" i="36"/>
  <c r="F6" i="36"/>
  <c r="Y5" i="36"/>
  <c r="X5" i="36"/>
  <c r="F5" i="36"/>
  <c r="Y4" i="36"/>
  <c r="X4" i="36"/>
  <c r="Y3" i="36"/>
  <c r="X3" i="36"/>
  <c r="F3" i="36"/>
  <c r="F4" i="34"/>
  <c r="F5" i="34"/>
  <c r="F6" i="34"/>
  <c r="F7" i="34"/>
  <c r="F8" i="34"/>
  <c r="F9" i="34"/>
  <c r="F10" i="34"/>
  <c r="AC15" i="1" l="1"/>
  <c r="Q3" i="37"/>
  <c r="B12" i="37"/>
  <c r="K15" i="1" s="1"/>
  <c r="O3" i="36"/>
  <c r="J14" i="1" s="1"/>
  <c r="Z3" i="36"/>
  <c r="B12" i="36"/>
  <c r="N3" i="36"/>
  <c r="Q3" i="36"/>
  <c r="N13" i="1"/>
  <c r="I13" i="1"/>
  <c r="H13" i="1"/>
  <c r="G13" i="1"/>
  <c r="F13" i="1"/>
  <c r="E13" i="1"/>
  <c r="D13" i="1"/>
  <c r="C13" i="1"/>
  <c r="B13" i="1"/>
  <c r="I53" i="35"/>
  <c r="M3" i="35" s="1"/>
  <c r="O13" i="1" s="1"/>
  <c r="H53" i="35"/>
  <c r="L3" i="35" s="1"/>
  <c r="G53" i="35"/>
  <c r="K3" i="35" s="1"/>
  <c r="Y52" i="35"/>
  <c r="X52" i="35"/>
  <c r="F52" i="35"/>
  <c r="Y51" i="35"/>
  <c r="X51" i="35"/>
  <c r="F51" i="35"/>
  <c r="Y50" i="35"/>
  <c r="X50" i="35"/>
  <c r="F50" i="35"/>
  <c r="Y49" i="35"/>
  <c r="X49" i="35"/>
  <c r="F49" i="35"/>
  <c r="Y48" i="35"/>
  <c r="X48" i="35"/>
  <c r="F48" i="35"/>
  <c r="Y47" i="35"/>
  <c r="X47" i="35"/>
  <c r="F47" i="35"/>
  <c r="Y46" i="35"/>
  <c r="X46" i="35"/>
  <c r="F46" i="35"/>
  <c r="Y45" i="35"/>
  <c r="X45" i="35"/>
  <c r="F45" i="35"/>
  <c r="Y44" i="35"/>
  <c r="X44" i="35"/>
  <c r="F44" i="35"/>
  <c r="Y43" i="35"/>
  <c r="X43" i="35"/>
  <c r="F43" i="35"/>
  <c r="Y42" i="35"/>
  <c r="X42" i="35"/>
  <c r="F42" i="35"/>
  <c r="Y41" i="35"/>
  <c r="X41" i="35"/>
  <c r="F41" i="35"/>
  <c r="Y40" i="35"/>
  <c r="X40" i="35"/>
  <c r="F40" i="35"/>
  <c r="Y39" i="35"/>
  <c r="X39" i="35"/>
  <c r="F39" i="35"/>
  <c r="Y38" i="35"/>
  <c r="X38" i="35"/>
  <c r="F38" i="35"/>
  <c r="Y37" i="35"/>
  <c r="X37" i="35"/>
  <c r="F37" i="35"/>
  <c r="Y36" i="35"/>
  <c r="X36" i="35"/>
  <c r="F36" i="35"/>
  <c r="Y35" i="35"/>
  <c r="X35" i="35"/>
  <c r="F35" i="35"/>
  <c r="Y34" i="35"/>
  <c r="X34" i="35"/>
  <c r="F34" i="35"/>
  <c r="Y33" i="35"/>
  <c r="X33" i="35"/>
  <c r="F33" i="35"/>
  <c r="Y32" i="35"/>
  <c r="X32" i="35"/>
  <c r="F32" i="35"/>
  <c r="Y31" i="35"/>
  <c r="X31" i="35"/>
  <c r="F31" i="35"/>
  <c r="Y30" i="35"/>
  <c r="X30" i="35"/>
  <c r="F30" i="35"/>
  <c r="Y29" i="35"/>
  <c r="X29" i="35"/>
  <c r="F29" i="35"/>
  <c r="Y28" i="35"/>
  <c r="X28" i="35"/>
  <c r="F28" i="35"/>
  <c r="Y27" i="35"/>
  <c r="X27" i="35"/>
  <c r="F27" i="35"/>
  <c r="Y26" i="35"/>
  <c r="X26" i="35"/>
  <c r="F26" i="35"/>
  <c r="Y25" i="35"/>
  <c r="X25" i="35"/>
  <c r="F25" i="35"/>
  <c r="Y24" i="35"/>
  <c r="X24" i="35"/>
  <c r="F24" i="35"/>
  <c r="Y23" i="35"/>
  <c r="X23" i="35"/>
  <c r="F23" i="35"/>
  <c r="Y22" i="35"/>
  <c r="X22" i="35"/>
  <c r="F22" i="35"/>
  <c r="Y21" i="35"/>
  <c r="X21" i="35"/>
  <c r="F21" i="35"/>
  <c r="Y20" i="35"/>
  <c r="X20" i="35"/>
  <c r="F20" i="35"/>
  <c r="Y19" i="35"/>
  <c r="X19" i="35"/>
  <c r="F19" i="35"/>
  <c r="Y18" i="35"/>
  <c r="X18" i="35"/>
  <c r="F18" i="35"/>
  <c r="Y17" i="35"/>
  <c r="X17" i="35"/>
  <c r="F17" i="35"/>
  <c r="Y16" i="35"/>
  <c r="X16" i="35"/>
  <c r="F16" i="35"/>
  <c r="Y15" i="35"/>
  <c r="X15" i="35"/>
  <c r="F15" i="35"/>
  <c r="Y14" i="35"/>
  <c r="X14" i="35"/>
  <c r="F14" i="35"/>
  <c r="Y13" i="35"/>
  <c r="X13" i="35"/>
  <c r="F13" i="35"/>
  <c r="Y12" i="35"/>
  <c r="X12" i="35"/>
  <c r="F12" i="35"/>
  <c r="Y11" i="35"/>
  <c r="X11" i="35"/>
  <c r="F11" i="35"/>
  <c r="Y10" i="35"/>
  <c r="X10" i="35"/>
  <c r="F10" i="35"/>
  <c r="Y9" i="35"/>
  <c r="X9" i="35"/>
  <c r="F9" i="35"/>
  <c r="Y8" i="35"/>
  <c r="X8" i="35"/>
  <c r="F8" i="35"/>
  <c r="B8" i="35"/>
  <c r="Y7" i="35"/>
  <c r="X7" i="35"/>
  <c r="F7" i="35"/>
  <c r="Y6" i="35"/>
  <c r="X6" i="35"/>
  <c r="F6" i="35"/>
  <c r="Y5" i="35"/>
  <c r="X5" i="35"/>
  <c r="F5" i="35"/>
  <c r="Y4" i="35"/>
  <c r="X4" i="35"/>
  <c r="Y3" i="35"/>
  <c r="X3" i="35"/>
  <c r="F3" i="35"/>
  <c r="K14" i="1" l="1"/>
  <c r="N3" i="35"/>
  <c r="M13" i="1"/>
  <c r="Z3" i="35"/>
  <c r="P3" i="35" s="1"/>
  <c r="L13" i="1" s="1"/>
  <c r="O3" i="35"/>
  <c r="J13" i="1" s="1"/>
  <c r="B12" i="35"/>
  <c r="K13" i="1" s="1"/>
  <c r="Q3" i="35"/>
  <c r="P3" i="36"/>
  <c r="L14" i="1" s="1"/>
  <c r="AC14" i="1"/>
  <c r="F4" i="33"/>
  <c r="A200" i="15"/>
  <c r="K3" i="15"/>
  <c r="K4" i="15"/>
  <c r="K5" i="15"/>
  <c r="K6" i="15"/>
  <c r="K7" i="15"/>
  <c r="K8" i="15"/>
  <c r="K9" i="15"/>
  <c r="K10" i="15"/>
  <c r="K11" i="15"/>
  <c r="K12" i="15"/>
  <c r="K13" i="15"/>
  <c r="K14" i="15"/>
  <c r="K2" i="15"/>
  <c r="I12" i="1"/>
  <c r="H12" i="1"/>
  <c r="G12" i="1"/>
  <c r="F12" i="1"/>
  <c r="E12" i="1"/>
  <c r="D12" i="1"/>
  <c r="C12" i="1"/>
  <c r="B12" i="1"/>
  <c r="I53" i="34"/>
  <c r="M3" i="34" s="1"/>
  <c r="O12" i="1" s="1"/>
  <c r="H53" i="34"/>
  <c r="L3" i="34" s="1"/>
  <c r="G53" i="34"/>
  <c r="K3" i="34" s="1"/>
  <c r="M12" i="1" s="1"/>
  <c r="Y52" i="34"/>
  <c r="X52" i="34"/>
  <c r="F52" i="34"/>
  <c r="Y51" i="34"/>
  <c r="X51" i="34"/>
  <c r="F51" i="34"/>
  <c r="Y50" i="34"/>
  <c r="X50" i="34"/>
  <c r="F50" i="34"/>
  <c r="Y49" i="34"/>
  <c r="X49" i="34"/>
  <c r="F49" i="34"/>
  <c r="Y48" i="34"/>
  <c r="X48" i="34"/>
  <c r="F48" i="34"/>
  <c r="Y47" i="34"/>
  <c r="X47" i="34"/>
  <c r="F47" i="34"/>
  <c r="Y46" i="34"/>
  <c r="X46" i="34"/>
  <c r="F46" i="34"/>
  <c r="Y45" i="34"/>
  <c r="X45" i="34"/>
  <c r="F45" i="34"/>
  <c r="Y44" i="34"/>
  <c r="X44" i="34"/>
  <c r="F44" i="34"/>
  <c r="Y43" i="34"/>
  <c r="X43" i="34"/>
  <c r="F43" i="34"/>
  <c r="Y42" i="34"/>
  <c r="X42" i="34"/>
  <c r="F42" i="34"/>
  <c r="Y41" i="34"/>
  <c r="X41" i="34"/>
  <c r="F41" i="34"/>
  <c r="Y40" i="34"/>
  <c r="X40" i="34"/>
  <c r="F40" i="34"/>
  <c r="Y39" i="34"/>
  <c r="X39" i="34"/>
  <c r="F39" i="34"/>
  <c r="Y38" i="34"/>
  <c r="X38" i="34"/>
  <c r="F38" i="34"/>
  <c r="Y37" i="34"/>
  <c r="X37" i="34"/>
  <c r="F37" i="34"/>
  <c r="Y36" i="34"/>
  <c r="X36" i="34"/>
  <c r="F36" i="34"/>
  <c r="Y35" i="34"/>
  <c r="X35" i="34"/>
  <c r="F35" i="34"/>
  <c r="Y34" i="34"/>
  <c r="X34" i="34"/>
  <c r="F34" i="34"/>
  <c r="Y33" i="34"/>
  <c r="X33" i="34"/>
  <c r="F33" i="34"/>
  <c r="Y32" i="34"/>
  <c r="X32" i="34"/>
  <c r="F32" i="34"/>
  <c r="Y31" i="34"/>
  <c r="X31" i="34"/>
  <c r="F31" i="34"/>
  <c r="Y30" i="34"/>
  <c r="X30" i="34"/>
  <c r="F30" i="34"/>
  <c r="Y29" i="34"/>
  <c r="X29" i="34"/>
  <c r="F29" i="34"/>
  <c r="Y28" i="34"/>
  <c r="X28" i="34"/>
  <c r="F28" i="34"/>
  <c r="Y27" i="34"/>
  <c r="X27" i="34"/>
  <c r="F27" i="34"/>
  <c r="Y26" i="34"/>
  <c r="X26" i="34"/>
  <c r="F26" i="34"/>
  <c r="Y25" i="34"/>
  <c r="X25" i="34"/>
  <c r="F25" i="34"/>
  <c r="Y24" i="34"/>
  <c r="X24" i="34"/>
  <c r="F24" i="34"/>
  <c r="Y23" i="34"/>
  <c r="X23" i="34"/>
  <c r="F23" i="34"/>
  <c r="Y22" i="34"/>
  <c r="X22" i="34"/>
  <c r="F22" i="34"/>
  <c r="Y21" i="34"/>
  <c r="X21" i="34"/>
  <c r="F21" i="34"/>
  <c r="Y20" i="34"/>
  <c r="X20" i="34"/>
  <c r="F20" i="34"/>
  <c r="Y19" i="34"/>
  <c r="X19" i="34"/>
  <c r="F19" i="34"/>
  <c r="Y18" i="34"/>
  <c r="X18" i="34"/>
  <c r="F18" i="34"/>
  <c r="Y17" i="34"/>
  <c r="X17" i="34"/>
  <c r="F17" i="34"/>
  <c r="Y16" i="34"/>
  <c r="X16" i="34"/>
  <c r="F16" i="34"/>
  <c r="Y15" i="34"/>
  <c r="X15" i="34"/>
  <c r="F15" i="34"/>
  <c r="Y14" i="34"/>
  <c r="X14" i="34"/>
  <c r="F14" i="34"/>
  <c r="Y13" i="34"/>
  <c r="X13" i="34"/>
  <c r="F13" i="34"/>
  <c r="Y12" i="34"/>
  <c r="X12" i="34"/>
  <c r="F12" i="34"/>
  <c r="Y11" i="34"/>
  <c r="X11" i="34"/>
  <c r="F11" i="34"/>
  <c r="Y10" i="34"/>
  <c r="X10" i="34"/>
  <c r="Y9" i="34"/>
  <c r="X9" i="34"/>
  <c r="Y8" i="34"/>
  <c r="X8" i="34"/>
  <c r="B8" i="34"/>
  <c r="Y7" i="34"/>
  <c r="X7" i="34"/>
  <c r="Y6" i="34"/>
  <c r="X6" i="34"/>
  <c r="Y5" i="34"/>
  <c r="X5" i="34"/>
  <c r="Y4" i="34"/>
  <c r="X4" i="34"/>
  <c r="Y3" i="34"/>
  <c r="X3" i="34"/>
  <c r="F3" i="34"/>
  <c r="I11" i="1"/>
  <c r="H11" i="1"/>
  <c r="G11" i="1"/>
  <c r="E11" i="1"/>
  <c r="D11" i="1"/>
  <c r="C11" i="1"/>
  <c r="B11" i="1"/>
  <c r="I53" i="33"/>
  <c r="M3" i="33" s="1"/>
  <c r="O11" i="1" s="1"/>
  <c r="H53" i="33"/>
  <c r="L3" i="33" s="1"/>
  <c r="G53" i="33"/>
  <c r="K3" i="33" s="1"/>
  <c r="O3" i="33" s="1"/>
  <c r="J11" i="1" s="1"/>
  <c r="Y52" i="33"/>
  <c r="X52" i="33"/>
  <c r="F52" i="33"/>
  <c r="Y51" i="33"/>
  <c r="X51" i="33"/>
  <c r="F51" i="33"/>
  <c r="Y50" i="33"/>
  <c r="X50" i="33"/>
  <c r="F50" i="33"/>
  <c r="Y49" i="33"/>
  <c r="X49" i="33"/>
  <c r="F49" i="33"/>
  <c r="Y48" i="33"/>
  <c r="X48" i="33"/>
  <c r="F48" i="33"/>
  <c r="Y47" i="33"/>
  <c r="X47" i="33"/>
  <c r="F47" i="33"/>
  <c r="Y46" i="33"/>
  <c r="X46" i="33"/>
  <c r="F46" i="33"/>
  <c r="Y45" i="33"/>
  <c r="X45" i="33"/>
  <c r="F45" i="33"/>
  <c r="Y44" i="33"/>
  <c r="X44" i="33"/>
  <c r="F44" i="33"/>
  <c r="Y43" i="33"/>
  <c r="X43" i="33"/>
  <c r="F43" i="33"/>
  <c r="Y42" i="33"/>
  <c r="X42" i="33"/>
  <c r="F42" i="33"/>
  <c r="Y41" i="33"/>
  <c r="X41" i="33"/>
  <c r="F41" i="33"/>
  <c r="Y40" i="33"/>
  <c r="X40" i="33"/>
  <c r="F40" i="33"/>
  <c r="Y39" i="33"/>
  <c r="X39" i="33"/>
  <c r="F39" i="33"/>
  <c r="Y38" i="33"/>
  <c r="X38" i="33"/>
  <c r="F38" i="33"/>
  <c r="Y37" i="33"/>
  <c r="X37" i="33"/>
  <c r="F37" i="33"/>
  <c r="Y36" i="33"/>
  <c r="X36" i="33"/>
  <c r="F36" i="33"/>
  <c r="Y35" i="33"/>
  <c r="X35" i="33"/>
  <c r="F35" i="33"/>
  <c r="Y34" i="33"/>
  <c r="X34" i="33"/>
  <c r="F34" i="33"/>
  <c r="Y33" i="33"/>
  <c r="X33" i="33"/>
  <c r="F33" i="33"/>
  <c r="Y32" i="33"/>
  <c r="X32" i="33"/>
  <c r="F32" i="33"/>
  <c r="Y31" i="33"/>
  <c r="X31" i="33"/>
  <c r="F31" i="33"/>
  <c r="Y30" i="33"/>
  <c r="X30" i="33"/>
  <c r="F30" i="33"/>
  <c r="Y29" i="33"/>
  <c r="X29" i="33"/>
  <c r="F29" i="33"/>
  <c r="Y28" i="33"/>
  <c r="X28" i="33"/>
  <c r="F28" i="33"/>
  <c r="Y27" i="33"/>
  <c r="X27" i="33"/>
  <c r="F27" i="33"/>
  <c r="Y26" i="33"/>
  <c r="X26" i="33"/>
  <c r="F26" i="33"/>
  <c r="Y25" i="33"/>
  <c r="X25" i="33"/>
  <c r="F25" i="33"/>
  <c r="Y24" i="33"/>
  <c r="X24" i="33"/>
  <c r="F24" i="33"/>
  <c r="Y23" i="33"/>
  <c r="X23" i="33"/>
  <c r="F23" i="33"/>
  <c r="Y22" i="33"/>
  <c r="X22" i="33"/>
  <c r="F22" i="33"/>
  <c r="Y21" i="33"/>
  <c r="X21" i="33"/>
  <c r="F21" i="33"/>
  <c r="Y20" i="33"/>
  <c r="X20" i="33"/>
  <c r="F20" i="33"/>
  <c r="Y19" i="33"/>
  <c r="X19" i="33"/>
  <c r="F19" i="33"/>
  <c r="Y18" i="33"/>
  <c r="X18" i="33"/>
  <c r="F18" i="33"/>
  <c r="Y17" i="33"/>
  <c r="X17" i="33"/>
  <c r="F17" i="33"/>
  <c r="Y16" i="33"/>
  <c r="X16" i="33"/>
  <c r="F16" i="33"/>
  <c r="Y15" i="33"/>
  <c r="X15" i="33"/>
  <c r="F15" i="33"/>
  <c r="Y14" i="33"/>
  <c r="X14" i="33"/>
  <c r="F14" i="33"/>
  <c r="Y13" i="33"/>
  <c r="X13" i="33"/>
  <c r="F13" i="33"/>
  <c r="Y12" i="33"/>
  <c r="X12" i="33"/>
  <c r="F12" i="33"/>
  <c r="Y11" i="33"/>
  <c r="X11" i="33"/>
  <c r="F11" i="33"/>
  <c r="Y10" i="33"/>
  <c r="X10" i="33"/>
  <c r="F10" i="33"/>
  <c r="Y9" i="33"/>
  <c r="X9" i="33"/>
  <c r="F9" i="33"/>
  <c r="Y8" i="33"/>
  <c r="X8" i="33"/>
  <c r="F8" i="33"/>
  <c r="B8" i="33"/>
  <c r="F11" i="1" s="1"/>
  <c r="Y7" i="33"/>
  <c r="X7" i="33"/>
  <c r="F7" i="33"/>
  <c r="Y6" i="33"/>
  <c r="X6" i="33"/>
  <c r="F6" i="33"/>
  <c r="Y5" i="33"/>
  <c r="X5" i="33"/>
  <c r="F5" i="33"/>
  <c r="Y4" i="33"/>
  <c r="X4" i="33"/>
  <c r="Y3" i="33"/>
  <c r="X3" i="33"/>
  <c r="F3" i="33"/>
  <c r="I10" i="1"/>
  <c r="H10" i="1"/>
  <c r="G10" i="1"/>
  <c r="F10" i="1"/>
  <c r="E10" i="1"/>
  <c r="D10" i="1"/>
  <c r="C10" i="1"/>
  <c r="B10" i="1"/>
  <c r="I53" i="32"/>
  <c r="M3" i="32" s="1"/>
  <c r="O10" i="1" s="1"/>
  <c r="H53" i="32"/>
  <c r="L3" i="32" s="1"/>
  <c r="G53" i="32"/>
  <c r="K3" i="32" s="1"/>
  <c r="M10" i="1" s="1"/>
  <c r="Y52" i="32"/>
  <c r="X52" i="32"/>
  <c r="F52" i="32"/>
  <c r="Y51" i="32"/>
  <c r="X51" i="32"/>
  <c r="F51" i="32"/>
  <c r="Y50" i="32"/>
  <c r="X50" i="32"/>
  <c r="F50" i="32"/>
  <c r="Y49" i="32"/>
  <c r="X49" i="32"/>
  <c r="F49" i="32"/>
  <c r="Y48" i="32"/>
  <c r="X48" i="32"/>
  <c r="F48" i="32"/>
  <c r="Y47" i="32"/>
  <c r="X47" i="32"/>
  <c r="F47" i="32"/>
  <c r="Y46" i="32"/>
  <c r="X46" i="32"/>
  <c r="F46" i="32"/>
  <c r="Y45" i="32"/>
  <c r="X45" i="32"/>
  <c r="F45" i="32"/>
  <c r="Y44" i="32"/>
  <c r="X44" i="32"/>
  <c r="F44" i="32"/>
  <c r="Y43" i="32"/>
  <c r="X43" i="32"/>
  <c r="F43" i="32"/>
  <c r="Y42" i="32"/>
  <c r="X42" i="32"/>
  <c r="F42" i="32"/>
  <c r="Y41" i="32"/>
  <c r="X41" i="32"/>
  <c r="F41" i="32"/>
  <c r="Y40" i="32"/>
  <c r="X40" i="32"/>
  <c r="F40" i="32"/>
  <c r="Y39" i="32"/>
  <c r="X39" i="32"/>
  <c r="F39" i="32"/>
  <c r="Y38" i="32"/>
  <c r="X38" i="32"/>
  <c r="F38" i="32"/>
  <c r="Y37" i="32"/>
  <c r="X37" i="32"/>
  <c r="F37" i="32"/>
  <c r="Y36" i="32"/>
  <c r="X36" i="32"/>
  <c r="F36" i="32"/>
  <c r="Y35" i="32"/>
  <c r="X35" i="32"/>
  <c r="F35" i="32"/>
  <c r="Y34" i="32"/>
  <c r="X34" i="32"/>
  <c r="F34" i="32"/>
  <c r="Y33" i="32"/>
  <c r="X33" i="32"/>
  <c r="F33" i="32"/>
  <c r="Y32" i="32"/>
  <c r="X32" i="32"/>
  <c r="F32" i="32"/>
  <c r="Y31" i="32"/>
  <c r="X31" i="32"/>
  <c r="F31" i="32"/>
  <c r="Y30" i="32"/>
  <c r="X30" i="32"/>
  <c r="F30" i="32"/>
  <c r="Y29" i="32"/>
  <c r="X29" i="32"/>
  <c r="F29" i="32"/>
  <c r="Y28" i="32"/>
  <c r="X28" i="32"/>
  <c r="F28" i="32"/>
  <c r="Y27" i="32"/>
  <c r="X27" i="32"/>
  <c r="F27" i="32"/>
  <c r="Y26" i="32"/>
  <c r="X26" i="32"/>
  <c r="F26" i="32"/>
  <c r="Y25" i="32"/>
  <c r="X25" i="32"/>
  <c r="F25" i="32"/>
  <c r="Y24" i="32"/>
  <c r="X24" i="32"/>
  <c r="F24" i="32"/>
  <c r="Y23" i="32"/>
  <c r="X23" i="32"/>
  <c r="F23" i="32"/>
  <c r="Y22" i="32"/>
  <c r="X22" i="32"/>
  <c r="F22" i="32"/>
  <c r="Y21" i="32"/>
  <c r="X21" i="32"/>
  <c r="F21" i="32"/>
  <c r="Y20" i="32"/>
  <c r="X20" i="32"/>
  <c r="F20" i="32"/>
  <c r="Y19" i="32"/>
  <c r="X19" i="32"/>
  <c r="F19" i="32"/>
  <c r="Y18" i="32"/>
  <c r="X18" i="32"/>
  <c r="F18" i="32"/>
  <c r="Y17" i="32"/>
  <c r="X17" i="32"/>
  <c r="F17" i="32"/>
  <c r="Y16" i="32"/>
  <c r="X16" i="32"/>
  <c r="F16" i="32"/>
  <c r="Y15" i="32"/>
  <c r="X15" i="32"/>
  <c r="F15" i="32"/>
  <c r="Y14" i="32"/>
  <c r="X14" i="32"/>
  <c r="F14" i="32"/>
  <c r="Y13" i="32"/>
  <c r="X13" i="32"/>
  <c r="F13" i="32"/>
  <c r="Y12" i="32"/>
  <c r="X12" i="32"/>
  <c r="F12" i="32"/>
  <c r="Y11" i="32"/>
  <c r="X11" i="32"/>
  <c r="F11" i="32"/>
  <c r="Y10" i="32"/>
  <c r="X10" i="32"/>
  <c r="F10" i="32"/>
  <c r="Y9" i="32"/>
  <c r="X9" i="32"/>
  <c r="F9" i="32"/>
  <c r="Y8" i="32"/>
  <c r="X8" i="32"/>
  <c r="F8" i="32"/>
  <c r="B8" i="32"/>
  <c r="Y7" i="32"/>
  <c r="X7" i="32"/>
  <c r="Y6" i="32"/>
  <c r="X6" i="32"/>
  <c r="F6" i="32"/>
  <c r="Y5" i="32"/>
  <c r="X5" i="32"/>
  <c r="F5" i="32"/>
  <c r="Y4" i="32"/>
  <c r="X4" i="32"/>
  <c r="Y3" i="32"/>
  <c r="X3" i="32"/>
  <c r="F3" i="32"/>
  <c r="I9" i="1"/>
  <c r="H9" i="1"/>
  <c r="G9" i="1"/>
  <c r="F9" i="1"/>
  <c r="E9" i="1"/>
  <c r="D9" i="1"/>
  <c r="C9" i="1"/>
  <c r="B9" i="1"/>
  <c r="I53" i="31"/>
  <c r="M3" i="31" s="1"/>
  <c r="O9" i="1" s="1"/>
  <c r="H53" i="31"/>
  <c r="L3" i="31" s="1"/>
  <c r="G53" i="31"/>
  <c r="K3" i="31" s="1"/>
  <c r="Z3" i="31" s="1"/>
  <c r="P3" i="31" s="1"/>
  <c r="L9" i="1" s="1"/>
  <c r="Y52" i="31"/>
  <c r="X52" i="31"/>
  <c r="F52" i="31"/>
  <c r="Y51" i="31"/>
  <c r="X51" i="31"/>
  <c r="F51" i="31"/>
  <c r="Y50" i="31"/>
  <c r="X50" i="31"/>
  <c r="F50" i="31"/>
  <c r="Y49" i="31"/>
  <c r="X49" i="31"/>
  <c r="F49" i="31"/>
  <c r="Y48" i="31"/>
  <c r="X48" i="31"/>
  <c r="F48" i="31"/>
  <c r="Y47" i="31"/>
  <c r="X47" i="31"/>
  <c r="F47" i="31"/>
  <c r="Y46" i="31"/>
  <c r="X46" i="31"/>
  <c r="F46" i="31"/>
  <c r="Y45" i="31"/>
  <c r="X45" i="31"/>
  <c r="F45" i="31"/>
  <c r="Y44" i="31"/>
  <c r="X44" i="31"/>
  <c r="F44" i="31"/>
  <c r="Y43" i="31"/>
  <c r="X43" i="31"/>
  <c r="F43" i="31"/>
  <c r="Y42" i="31"/>
  <c r="X42" i="31"/>
  <c r="F42" i="31"/>
  <c r="Y41" i="31"/>
  <c r="X41" i="31"/>
  <c r="F41" i="31"/>
  <c r="Y40" i="31"/>
  <c r="X40" i="31"/>
  <c r="F40" i="31"/>
  <c r="Y39" i="31"/>
  <c r="X39" i="31"/>
  <c r="F39" i="31"/>
  <c r="Y38" i="31"/>
  <c r="X38" i="31"/>
  <c r="F38" i="31"/>
  <c r="Y37" i="31"/>
  <c r="X37" i="31"/>
  <c r="F37" i="31"/>
  <c r="Y36" i="31"/>
  <c r="X36" i="31"/>
  <c r="F36" i="31"/>
  <c r="Y35" i="31"/>
  <c r="X35" i="31"/>
  <c r="F35" i="31"/>
  <c r="Y34" i="31"/>
  <c r="X34" i="31"/>
  <c r="F34" i="31"/>
  <c r="Y33" i="31"/>
  <c r="X33" i="31"/>
  <c r="F33" i="31"/>
  <c r="Y32" i="31"/>
  <c r="X32" i="31"/>
  <c r="F32" i="31"/>
  <c r="Y31" i="31"/>
  <c r="X31" i="31"/>
  <c r="F31" i="31"/>
  <c r="Y30" i="31"/>
  <c r="X30" i="31"/>
  <c r="F30" i="31"/>
  <c r="Y29" i="31"/>
  <c r="X29" i="31"/>
  <c r="F29" i="31"/>
  <c r="Y28" i="31"/>
  <c r="X28" i="31"/>
  <c r="F28" i="31"/>
  <c r="Y27" i="31"/>
  <c r="X27" i="31"/>
  <c r="F27" i="31"/>
  <c r="Y26" i="31"/>
  <c r="X26" i="31"/>
  <c r="F26" i="31"/>
  <c r="Y25" i="31"/>
  <c r="X25" i="31"/>
  <c r="F25" i="31"/>
  <c r="Y24" i="31"/>
  <c r="X24" i="31"/>
  <c r="F24" i="31"/>
  <c r="Y23" i="31"/>
  <c r="X23" i="31"/>
  <c r="F23" i="31"/>
  <c r="Y22" i="31"/>
  <c r="X22" i="31"/>
  <c r="F22" i="31"/>
  <c r="Y21" i="31"/>
  <c r="X21" i="31"/>
  <c r="F21" i="31"/>
  <c r="Y20" i="31"/>
  <c r="X20" i="31"/>
  <c r="F20" i="31"/>
  <c r="Y19" i="31"/>
  <c r="X19" i="31"/>
  <c r="F19" i="31"/>
  <c r="Y18" i="31"/>
  <c r="X18" i="31"/>
  <c r="F18" i="31"/>
  <c r="Y17" i="31"/>
  <c r="X17" i="31"/>
  <c r="F17" i="31"/>
  <c r="Y16" i="31"/>
  <c r="X16" i="31"/>
  <c r="F16" i="31"/>
  <c r="Y15" i="31"/>
  <c r="X15" i="31"/>
  <c r="F15" i="31"/>
  <c r="Y14" i="31"/>
  <c r="X14" i="31"/>
  <c r="F14" i="31"/>
  <c r="Y13" i="31"/>
  <c r="X13" i="31"/>
  <c r="F13" i="31"/>
  <c r="Y12" i="31"/>
  <c r="X12" i="31"/>
  <c r="F12" i="31"/>
  <c r="Y11" i="31"/>
  <c r="X11" i="31"/>
  <c r="F11" i="31"/>
  <c r="Y10" i="31"/>
  <c r="X10" i="31"/>
  <c r="F10" i="31"/>
  <c r="Y9" i="31"/>
  <c r="X9" i="31"/>
  <c r="F9" i="31"/>
  <c r="Y8" i="31"/>
  <c r="X8" i="31"/>
  <c r="F8" i="31"/>
  <c r="B8" i="31"/>
  <c r="Y7" i="31"/>
  <c r="X7" i="31"/>
  <c r="F7" i="31"/>
  <c r="Y6" i="31"/>
  <c r="X6" i="31"/>
  <c r="F6" i="31"/>
  <c r="Y5" i="31"/>
  <c r="X5" i="31"/>
  <c r="F5" i="31"/>
  <c r="Y4" i="31"/>
  <c r="X4" i="31"/>
  <c r="F4" i="31"/>
  <c r="Y3" i="31"/>
  <c r="X3" i="31"/>
  <c r="F3" i="31"/>
  <c r="I8" i="1"/>
  <c r="H8" i="1"/>
  <c r="G8" i="1"/>
  <c r="F8" i="1"/>
  <c r="E8" i="1"/>
  <c r="D8" i="1"/>
  <c r="C8" i="1"/>
  <c r="B8" i="1"/>
  <c r="I53" i="30"/>
  <c r="M3" i="30" s="1"/>
  <c r="O8" i="1" s="1"/>
  <c r="H53" i="30"/>
  <c r="L3" i="30" s="1"/>
  <c r="G53" i="30"/>
  <c r="K3" i="30" s="1"/>
  <c r="M8" i="1" s="1"/>
  <c r="Y52" i="30"/>
  <c r="X52" i="30"/>
  <c r="F52" i="30"/>
  <c r="Y51" i="30"/>
  <c r="X51" i="30"/>
  <c r="F51" i="30"/>
  <c r="Y50" i="30"/>
  <c r="X50" i="30"/>
  <c r="F50" i="30"/>
  <c r="Y49" i="30"/>
  <c r="X49" i="30"/>
  <c r="F49" i="30"/>
  <c r="Y48" i="30"/>
  <c r="X48" i="30"/>
  <c r="F48" i="30"/>
  <c r="Y47" i="30"/>
  <c r="X47" i="30"/>
  <c r="F47" i="30"/>
  <c r="Y46" i="30"/>
  <c r="X46" i="30"/>
  <c r="F46" i="30"/>
  <c r="Y45" i="30"/>
  <c r="X45" i="30"/>
  <c r="F45" i="30"/>
  <c r="Y44" i="30"/>
  <c r="X44" i="30"/>
  <c r="F44" i="30"/>
  <c r="Y43" i="30"/>
  <c r="X43" i="30"/>
  <c r="F43" i="30"/>
  <c r="Y42" i="30"/>
  <c r="X42" i="30"/>
  <c r="F42" i="30"/>
  <c r="Y41" i="30"/>
  <c r="X41" i="30"/>
  <c r="F41" i="30"/>
  <c r="Y40" i="30"/>
  <c r="X40" i="30"/>
  <c r="F40" i="30"/>
  <c r="Y39" i="30"/>
  <c r="X39" i="30"/>
  <c r="F39" i="30"/>
  <c r="Y38" i="30"/>
  <c r="X38" i="30"/>
  <c r="F38" i="30"/>
  <c r="Y37" i="30"/>
  <c r="X37" i="30"/>
  <c r="F37" i="30"/>
  <c r="Y36" i="30"/>
  <c r="X36" i="30"/>
  <c r="F36" i="30"/>
  <c r="Y35" i="30"/>
  <c r="X35" i="30"/>
  <c r="F35" i="30"/>
  <c r="Y34" i="30"/>
  <c r="X34" i="30"/>
  <c r="F34" i="30"/>
  <c r="Y33" i="30"/>
  <c r="X33" i="30"/>
  <c r="F33" i="30"/>
  <c r="Y32" i="30"/>
  <c r="X32" i="30"/>
  <c r="F32" i="30"/>
  <c r="Y31" i="30"/>
  <c r="X31" i="30"/>
  <c r="F31" i="30"/>
  <c r="Y30" i="30"/>
  <c r="X30" i="30"/>
  <c r="F30" i="30"/>
  <c r="Y29" i="30"/>
  <c r="X29" i="30"/>
  <c r="F29" i="30"/>
  <c r="Y28" i="30"/>
  <c r="X28" i="30"/>
  <c r="F28" i="30"/>
  <c r="Y27" i="30"/>
  <c r="X27" i="30"/>
  <c r="F27" i="30"/>
  <c r="Y26" i="30"/>
  <c r="X26" i="30"/>
  <c r="F26" i="30"/>
  <c r="Y25" i="30"/>
  <c r="X25" i="30"/>
  <c r="F25" i="30"/>
  <c r="Y24" i="30"/>
  <c r="X24" i="30"/>
  <c r="F24" i="30"/>
  <c r="Y23" i="30"/>
  <c r="X23" i="30"/>
  <c r="F23" i="30"/>
  <c r="Y22" i="30"/>
  <c r="X22" i="30"/>
  <c r="F22" i="30"/>
  <c r="Y21" i="30"/>
  <c r="X21" i="30"/>
  <c r="F21" i="30"/>
  <c r="Y20" i="30"/>
  <c r="X20" i="30"/>
  <c r="F20" i="30"/>
  <c r="Y19" i="30"/>
  <c r="X19" i="30"/>
  <c r="F19" i="30"/>
  <c r="Y18" i="30"/>
  <c r="X18" i="30"/>
  <c r="F18" i="30"/>
  <c r="Y17" i="30"/>
  <c r="X17" i="30"/>
  <c r="F17" i="30"/>
  <c r="Y16" i="30"/>
  <c r="X16" i="30"/>
  <c r="F16" i="30"/>
  <c r="Y15" i="30"/>
  <c r="X15" i="30"/>
  <c r="F15" i="30"/>
  <c r="Y14" i="30"/>
  <c r="X14" i="30"/>
  <c r="F14" i="30"/>
  <c r="Y13" i="30"/>
  <c r="X13" i="30"/>
  <c r="F13" i="30"/>
  <c r="Y12" i="30"/>
  <c r="X12" i="30"/>
  <c r="F12" i="30"/>
  <c r="Y11" i="30"/>
  <c r="X11" i="30"/>
  <c r="F11" i="30"/>
  <c r="Y10" i="30"/>
  <c r="X10" i="30"/>
  <c r="F10" i="30"/>
  <c r="Y9" i="30"/>
  <c r="X9" i="30"/>
  <c r="F9" i="30"/>
  <c r="Y8" i="30"/>
  <c r="X8" i="30"/>
  <c r="F8" i="30"/>
  <c r="B8" i="30"/>
  <c r="Y7" i="30"/>
  <c r="X7" i="30"/>
  <c r="F7" i="30"/>
  <c r="Y6" i="30"/>
  <c r="X6" i="30"/>
  <c r="F6" i="30"/>
  <c r="Y5" i="30"/>
  <c r="X5" i="30"/>
  <c r="F5" i="30"/>
  <c r="Y4" i="30"/>
  <c r="X4" i="30"/>
  <c r="F4" i="30"/>
  <c r="Y3" i="30"/>
  <c r="X3" i="30"/>
  <c r="F3" i="30"/>
  <c r="I7" i="1"/>
  <c r="H7" i="1"/>
  <c r="G7" i="1"/>
  <c r="E7" i="1"/>
  <c r="D7" i="1"/>
  <c r="C7" i="1"/>
  <c r="B7" i="1"/>
  <c r="I53" i="29"/>
  <c r="M3" i="29" s="1"/>
  <c r="O7" i="1" s="1"/>
  <c r="H53" i="29"/>
  <c r="L3" i="29" s="1"/>
  <c r="G53" i="29"/>
  <c r="K3" i="29" s="1"/>
  <c r="M7" i="1" s="1"/>
  <c r="Y52" i="29"/>
  <c r="X52" i="29"/>
  <c r="F52" i="29"/>
  <c r="Y51" i="29"/>
  <c r="X51" i="29"/>
  <c r="F51" i="29"/>
  <c r="Y50" i="29"/>
  <c r="X50" i="29"/>
  <c r="F50" i="29"/>
  <c r="Y49" i="29"/>
  <c r="X49" i="29"/>
  <c r="F49" i="29"/>
  <c r="Y48" i="29"/>
  <c r="X48" i="29"/>
  <c r="F48" i="29"/>
  <c r="Y47" i="29"/>
  <c r="X47" i="29"/>
  <c r="F47" i="29"/>
  <c r="Y46" i="29"/>
  <c r="X46" i="29"/>
  <c r="F46" i="29"/>
  <c r="Y45" i="29"/>
  <c r="X45" i="29"/>
  <c r="F45" i="29"/>
  <c r="Y44" i="29"/>
  <c r="X44" i="29"/>
  <c r="F44" i="29"/>
  <c r="Y43" i="29"/>
  <c r="X43" i="29"/>
  <c r="F43" i="29"/>
  <c r="Y42" i="29"/>
  <c r="X42" i="29"/>
  <c r="F42" i="29"/>
  <c r="Y41" i="29"/>
  <c r="X41" i="29"/>
  <c r="F41" i="29"/>
  <c r="Y40" i="29"/>
  <c r="X40" i="29"/>
  <c r="F40" i="29"/>
  <c r="Y39" i="29"/>
  <c r="X39" i="29"/>
  <c r="F39" i="29"/>
  <c r="Y38" i="29"/>
  <c r="X38" i="29"/>
  <c r="F38" i="29"/>
  <c r="Y37" i="29"/>
  <c r="X37" i="29"/>
  <c r="F37" i="29"/>
  <c r="Y36" i="29"/>
  <c r="X36" i="29"/>
  <c r="F36" i="29"/>
  <c r="Y35" i="29"/>
  <c r="X35" i="29"/>
  <c r="F35" i="29"/>
  <c r="Y34" i="29"/>
  <c r="X34" i="29"/>
  <c r="F34" i="29"/>
  <c r="Y33" i="29"/>
  <c r="X33" i="29"/>
  <c r="F33" i="29"/>
  <c r="Y32" i="29"/>
  <c r="X32" i="29"/>
  <c r="F32" i="29"/>
  <c r="Y31" i="29"/>
  <c r="X31" i="29"/>
  <c r="F31" i="29"/>
  <c r="Y30" i="29"/>
  <c r="X30" i="29"/>
  <c r="F30" i="29"/>
  <c r="Y29" i="29"/>
  <c r="X29" i="29"/>
  <c r="F29" i="29"/>
  <c r="Y28" i="29"/>
  <c r="X28" i="29"/>
  <c r="F28" i="29"/>
  <c r="Y27" i="29"/>
  <c r="X27" i="29"/>
  <c r="F27" i="29"/>
  <c r="Y26" i="29"/>
  <c r="X26" i="29"/>
  <c r="F26" i="29"/>
  <c r="Y25" i="29"/>
  <c r="X25" i="29"/>
  <c r="F25" i="29"/>
  <c r="Y24" i="29"/>
  <c r="X24" i="29"/>
  <c r="F24" i="29"/>
  <c r="Y23" i="29"/>
  <c r="X23" i="29"/>
  <c r="F23" i="29"/>
  <c r="Y22" i="29"/>
  <c r="X22" i="29"/>
  <c r="F22" i="29"/>
  <c r="Y21" i="29"/>
  <c r="X21" i="29"/>
  <c r="F21" i="29"/>
  <c r="Y20" i="29"/>
  <c r="X20" i="29"/>
  <c r="F20" i="29"/>
  <c r="Y19" i="29"/>
  <c r="X19" i="29"/>
  <c r="F19" i="29"/>
  <c r="Y18" i="29"/>
  <c r="X18" i="29"/>
  <c r="F18" i="29"/>
  <c r="Y17" i="29"/>
  <c r="X17" i="29"/>
  <c r="F17" i="29"/>
  <c r="Y16" i="29"/>
  <c r="X16" i="29"/>
  <c r="F16" i="29"/>
  <c r="Y15" i="29"/>
  <c r="X15" i="29"/>
  <c r="F15" i="29"/>
  <c r="Y14" i="29"/>
  <c r="X14" i="29"/>
  <c r="F14" i="29"/>
  <c r="Y13" i="29"/>
  <c r="X13" i="29"/>
  <c r="F13" i="29"/>
  <c r="Y12" i="29"/>
  <c r="X12" i="29"/>
  <c r="F12" i="29"/>
  <c r="Y11" i="29"/>
  <c r="X11" i="29"/>
  <c r="F11" i="29"/>
  <c r="Y10" i="29"/>
  <c r="X10" i="29"/>
  <c r="Y9" i="29"/>
  <c r="X9" i="29"/>
  <c r="F9" i="29"/>
  <c r="Y8" i="29"/>
  <c r="X8" i="29"/>
  <c r="F8" i="29"/>
  <c r="B8" i="29"/>
  <c r="F7" i="1" s="1"/>
  <c r="Y7" i="29"/>
  <c r="X7" i="29"/>
  <c r="F7" i="29"/>
  <c r="Y6" i="29"/>
  <c r="X6" i="29"/>
  <c r="F6" i="29"/>
  <c r="Y5" i="29"/>
  <c r="X5" i="29"/>
  <c r="F5" i="29"/>
  <c r="Y4" i="29"/>
  <c r="X4" i="29"/>
  <c r="F4" i="29"/>
  <c r="Y3" i="29"/>
  <c r="X3" i="29"/>
  <c r="F3" i="29"/>
  <c r="I6" i="1"/>
  <c r="H6" i="1"/>
  <c r="G6" i="1"/>
  <c r="F6" i="1"/>
  <c r="E6" i="1"/>
  <c r="D6" i="1"/>
  <c r="C6" i="1"/>
  <c r="B6" i="1"/>
  <c r="I53" i="28"/>
  <c r="M3" i="28" s="1"/>
  <c r="O6" i="1" s="1"/>
  <c r="H53" i="28"/>
  <c r="L3" i="28" s="1"/>
  <c r="G53" i="28"/>
  <c r="K3" i="28" s="1"/>
  <c r="Y52" i="28"/>
  <c r="X52" i="28"/>
  <c r="F52" i="28"/>
  <c r="Y51" i="28"/>
  <c r="X51" i="28"/>
  <c r="F51" i="28"/>
  <c r="Y50" i="28"/>
  <c r="X50" i="28"/>
  <c r="F50" i="28"/>
  <c r="Y49" i="28"/>
  <c r="X49" i="28"/>
  <c r="F49" i="28"/>
  <c r="Y48" i="28"/>
  <c r="X48" i="28"/>
  <c r="F48" i="28"/>
  <c r="Y47" i="28"/>
  <c r="X47" i="28"/>
  <c r="F47" i="28"/>
  <c r="Y46" i="28"/>
  <c r="X46" i="28"/>
  <c r="F46" i="28"/>
  <c r="Y45" i="28"/>
  <c r="X45" i="28"/>
  <c r="F45" i="28"/>
  <c r="Y44" i="28"/>
  <c r="X44" i="28"/>
  <c r="F44" i="28"/>
  <c r="Y43" i="28"/>
  <c r="X43" i="28"/>
  <c r="F43" i="28"/>
  <c r="Y42" i="28"/>
  <c r="X42" i="28"/>
  <c r="F42" i="28"/>
  <c r="Y41" i="28"/>
  <c r="X41" i="28"/>
  <c r="F41" i="28"/>
  <c r="Y40" i="28"/>
  <c r="X40" i="28"/>
  <c r="F40" i="28"/>
  <c r="Y39" i="28"/>
  <c r="X39" i="28"/>
  <c r="F39" i="28"/>
  <c r="Y38" i="28"/>
  <c r="X38" i="28"/>
  <c r="F38" i="28"/>
  <c r="Y37" i="28"/>
  <c r="X37" i="28"/>
  <c r="F37" i="28"/>
  <c r="Y36" i="28"/>
  <c r="X36" i="28"/>
  <c r="F36" i="28"/>
  <c r="Y35" i="28"/>
  <c r="X35" i="28"/>
  <c r="F35" i="28"/>
  <c r="Y34" i="28"/>
  <c r="X34" i="28"/>
  <c r="F34" i="28"/>
  <c r="Y33" i="28"/>
  <c r="X33" i="28"/>
  <c r="F33" i="28"/>
  <c r="Y32" i="28"/>
  <c r="X32" i="28"/>
  <c r="F32" i="28"/>
  <c r="Y31" i="28"/>
  <c r="X31" i="28"/>
  <c r="F31" i="28"/>
  <c r="Y30" i="28"/>
  <c r="X30" i="28"/>
  <c r="F30" i="28"/>
  <c r="Y29" i="28"/>
  <c r="X29" i="28"/>
  <c r="F29" i="28"/>
  <c r="Y28" i="28"/>
  <c r="X28" i="28"/>
  <c r="F28" i="28"/>
  <c r="Y27" i="28"/>
  <c r="X27" i="28"/>
  <c r="F27" i="28"/>
  <c r="Y26" i="28"/>
  <c r="X26" i="28"/>
  <c r="F26" i="28"/>
  <c r="Y25" i="28"/>
  <c r="X25" i="28"/>
  <c r="F25" i="28"/>
  <c r="Y24" i="28"/>
  <c r="X24" i="28"/>
  <c r="F24" i="28"/>
  <c r="Y23" i="28"/>
  <c r="X23" i="28"/>
  <c r="F23" i="28"/>
  <c r="Y22" i="28"/>
  <c r="X22" i="28"/>
  <c r="F22" i="28"/>
  <c r="Y21" i="28"/>
  <c r="X21" i="28"/>
  <c r="F21" i="28"/>
  <c r="Y20" i="28"/>
  <c r="X20" i="28"/>
  <c r="F20" i="28"/>
  <c r="Y19" i="28"/>
  <c r="X19" i="28"/>
  <c r="F19" i="28"/>
  <c r="Y18" i="28"/>
  <c r="X18" i="28"/>
  <c r="F18" i="28"/>
  <c r="Y17" i="28"/>
  <c r="X17" i="28"/>
  <c r="F17" i="28"/>
  <c r="Y16" i="28"/>
  <c r="X16" i="28"/>
  <c r="F16" i="28"/>
  <c r="Y15" i="28"/>
  <c r="X15" i="28"/>
  <c r="F15" i="28"/>
  <c r="Y14" i="28"/>
  <c r="X14" i="28"/>
  <c r="F14" i="28"/>
  <c r="Y13" i="28"/>
  <c r="X13" i="28"/>
  <c r="F13" i="28"/>
  <c r="Y12" i="28"/>
  <c r="X12" i="28"/>
  <c r="F12" i="28"/>
  <c r="Y11" i="28"/>
  <c r="X11" i="28"/>
  <c r="F11" i="28"/>
  <c r="Y10" i="28"/>
  <c r="X10" i="28"/>
  <c r="F10" i="28"/>
  <c r="Y9" i="28"/>
  <c r="X9" i="28"/>
  <c r="F9" i="28"/>
  <c r="Y8" i="28"/>
  <c r="X8" i="28"/>
  <c r="F8" i="28"/>
  <c r="B8" i="28"/>
  <c r="Y7" i="28"/>
  <c r="X7" i="28"/>
  <c r="F7" i="28"/>
  <c r="Y6" i="28"/>
  <c r="X6" i="28"/>
  <c r="F6" i="28"/>
  <c r="Y5" i="28"/>
  <c r="X5" i="28"/>
  <c r="F5" i="28"/>
  <c r="Y4" i="28"/>
  <c r="X4" i="28"/>
  <c r="F4" i="28"/>
  <c r="Y3" i="28"/>
  <c r="X3" i="28"/>
  <c r="F3" i="28"/>
  <c r="I5" i="1"/>
  <c r="H5" i="1"/>
  <c r="G5" i="1"/>
  <c r="F5" i="1"/>
  <c r="E5" i="1"/>
  <c r="D5" i="1"/>
  <c r="C5" i="1"/>
  <c r="B5" i="1"/>
  <c r="I53" i="27"/>
  <c r="M3" i="27" s="1"/>
  <c r="O5" i="1" s="1"/>
  <c r="H53" i="27"/>
  <c r="L3" i="27" s="1"/>
  <c r="G53" i="27"/>
  <c r="K3" i="27" s="1"/>
  <c r="M5" i="1" s="1"/>
  <c r="Y52" i="27"/>
  <c r="X52" i="27"/>
  <c r="F52" i="27"/>
  <c r="Y51" i="27"/>
  <c r="X51" i="27"/>
  <c r="F51" i="27"/>
  <c r="Y50" i="27"/>
  <c r="X50" i="27"/>
  <c r="F50" i="27"/>
  <c r="Y49" i="27"/>
  <c r="X49" i="27"/>
  <c r="F49" i="27"/>
  <c r="Y48" i="27"/>
  <c r="X48" i="27"/>
  <c r="F48" i="27"/>
  <c r="Y47" i="27"/>
  <c r="X47" i="27"/>
  <c r="F47" i="27"/>
  <c r="Y46" i="27"/>
  <c r="X46" i="27"/>
  <c r="F46" i="27"/>
  <c r="Y45" i="27"/>
  <c r="X45" i="27"/>
  <c r="F45" i="27"/>
  <c r="Y44" i="27"/>
  <c r="X44" i="27"/>
  <c r="F44" i="27"/>
  <c r="Y43" i="27"/>
  <c r="X43" i="27"/>
  <c r="F43" i="27"/>
  <c r="Y42" i="27"/>
  <c r="X42" i="27"/>
  <c r="F42" i="27"/>
  <c r="Y41" i="27"/>
  <c r="X41" i="27"/>
  <c r="F41" i="27"/>
  <c r="Y40" i="27"/>
  <c r="X40" i="27"/>
  <c r="F40" i="27"/>
  <c r="Y39" i="27"/>
  <c r="X39" i="27"/>
  <c r="F39" i="27"/>
  <c r="Y38" i="27"/>
  <c r="X38" i="27"/>
  <c r="F38" i="27"/>
  <c r="Y37" i="27"/>
  <c r="X37" i="27"/>
  <c r="F37" i="27"/>
  <c r="Y36" i="27"/>
  <c r="X36" i="27"/>
  <c r="F36" i="27"/>
  <c r="Y35" i="27"/>
  <c r="X35" i="27"/>
  <c r="F35" i="27"/>
  <c r="Y34" i="27"/>
  <c r="X34" i="27"/>
  <c r="F34" i="27"/>
  <c r="Y33" i="27"/>
  <c r="X33" i="27"/>
  <c r="F33" i="27"/>
  <c r="Y32" i="27"/>
  <c r="X32" i="27"/>
  <c r="F32" i="27"/>
  <c r="Y31" i="27"/>
  <c r="X31" i="27"/>
  <c r="F31" i="27"/>
  <c r="Y30" i="27"/>
  <c r="X30" i="27"/>
  <c r="F30" i="27"/>
  <c r="Y29" i="27"/>
  <c r="X29" i="27"/>
  <c r="F29" i="27"/>
  <c r="Y28" i="27"/>
  <c r="X28" i="27"/>
  <c r="F28" i="27"/>
  <c r="Y27" i="27"/>
  <c r="X27" i="27"/>
  <c r="F27" i="27"/>
  <c r="Y26" i="27"/>
  <c r="X26" i="27"/>
  <c r="F26" i="27"/>
  <c r="Y25" i="27"/>
  <c r="X25" i="27"/>
  <c r="F25" i="27"/>
  <c r="Y24" i="27"/>
  <c r="X24" i="27"/>
  <c r="F24" i="27"/>
  <c r="Y23" i="27"/>
  <c r="X23" i="27"/>
  <c r="F23" i="27"/>
  <c r="Y22" i="27"/>
  <c r="X22" i="27"/>
  <c r="F22" i="27"/>
  <c r="Y21" i="27"/>
  <c r="X21" i="27"/>
  <c r="F21" i="27"/>
  <c r="Y20" i="27"/>
  <c r="X20" i="27"/>
  <c r="F20" i="27"/>
  <c r="Y19" i="27"/>
  <c r="X19" i="27"/>
  <c r="F19" i="27"/>
  <c r="Y18" i="27"/>
  <c r="X18" i="27"/>
  <c r="F18" i="27"/>
  <c r="Y17" i="27"/>
  <c r="X17" i="27"/>
  <c r="F17" i="27"/>
  <c r="Y16" i="27"/>
  <c r="X16" i="27"/>
  <c r="F16" i="27"/>
  <c r="Y15" i="27"/>
  <c r="X15" i="27"/>
  <c r="F15" i="27"/>
  <c r="Y14" i="27"/>
  <c r="X14" i="27"/>
  <c r="F14" i="27"/>
  <c r="Y13" i="27"/>
  <c r="X13" i="27"/>
  <c r="F13" i="27"/>
  <c r="Y12" i="27"/>
  <c r="X12" i="27"/>
  <c r="F12" i="27"/>
  <c r="Y11" i="27"/>
  <c r="X11" i="27"/>
  <c r="F11" i="27"/>
  <c r="Y10" i="27"/>
  <c r="X10" i="27"/>
  <c r="F10" i="27"/>
  <c r="Y9" i="27"/>
  <c r="X9" i="27"/>
  <c r="F9" i="27"/>
  <c r="Y8" i="27"/>
  <c r="X8" i="27"/>
  <c r="F8" i="27"/>
  <c r="B8" i="27"/>
  <c r="Y7" i="27"/>
  <c r="X7" i="27"/>
  <c r="F7" i="27"/>
  <c r="Y6" i="27"/>
  <c r="X6" i="27"/>
  <c r="F6" i="27"/>
  <c r="Y5" i="27"/>
  <c r="X5" i="27"/>
  <c r="F5" i="27"/>
  <c r="Y4" i="27"/>
  <c r="X4" i="27"/>
  <c r="F4" i="27"/>
  <c r="Y3" i="27"/>
  <c r="X3" i="27"/>
  <c r="F3" i="27"/>
  <c r="I4" i="1"/>
  <c r="H4" i="1"/>
  <c r="G4" i="1"/>
  <c r="F4" i="1"/>
  <c r="E4" i="1"/>
  <c r="D4" i="1"/>
  <c r="C4" i="1"/>
  <c r="B4" i="1"/>
  <c r="I3" i="1"/>
  <c r="H3" i="1"/>
  <c r="G3" i="1"/>
  <c r="E3" i="1"/>
  <c r="D3" i="1"/>
  <c r="C3" i="1"/>
  <c r="B3" i="1"/>
  <c r="I53" i="26"/>
  <c r="M3" i="26" s="1"/>
  <c r="O4" i="1" s="1"/>
  <c r="H53" i="26"/>
  <c r="L3" i="26" s="1"/>
  <c r="G53" i="26"/>
  <c r="K3" i="26" s="1"/>
  <c r="M4" i="1" s="1"/>
  <c r="Y52" i="26"/>
  <c r="X52" i="26"/>
  <c r="F52" i="26"/>
  <c r="Y51" i="26"/>
  <c r="X51" i="26"/>
  <c r="F51" i="26"/>
  <c r="Y50" i="26"/>
  <c r="X50" i="26"/>
  <c r="F50" i="26"/>
  <c r="Y49" i="26"/>
  <c r="X49" i="26"/>
  <c r="F49" i="26"/>
  <c r="Y48" i="26"/>
  <c r="X48" i="26"/>
  <c r="F48" i="26"/>
  <c r="Y47" i="26"/>
  <c r="X47" i="26"/>
  <c r="F47" i="26"/>
  <c r="Y46" i="26"/>
  <c r="X46" i="26"/>
  <c r="F46" i="26"/>
  <c r="Y45" i="26"/>
  <c r="X45" i="26"/>
  <c r="F45" i="26"/>
  <c r="Y44" i="26"/>
  <c r="X44" i="26"/>
  <c r="F44" i="26"/>
  <c r="Y43" i="26"/>
  <c r="X43" i="26"/>
  <c r="F43" i="26"/>
  <c r="Y42" i="26"/>
  <c r="X42" i="26"/>
  <c r="F42" i="26"/>
  <c r="Y41" i="26"/>
  <c r="X41" i="26"/>
  <c r="F41" i="26"/>
  <c r="Y40" i="26"/>
  <c r="X40" i="26"/>
  <c r="F40" i="26"/>
  <c r="Y39" i="26"/>
  <c r="X39" i="26"/>
  <c r="F39" i="26"/>
  <c r="Y38" i="26"/>
  <c r="X38" i="26"/>
  <c r="F38" i="26"/>
  <c r="Y37" i="26"/>
  <c r="X37" i="26"/>
  <c r="F37" i="26"/>
  <c r="Y36" i="26"/>
  <c r="X36" i="26"/>
  <c r="F36" i="26"/>
  <c r="Y35" i="26"/>
  <c r="X35" i="26"/>
  <c r="F35" i="26"/>
  <c r="Y34" i="26"/>
  <c r="X34" i="26"/>
  <c r="F34" i="26"/>
  <c r="Y33" i="26"/>
  <c r="X33" i="26"/>
  <c r="F33" i="26"/>
  <c r="Y32" i="26"/>
  <c r="X32" i="26"/>
  <c r="F32" i="26"/>
  <c r="Y31" i="26"/>
  <c r="X31" i="26"/>
  <c r="F31" i="26"/>
  <c r="Y30" i="26"/>
  <c r="X30" i="26"/>
  <c r="F30" i="26"/>
  <c r="Y29" i="26"/>
  <c r="X29" i="26"/>
  <c r="F29" i="26"/>
  <c r="Y28" i="26"/>
  <c r="X28" i="26"/>
  <c r="F28" i="26"/>
  <c r="Y27" i="26"/>
  <c r="X27" i="26"/>
  <c r="F27" i="26"/>
  <c r="Y26" i="26"/>
  <c r="X26" i="26"/>
  <c r="F26" i="26"/>
  <c r="Y25" i="26"/>
  <c r="X25" i="26"/>
  <c r="F25" i="26"/>
  <c r="Y24" i="26"/>
  <c r="X24" i="26"/>
  <c r="F24" i="26"/>
  <c r="Y23" i="26"/>
  <c r="X23" i="26"/>
  <c r="F23" i="26"/>
  <c r="Y22" i="26"/>
  <c r="X22" i="26"/>
  <c r="F22" i="26"/>
  <c r="Y21" i="26"/>
  <c r="X21" i="26"/>
  <c r="F21" i="26"/>
  <c r="Y20" i="26"/>
  <c r="X20" i="26"/>
  <c r="F20" i="26"/>
  <c r="Y19" i="26"/>
  <c r="X19" i="26"/>
  <c r="F19" i="26"/>
  <c r="Y18" i="26"/>
  <c r="X18" i="26"/>
  <c r="F18" i="26"/>
  <c r="Y17" i="26"/>
  <c r="X17" i="26"/>
  <c r="F17" i="26"/>
  <c r="Y16" i="26"/>
  <c r="X16" i="26"/>
  <c r="F16" i="26"/>
  <c r="Y15" i="26"/>
  <c r="X15" i="26"/>
  <c r="F15" i="26"/>
  <c r="Y14" i="26"/>
  <c r="X14" i="26"/>
  <c r="F14" i="26"/>
  <c r="Y13" i="26"/>
  <c r="X13" i="26"/>
  <c r="F13" i="26"/>
  <c r="Y12" i="26"/>
  <c r="X12" i="26"/>
  <c r="F12" i="26"/>
  <c r="Y11" i="26"/>
  <c r="X11" i="26"/>
  <c r="F11" i="26"/>
  <c r="Y10" i="26"/>
  <c r="X10" i="26"/>
  <c r="F10" i="26"/>
  <c r="Y9" i="26"/>
  <c r="X9" i="26"/>
  <c r="F9" i="26"/>
  <c r="Y8" i="26"/>
  <c r="X8" i="26"/>
  <c r="F8" i="26"/>
  <c r="B8" i="26"/>
  <c r="Y7" i="26"/>
  <c r="X7" i="26"/>
  <c r="F7" i="26"/>
  <c r="Y6" i="26"/>
  <c r="X6" i="26"/>
  <c r="F6" i="26"/>
  <c r="Y5" i="26"/>
  <c r="X5" i="26"/>
  <c r="F5" i="26"/>
  <c r="Y4" i="26"/>
  <c r="X4" i="26"/>
  <c r="F4" i="26"/>
  <c r="Y3" i="26"/>
  <c r="X3" i="26"/>
  <c r="F3" i="26"/>
  <c r="F4" i="24"/>
  <c r="I53" i="24"/>
  <c r="M3" i="24" s="1"/>
  <c r="O3" i="1" s="1"/>
  <c r="H53" i="24"/>
  <c r="L3" i="24" s="1"/>
  <c r="G53" i="24"/>
  <c r="K3" i="24" s="1"/>
  <c r="M3" i="1" s="1"/>
  <c r="Y52" i="24"/>
  <c r="X52" i="24"/>
  <c r="F52" i="24"/>
  <c r="Y51" i="24"/>
  <c r="X51" i="24"/>
  <c r="F51" i="24"/>
  <c r="Y50" i="24"/>
  <c r="X50" i="24"/>
  <c r="F50" i="24"/>
  <c r="Y49" i="24"/>
  <c r="X49" i="24"/>
  <c r="F49" i="24"/>
  <c r="Y48" i="24"/>
  <c r="X48" i="24"/>
  <c r="F48" i="24"/>
  <c r="Y47" i="24"/>
  <c r="X47" i="24"/>
  <c r="F47" i="24"/>
  <c r="Y46" i="24"/>
  <c r="X46" i="24"/>
  <c r="F46" i="24"/>
  <c r="Y45" i="24"/>
  <c r="X45" i="24"/>
  <c r="F45" i="24"/>
  <c r="Y44" i="24"/>
  <c r="X44" i="24"/>
  <c r="F44" i="24"/>
  <c r="Y43" i="24"/>
  <c r="X43" i="24"/>
  <c r="F43" i="24"/>
  <c r="Y42" i="24"/>
  <c r="X42" i="24"/>
  <c r="F42" i="24"/>
  <c r="Y41" i="24"/>
  <c r="X41" i="24"/>
  <c r="F41" i="24"/>
  <c r="Y40" i="24"/>
  <c r="X40" i="24"/>
  <c r="F40" i="24"/>
  <c r="Y39" i="24"/>
  <c r="X39" i="24"/>
  <c r="F39" i="24"/>
  <c r="Y38" i="24"/>
  <c r="X38" i="24"/>
  <c r="F38" i="24"/>
  <c r="Y37" i="24"/>
  <c r="X37" i="24"/>
  <c r="F37" i="24"/>
  <c r="Y36" i="24"/>
  <c r="X36" i="24"/>
  <c r="F36" i="24"/>
  <c r="Y35" i="24"/>
  <c r="X35" i="24"/>
  <c r="F35" i="24"/>
  <c r="Y34" i="24"/>
  <c r="X34" i="24"/>
  <c r="F34" i="24"/>
  <c r="Y33" i="24"/>
  <c r="X33" i="24"/>
  <c r="F33" i="24"/>
  <c r="Y32" i="24"/>
  <c r="X32" i="24"/>
  <c r="F32" i="24"/>
  <c r="Y31" i="24"/>
  <c r="X31" i="24"/>
  <c r="F31" i="24"/>
  <c r="Y30" i="24"/>
  <c r="X30" i="24"/>
  <c r="F30" i="24"/>
  <c r="Y29" i="24"/>
  <c r="X29" i="24"/>
  <c r="F29" i="24"/>
  <c r="Y28" i="24"/>
  <c r="X28" i="24"/>
  <c r="F28" i="24"/>
  <c r="Y27" i="24"/>
  <c r="X27" i="24"/>
  <c r="F27" i="24"/>
  <c r="Y26" i="24"/>
  <c r="X26" i="24"/>
  <c r="F26" i="24"/>
  <c r="Y25" i="24"/>
  <c r="X25" i="24"/>
  <c r="F25" i="24"/>
  <c r="Y24" i="24"/>
  <c r="X24" i="24"/>
  <c r="F24" i="24"/>
  <c r="Y23" i="24"/>
  <c r="X23" i="24"/>
  <c r="F23" i="24"/>
  <c r="Y22" i="24"/>
  <c r="X22" i="24"/>
  <c r="F22" i="24"/>
  <c r="Y21" i="24"/>
  <c r="X21" i="24"/>
  <c r="F21" i="24"/>
  <c r="Y20" i="24"/>
  <c r="X20" i="24"/>
  <c r="F20" i="24"/>
  <c r="Y19" i="24"/>
  <c r="X19" i="24"/>
  <c r="F19" i="24"/>
  <c r="Y18" i="24"/>
  <c r="X18" i="24"/>
  <c r="F18" i="24"/>
  <c r="Y17" i="24"/>
  <c r="X17" i="24"/>
  <c r="F17" i="24"/>
  <c r="Y16" i="24"/>
  <c r="X16" i="24"/>
  <c r="F16" i="24"/>
  <c r="Y15" i="24"/>
  <c r="X15" i="24"/>
  <c r="F15" i="24"/>
  <c r="Y14" i="24"/>
  <c r="X14" i="24"/>
  <c r="F14" i="24"/>
  <c r="Y13" i="24"/>
  <c r="X13" i="24"/>
  <c r="F13" i="24"/>
  <c r="Y12" i="24"/>
  <c r="X12" i="24"/>
  <c r="F12" i="24"/>
  <c r="Y11" i="24"/>
  <c r="X11" i="24"/>
  <c r="F11" i="24"/>
  <c r="Y10" i="24"/>
  <c r="X10" i="24"/>
  <c r="F10" i="24"/>
  <c r="Y9" i="24"/>
  <c r="X9" i="24"/>
  <c r="F9" i="24"/>
  <c r="Y8" i="24"/>
  <c r="X8" i="24"/>
  <c r="F8" i="24"/>
  <c r="B8" i="24"/>
  <c r="F3" i="1" s="1"/>
  <c r="Y7" i="24"/>
  <c r="X7" i="24"/>
  <c r="F7" i="24"/>
  <c r="Y6" i="24"/>
  <c r="X6" i="24"/>
  <c r="F6" i="24"/>
  <c r="Y5" i="24"/>
  <c r="X5" i="24"/>
  <c r="F5" i="24"/>
  <c r="Y4" i="24"/>
  <c r="X4" i="24"/>
  <c r="Y3" i="24"/>
  <c r="X3" i="24"/>
  <c r="F3" i="24"/>
  <c r="AC13" i="1" l="1"/>
  <c r="AA3" i="1"/>
  <c r="N4" i="1"/>
  <c r="N12" i="1"/>
  <c r="N5" i="1"/>
  <c r="N11" i="1"/>
  <c r="O3" i="34"/>
  <c r="J12" i="1" s="1"/>
  <c r="N3" i="34"/>
  <c r="B12" i="34"/>
  <c r="Q3" i="34"/>
  <c r="Z3" i="34"/>
  <c r="N7" i="1"/>
  <c r="N8" i="1"/>
  <c r="N6" i="1"/>
  <c r="Z3" i="28"/>
  <c r="P3" i="28" s="1"/>
  <c r="L6" i="1" s="1"/>
  <c r="M6" i="1"/>
  <c r="Q3" i="28"/>
  <c r="N3" i="1"/>
  <c r="AC9" i="1"/>
  <c r="M11" i="1"/>
  <c r="U3" i="1" s="1"/>
  <c r="R3" i="1" s="1"/>
  <c r="Z3" i="33"/>
  <c r="Q3" i="33"/>
  <c r="B12" i="33"/>
  <c r="N3" i="33"/>
  <c r="N10" i="1"/>
  <c r="Q3" i="31"/>
  <c r="M9" i="1"/>
  <c r="Z3" i="32"/>
  <c r="O3" i="32"/>
  <c r="J10" i="1" s="1"/>
  <c r="B12" i="32"/>
  <c r="K10" i="1" s="1"/>
  <c r="N3" i="32"/>
  <c r="Q3" i="32"/>
  <c r="N9" i="1"/>
  <c r="N3" i="31"/>
  <c r="B12" i="31"/>
  <c r="K9" i="1" s="1"/>
  <c r="O3" i="31"/>
  <c r="J9" i="1" s="1"/>
  <c r="O3" i="30"/>
  <c r="J8" i="1" s="1"/>
  <c r="Q3" i="30"/>
  <c r="Z3" i="30"/>
  <c r="N3" i="30"/>
  <c r="B12" i="30"/>
  <c r="K8" i="1" s="1"/>
  <c r="Z3" i="29"/>
  <c r="Q3" i="29"/>
  <c r="N3" i="29"/>
  <c r="B12" i="29"/>
  <c r="K7" i="1" s="1"/>
  <c r="O3" i="29"/>
  <c r="J7" i="1" s="1"/>
  <c r="N3" i="28"/>
  <c r="B12" i="28"/>
  <c r="K6" i="1" s="1"/>
  <c r="O3" i="28"/>
  <c r="J6" i="1" s="1"/>
  <c r="Z3" i="27"/>
  <c r="B12" i="27"/>
  <c r="K5" i="1" s="1"/>
  <c r="O3" i="27"/>
  <c r="J5" i="1" s="1"/>
  <c r="N3" i="27"/>
  <c r="Q3" i="27"/>
  <c r="Z3" i="26"/>
  <c r="Q3" i="26"/>
  <c r="N3" i="26"/>
  <c r="B12" i="26"/>
  <c r="K4" i="1" s="1"/>
  <c r="O3" i="26"/>
  <c r="J4" i="1" s="1"/>
  <c r="O3" i="24"/>
  <c r="J3" i="1" s="1"/>
  <c r="N3" i="24"/>
  <c r="B12" i="24"/>
  <c r="K3" i="1" s="1"/>
  <c r="Q3" i="24"/>
  <c r="Z3" i="24"/>
  <c r="V3" i="1" l="1"/>
  <c r="K12" i="1"/>
  <c r="P3" i="34"/>
  <c r="L12" i="1" s="1"/>
  <c r="AC12" i="1"/>
  <c r="K11" i="1"/>
  <c r="AC6" i="1"/>
  <c r="P3" i="33"/>
  <c r="L11" i="1" s="1"/>
  <c r="AC11" i="1"/>
  <c r="P3" i="32"/>
  <c r="L10" i="1" s="1"/>
  <c r="AC10" i="1"/>
  <c r="P3" i="30"/>
  <c r="L8" i="1" s="1"/>
  <c r="AC8" i="1"/>
  <c r="P3" i="29"/>
  <c r="L7" i="1" s="1"/>
  <c r="AC7" i="1"/>
  <c r="P3" i="27"/>
  <c r="L5" i="1" s="1"/>
  <c r="AC5" i="1"/>
  <c r="P3" i="26"/>
  <c r="L4" i="1" s="1"/>
  <c r="AC4" i="1"/>
  <c r="P3" i="24"/>
  <c r="L3" i="1" s="1"/>
  <c r="AC3" i="1"/>
  <c r="H2" i="15"/>
  <c r="S3" i="1" s="1"/>
  <c r="G2" i="15" l="1"/>
  <c r="F2" i="15"/>
  <c r="I2" i="15" l="1"/>
  <c r="Q3" i="1" s="1"/>
  <c r="W3" i="1" s="1"/>
  <c r="K200" i="15" l="1"/>
  <c r="Y3" i="1"/>
  <c r="T3" i="1"/>
  <c r="X3" i="1"/>
  <c r="Z3" i="1"/>
</calcChain>
</file>

<file path=xl/sharedStrings.xml><?xml version="1.0" encoding="utf-8"?>
<sst xmlns="http://schemas.openxmlformats.org/spreadsheetml/2006/main" count="498" uniqueCount="62">
  <si>
    <t>Paskola</t>
  </si>
  <si>
    <t>Palūkanos</t>
  </si>
  <si>
    <t>Data</t>
  </si>
  <si>
    <t>Pavadinimas</t>
  </si>
  <si>
    <t>Vertė</t>
  </si>
  <si>
    <t>%</t>
  </si>
  <si>
    <t>Gryni</t>
  </si>
  <si>
    <t>Premija</t>
  </si>
  <si>
    <t>Investuota</t>
  </si>
  <si>
    <t>Įnešta</t>
  </si>
  <si>
    <t>Išimta</t>
  </si>
  <si>
    <t>Skirtumas</t>
  </si>
  <si>
    <t>Principal</t>
  </si>
  <si>
    <t>Interest</t>
  </si>
  <si>
    <t>Viso:</t>
  </si>
  <si>
    <t>Šalis</t>
  </si>
  <si>
    <t>Terminas</t>
  </si>
  <si>
    <t>ID 205551187 - 10000159</t>
  </si>
  <si>
    <t>Loan ID</t>
  </si>
  <si>
    <t>Bulgaria</t>
  </si>
  <si>
    <t>Skolintojas</t>
  </si>
  <si>
    <t>Lev Credit</t>
  </si>
  <si>
    <t>Tipas</t>
  </si>
  <si>
    <t>Business loan</t>
  </si>
  <si>
    <t>Pradžia</t>
  </si>
  <si>
    <t>ID 205551187 - 10000160</t>
  </si>
  <si>
    <t>ID 205551187 - 10000158</t>
  </si>
  <si>
    <t>ID 202557159 - 10000170</t>
  </si>
  <si>
    <t>Stikcredit</t>
  </si>
  <si>
    <t>Kompanija</t>
  </si>
  <si>
    <t>Pinigai</t>
  </si>
  <si>
    <t>Grąžinta</t>
  </si>
  <si>
    <t>ID 203811241 - 10000212</t>
  </si>
  <si>
    <t>Lendivo</t>
  </si>
  <si>
    <t>ID 205174291 - 10000263</t>
  </si>
  <si>
    <t>Tiberus</t>
  </si>
  <si>
    <t>ID 202557159 - 10000288</t>
  </si>
  <si>
    <t>Stickcredit</t>
  </si>
  <si>
    <t>ID 202557159 - 10000437</t>
  </si>
  <si>
    <t>Mokesčiai</t>
  </si>
  <si>
    <t>XIRR</t>
  </si>
  <si>
    <t>Grąžinimas</t>
  </si>
  <si>
    <t>Suma</t>
  </si>
  <si>
    <t>Mokestis</t>
  </si>
  <si>
    <t>Pabaiga</t>
  </si>
  <si>
    <t>Planuojama</t>
  </si>
  <si>
    <t>Reali</t>
  </si>
  <si>
    <t>ID 205174291 - 10000591</t>
  </si>
  <si>
    <t>Nr.</t>
  </si>
  <si>
    <t>Vėluoja</t>
  </si>
  <si>
    <t>Liko</t>
  </si>
  <si>
    <t>Vėl./Anks.</t>
  </si>
  <si>
    <t>Liko, dienos</t>
  </si>
  <si>
    <t>Investuota, Eur</t>
  </si>
  <si>
    <t>Inv. data</t>
  </si>
  <si>
    <t>ID 205174291 - 10000722</t>
  </si>
  <si>
    <t>ID 205174291 - 10001244</t>
  </si>
  <si>
    <t xml:space="preserve">Premijos </t>
  </si>
  <si>
    <t>Eur.</t>
  </si>
  <si>
    <t>Viso</t>
  </si>
  <si>
    <t>ID 205174291 - 10001352</t>
  </si>
  <si>
    <t>ID 205174291 - 10001457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</si>
</sst>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.mm\.dd;@"/>
    <numFmt numFmtId="165" formatCode="yyyy/mm/dd;@"/>
  </numFmts>
  <fonts count="5" x14ac:knownFonts="1">
    <font>
      <sz val="11"/>
      <color theme="1"/>
      <name val="Calibri"/>
      <family val="2"/>
      <charset val="186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charset val="186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charset val="186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2" fontId="0" fillId="0" borderId="0" xfId="0" applyNumberFormat="1" applyAlignment="1">
      <alignment horizontal="center"/>
    </xf>
    <xf numFmtId="164" fontId="0" fillId="0" borderId="1" xfId="0" quotePrefix="1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165" fontId="0" fillId="0" borderId="0" xfId="0" applyNumberFormat="1"/>
    <xf numFmtId="0" fontId="0" fillId="0" borderId="0" xfId="0" applyAlignment="1">
      <alignment horizontal="center"/>
    </xf>
    <xf numFmtId="164" fontId="0" fillId="0" borderId="1" xfId="0" applyNumberFormat="1" applyBorder="1"/>
    <xf numFmtId="0" fontId="1" fillId="0" borderId="0" xfId="0" applyFont="1" applyAlignment="1">
      <alignment horizontal="center"/>
    </xf>
    <xf numFmtId="1" fontId="0" fillId="0" borderId="1" xfId="0" applyNumberFormat="1" applyBorder="1" applyAlignment="1">
      <alignment horizontal="center"/>
    </xf>
    <xf numFmtId="10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8" xfId="0" applyFont="1" applyBorder="1" applyAlignment="1">
      <alignment horizontal="center" vertical="center"/>
    </xf>
    <xf numFmtId="1" fontId="0" fillId="0" borderId="1" xfId="0" applyNumberFormat="1" applyBorder="1"/>
    <xf numFmtId="0" fontId="2" fillId="0" borderId="1" xfId="1" applyBorder="1" applyAlignment="1">
      <alignment horizontal="center"/>
    </xf>
    <xf numFmtId="0" fontId="1" fillId="0" borderId="4" xfId="0" applyFont="1" applyBorder="1" applyAlignment="1">
      <alignment horizontal="center"/>
    </xf>
    <xf numFmtId="14" fontId="0" fillId="0" borderId="1" xfId="0" applyNumberFormat="1" applyBorder="1"/>
    <xf numFmtId="165" fontId="0" fillId="0" borderId="1" xfId="0" applyNumberFormat="1" applyBorder="1" applyAlignment="1">
      <alignment horizontal="center"/>
    </xf>
    <xf numFmtId="0" fontId="2" fillId="0" borderId="0" xfId="1" applyFill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2" fontId="0" fillId="0" borderId="1" xfId="0" applyNumberFormat="1" applyBorder="1"/>
    <xf numFmtId="0" fontId="2" fillId="0" borderId="1" xfId="1" applyFill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2" fontId="1" fillId="0" borderId="0" xfId="0" applyNumberFormat="1" applyFont="1" applyAlignment="1">
      <alignment horizontal="center"/>
    </xf>
    <xf numFmtId="2" fontId="3" fillId="0" borderId="1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/>
    </xf>
    <xf numFmtId="10" fontId="3" fillId="0" borderId="0" xfId="0" applyNumberFormat="1" applyFont="1" applyAlignment="1">
      <alignment horizontal="center"/>
    </xf>
    <xf numFmtId="10" fontId="3" fillId="0" borderId="1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center"/>
    </xf>
    <xf numFmtId="165" fontId="0" fillId="0" borderId="1" xfId="0" quotePrefix="1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58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7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B075466-8F55-4EDF-A6FB-15B890F937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5BD4ED-4B57-4162-83D2-854F97D203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0775C4-BAB6-4D13-B640-C0DF738ECB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CBE527D-4A23-4E4A-AC7E-1AFBA1CAB5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E4D48B-03EB-4D83-A46B-315D6745E7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7FF4319-555E-4F69-8EBB-76B3297F20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A793C6-D2B0-460B-B330-1B6E7FE7CD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D16E9C-0AB8-45AB-928F-FA2477F657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7B75D7-93D2-48E8-AD9A-78030D97E0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DEFBA9-93E5-4EF0-9E7B-D6DF25DCCA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2ECCA0-80A3-426C-A608-F4925BC224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F1463A4-8800-48EC-B2CB-1A3F6A0C6A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3" name="Graphic 2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017D47-8ACC-44B1-A3E7-14DB17D7DD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7"/>
  <sheetViews>
    <sheetView tabSelected="1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K32" sqref="K32"/>
    </sheetView>
  </sheetViews>
  <sheetFormatPr defaultRowHeight="15" x14ac:dyDescent="0.25"/>
  <cols>
    <col min="1" max="1" width="4.7109375" customWidth="1"/>
    <col min="2" max="2" width="12.7109375" customWidth="1"/>
    <col min="3" max="3" width="25.7109375" customWidth="1"/>
    <col min="4" max="5" width="10.7109375" customWidth="1"/>
    <col min="6" max="6" width="20.7109375" customWidth="1"/>
    <col min="7" max="8" width="10.7109375" customWidth="1"/>
    <col min="9" max="10" width="12.7109375" customWidth="1"/>
    <col min="11" max="12" width="8.7109375" customWidth="1"/>
    <col min="13" max="15" width="10.7109375" customWidth="1"/>
    <col min="16" max="16" width="5.7109375" customWidth="1"/>
    <col min="17" max="27" width="10.7109375" customWidth="1"/>
  </cols>
  <sheetData>
    <row r="1" spans="1:29" x14ac:dyDescent="0.25">
      <c r="A1" s="39" t="s">
        <v>0</v>
      </c>
      <c r="B1" s="39"/>
      <c r="C1" s="39"/>
      <c r="D1" s="39"/>
      <c r="E1" s="39"/>
      <c r="F1" s="39"/>
      <c r="G1" s="39"/>
      <c r="H1" s="40"/>
      <c r="I1" s="41" t="s">
        <v>44</v>
      </c>
      <c r="J1" s="42"/>
      <c r="K1" s="42"/>
      <c r="L1" s="43"/>
      <c r="M1" s="44" t="s">
        <v>31</v>
      </c>
      <c r="N1" s="44"/>
      <c r="O1" s="44"/>
      <c r="Q1" s="45" t="s">
        <v>30</v>
      </c>
      <c r="R1" s="46"/>
      <c r="S1" s="46"/>
      <c r="T1" s="47"/>
      <c r="U1" s="45" t="s">
        <v>31</v>
      </c>
      <c r="V1" s="47"/>
      <c r="W1" s="41" t="s">
        <v>4</v>
      </c>
      <c r="X1" s="42"/>
      <c r="Y1" s="42"/>
      <c r="Z1" s="43"/>
      <c r="AA1" s="4" t="s">
        <v>39</v>
      </c>
    </row>
    <row r="2" spans="1:29" x14ac:dyDescent="0.25">
      <c r="A2" s="16" t="s">
        <v>48</v>
      </c>
      <c r="B2" s="20" t="s">
        <v>54</v>
      </c>
      <c r="C2" s="4" t="s">
        <v>3</v>
      </c>
      <c r="D2" s="4" t="s">
        <v>15</v>
      </c>
      <c r="E2" s="4" t="s">
        <v>29</v>
      </c>
      <c r="F2" s="4" t="s">
        <v>16</v>
      </c>
      <c r="G2" s="4" t="s">
        <v>5</v>
      </c>
      <c r="H2" s="4" t="s">
        <v>8</v>
      </c>
      <c r="I2" s="4" t="s">
        <v>45</v>
      </c>
      <c r="J2" s="4" t="s">
        <v>46</v>
      </c>
      <c r="K2" s="4" t="s">
        <v>50</v>
      </c>
      <c r="L2" s="4" t="s">
        <v>49</v>
      </c>
      <c r="M2" s="4" t="s">
        <v>0</v>
      </c>
      <c r="N2" s="4" t="s">
        <v>1</v>
      </c>
      <c r="O2" s="4" t="s">
        <v>39</v>
      </c>
      <c r="P2" s="8"/>
      <c r="Q2" s="30" t="s">
        <v>9</v>
      </c>
      <c r="R2" s="30" t="s">
        <v>8</v>
      </c>
      <c r="S2" s="4" t="s">
        <v>57</v>
      </c>
      <c r="T2" s="4" t="s">
        <v>6</v>
      </c>
      <c r="U2" s="20" t="s">
        <v>0</v>
      </c>
      <c r="V2" s="20" t="s">
        <v>1</v>
      </c>
      <c r="W2" s="4" t="s">
        <v>59</v>
      </c>
      <c r="X2" s="4" t="s">
        <v>58</v>
      </c>
      <c r="Y2" s="4" t="s">
        <v>5</v>
      </c>
      <c r="Z2" s="4" t="s">
        <v>40</v>
      </c>
      <c r="AA2" s="4" t="s">
        <v>58</v>
      </c>
      <c r="AC2" s="11" t="s">
        <v>49</v>
      </c>
    </row>
    <row r="3" spans="1:29" x14ac:dyDescent="0.25">
      <c r="A3" s="2">
        <v>1</v>
      </c>
      <c r="B3" s="6">
        <f>'10000159'!B9</f>
        <v>45962</v>
      </c>
      <c r="C3" s="22" t="str">
        <f>'10000159'!B1</f>
        <v>ID 205551187 - 10000159</v>
      </c>
      <c r="D3" s="2" t="str">
        <f>'10000159'!B2</f>
        <v>Bulgaria</v>
      </c>
      <c r="E3" s="2" t="str">
        <f>'10000159'!B3</f>
        <v>Lev Credit</v>
      </c>
      <c r="F3" s="2" t="str">
        <f>'10000159'!B8</f>
        <v>1 m. 0 mėn. 2 d.</v>
      </c>
      <c r="G3" s="7">
        <f>'10000159'!B15</f>
        <v>0.08</v>
      </c>
      <c r="H3" s="3">
        <f>'10000159'!B16</f>
        <v>80</v>
      </c>
      <c r="I3" s="6">
        <f>'10000159'!B11</f>
        <v>46329</v>
      </c>
      <c r="J3" s="6" t="str">
        <f>'10000159'!O3</f>
        <v/>
      </c>
      <c r="K3" s="17">
        <f ca="1">'10000159'!B12</f>
        <v>34</v>
      </c>
      <c r="L3" s="17" t="str">
        <f ca="1">'10000159'!P3</f>
        <v/>
      </c>
      <c r="M3" s="3">
        <f>'10000159'!K3</f>
        <v>0</v>
      </c>
      <c r="N3" s="3">
        <f>'10000159'!L3</f>
        <v>5.32</v>
      </c>
      <c r="O3" s="3">
        <f>'10000159'!M3</f>
        <v>0.49999999999999994</v>
      </c>
      <c r="P3" s="9"/>
      <c r="Q3" s="32">
        <f>Pinigai!I2</f>
        <v>300</v>
      </c>
      <c r="R3" s="32">
        <f>SUM(H3:H100)-U3</f>
        <v>317.40999999999997</v>
      </c>
      <c r="S3" s="33">
        <f>Pinigai!H2</f>
        <v>1.8699999999999999</v>
      </c>
      <c r="T3" s="32">
        <f>W3-R3</f>
        <v>2.3800000000000523</v>
      </c>
      <c r="U3" s="32">
        <f>SUM(M3:M100)</f>
        <v>31.82</v>
      </c>
      <c r="V3" s="32">
        <f>SUM(N3:N100)-AA3</f>
        <v>17.920000000000002</v>
      </c>
      <c r="W3" s="32">
        <f>Q3+V3+S3</f>
        <v>319.79000000000002</v>
      </c>
      <c r="X3" s="32">
        <f>W3-Q3</f>
        <v>19.79000000000002</v>
      </c>
      <c r="Y3" s="35">
        <f>(W3-Q3)/Q3</f>
        <v>6.5966666666666729E-2</v>
      </c>
      <c r="Z3" s="35">
        <f ca="1">XIRR(Pinigai!K2:K200,Pinigai!A2:A200)</f>
        <v>9.4623056054115307E-2</v>
      </c>
      <c r="AA3" s="32">
        <f>SUM(O3:O100)</f>
        <v>2.0699999999999998</v>
      </c>
      <c r="AC3" s="3" t="str">
        <f ca="1">'10000159'!Z3</f>
        <v/>
      </c>
    </row>
    <row r="4" spans="1:29" x14ac:dyDescent="0.25">
      <c r="A4" s="2">
        <v>2</v>
      </c>
      <c r="B4" s="6">
        <f>'10000160'!B9</f>
        <v>45962</v>
      </c>
      <c r="C4" s="22" t="str">
        <f>'10000160'!B1</f>
        <v>ID 205551187 - 10000160</v>
      </c>
      <c r="D4" s="2" t="str">
        <f>'10000160'!B2</f>
        <v>Bulgaria</v>
      </c>
      <c r="E4" s="2" t="str">
        <f>'10000160'!B3</f>
        <v>Lev Credit</v>
      </c>
      <c r="F4" s="2" t="str">
        <f>'10000160'!B8</f>
        <v>1 m. 6 mėn. 2 d.</v>
      </c>
      <c r="G4" s="7">
        <f>'10000160'!B15</f>
        <v>8.5000000000000006E-2</v>
      </c>
      <c r="H4" s="3">
        <f>'10000160'!B16</f>
        <v>10</v>
      </c>
      <c r="I4" s="6">
        <f>'10000160'!B11</f>
        <v>46510</v>
      </c>
      <c r="J4" s="6" t="str">
        <f>'10000160'!O3</f>
        <v/>
      </c>
      <c r="K4" s="17">
        <f ca="1">'10000160'!B12</f>
        <v>215</v>
      </c>
      <c r="L4" s="17" t="str">
        <f ca="1">'10000160'!P3</f>
        <v/>
      </c>
      <c r="M4" s="3">
        <f>'10000160'!K3</f>
        <v>0</v>
      </c>
      <c r="N4" s="3">
        <f>'10000160'!L3</f>
        <v>0.70000000000000018</v>
      </c>
      <c r="O4" s="3">
        <f>'10000160'!M3</f>
        <v>9.9999999999999992E-2</v>
      </c>
      <c r="P4" s="9"/>
      <c r="Q4" s="36"/>
      <c r="R4" s="36"/>
      <c r="S4" s="36"/>
      <c r="T4" s="36"/>
      <c r="U4" s="36"/>
      <c r="V4" s="36"/>
      <c r="W4" s="36"/>
      <c r="X4" s="36"/>
      <c r="Y4" s="34"/>
      <c r="Z4" s="34"/>
      <c r="AA4" s="34"/>
      <c r="AC4" s="3" t="str">
        <f ca="1">'10000160'!Z3</f>
        <v/>
      </c>
    </row>
    <row r="5" spans="1:29" x14ac:dyDescent="0.25">
      <c r="A5" s="2">
        <v>3</v>
      </c>
      <c r="B5" s="6">
        <f>'10000158'!B9</f>
        <v>45962</v>
      </c>
      <c r="C5" s="22" t="str">
        <f>'10000158'!B1</f>
        <v>ID 205551187 - 10000158</v>
      </c>
      <c r="D5" s="2" t="str">
        <f>'10000158'!B2</f>
        <v>Bulgaria</v>
      </c>
      <c r="E5" s="2" t="str">
        <f>'10000158'!B3</f>
        <v>Lev Credit</v>
      </c>
      <c r="F5" s="2" t="str">
        <f>'10000158'!B8</f>
        <v>0 m. 9 mėn. 2 d.</v>
      </c>
      <c r="G5" s="7">
        <f>'10000158'!B15</f>
        <v>7.4999999999999997E-2</v>
      </c>
      <c r="H5" s="3">
        <f>'10000158'!B16</f>
        <v>10</v>
      </c>
      <c r="I5" s="6">
        <f>'10000158'!B11</f>
        <v>46237</v>
      </c>
      <c r="J5" s="6">
        <f>'10000158'!O3</f>
        <v>46237</v>
      </c>
      <c r="K5" s="17" t="str">
        <f ca="1">'10000158'!B12</f>
        <v/>
      </c>
      <c r="L5" s="17" t="str">
        <f ca="1">'10000158'!P3</f>
        <v/>
      </c>
      <c r="M5" s="3">
        <f>'10000158'!K3</f>
        <v>10</v>
      </c>
      <c r="N5" s="3">
        <f>'10000158'!L3</f>
        <v>0.54</v>
      </c>
      <c r="O5" s="3">
        <f>'10000158'!M3</f>
        <v>0.09</v>
      </c>
      <c r="P5" s="9"/>
      <c r="AC5" s="3" t="str">
        <f ca="1">'10000158'!Z3</f>
        <v/>
      </c>
    </row>
    <row r="6" spans="1:29" x14ac:dyDescent="0.25">
      <c r="A6" s="2">
        <v>4</v>
      </c>
      <c r="B6" s="6">
        <f>'10000170'!B9</f>
        <v>45972</v>
      </c>
      <c r="C6" s="22" t="str">
        <f>'10000170'!B1</f>
        <v>ID 202557159 - 10000170</v>
      </c>
      <c r="D6" s="2" t="str">
        <f>'10000170'!B2</f>
        <v>Bulgaria</v>
      </c>
      <c r="E6" s="2" t="str">
        <f>'10000170'!B3</f>
        <v>Stikcredit</v>
      </c>
      <c r="F6" s="2" t="str">
        <f>'10000170'!B8</f>
        <v>1 m. 0 mėn. 3 d.</v>
      </c>
      <c r="G6" s="7">
        <f>'10000170'!B15</f>
        <v>0.11</v>
      </c>
      <c r="H6" s="3">
        <f>'10000170'!B16</f>
        <v>50</v>
      </c>
      <c r="I6" s="6">
        <f>'10000170'!B11</f>
        <v>46340</v>
      </c>
      <c r="J6" s="6" t="str">
        <f>'10000170'!O3</f>
        <v/>
      </c>
      <c r="K6" s="17">
        <f ca="1">'10000170'!B12</f>
        <v>45</v>
      </c>
      <c r="L6" s="17" t="str">
        <f ca="1">'10000170'!P3</f>
        <v/>
      </c>
      <c r="M6" s="3">
        <f>'10000170'!K3</f>
        <v>0</v>
      </c>
      <c r="N6" s="3">
        <f>'10000170'!L3</f>
        <v>4.59</v>
      </c>
      <c r="O6" s="3">
        <f>'10000170'!M3</f>
        <v>0.49</v>
      </c>
      <c r="P6" s="9"/>
      <c r="AC6" s="3" t="str">
        <f ca="1">'10000170'!Z3</f>
        <v/>
      </c>
    </row>
    <row r="7" spans="1:29" x14ac:dyDescent="0.25">
      <c r="A7" s="2">
        <v>5</v>
      </c>
      <c r="B7" s="6">
        <f>'10000212'!B9</f>
        <v>46007</v>
      </c>
      <c r="C7" s="22" t="str">
        <f>'10000212'!B1</f>
        <v>ID 203811241 - 10000212</v>
      </c>
      <c r="D7" s="2" t="str">
        <f>'10000212'!B2</f>
        <v>Bulgaria</v>
      </c>
      <c r="E7" s="2" t="str">
        <f>'10000212'!B3</f>
        <v>Lendivo</v>
      </c>
      <c r="F7" s="2" t="str">
        <f>'10000212'!B8</f>
        <v>1 m. 0 mėn. 3 d.</v>
      </c>
      <c r="G7" s="7">
        <f>'10000212'!B15</f>
        <v>0.11</v>
      </c>
      <c r="H7" s="3">
        <f>'10000212'!B16</f>
        <v>21.49</v>
      </c>
      <c r="I7" s="6">
        <f>'10000212'!B11</f>
        <v>46375</v>
      </c>
      <c r="J7" s="6" t="str">
        <f>'10000212'!O3</f>
        <v/>
      </c>
      <c r="K7" s="17">
        <f ca="1">'10000212'!B12</f>
        <v>80</v>
      </c>
      <c r="L7" s="17" t="str">
        <f ca="1">'10000212'!P3</f>
        <v/>
      </c>
      <c r="M7" s="3">
        <f>'10000212'!K3</f>
        <v>0</v>
      </c>
      <c r="N7" s="3">
        <f>'10000212'!L3</f>
        <v>1.7599999999999998</v>
      </c>
      <c r="O7" s="3">
        <f>'10000212'!M3</f>
        <v>0.18</v>
      </c>
      <c r="P7" s="9"/>
      <c r="AC7" s="3" t="str">
        <f ca="1">'10000212'!Z3</f>
        <v/>
      </c>
    </row>
    <row r="8" spans="1:29" x14ac:dyDescent="0.25">
      <c r="A8" s="2">
        <v>6</v>
      </c>
      <c r="B8" s="6">
        <f>'10000263'!B9</f>
        <v>46042</v>
      </c>
      <c r="C8" s="22" t="str">
        <f>'10000263'!B1</f>
        <v>ID 205174291 - 10000263</v>
      </c>
      <c r="D8" s="2" t="str">
        <f>'10000263'!B2</f>
        <v>Bulgaria</v>
      </c>
      <c r="E8" s="2" t="str">
        <f>'10000263'!B3</f>
        <v>Tiberus</v>
      </c>
      <c r="F8" s="2" t="str">
        <f>'10000263'!B8</f>
        <v>1 m. 0 mėn. 26 d.</v>
      </c>
      <c r="G8" s="7">
        <f>'10000263'!B15</f>
        <v>0.1</v>
      </c>
      <c r="H8" s="3">
        <f>'10000263'!B16</f>
        <v>21.2</v>
      </c>
      <c r="I8" s="6">
        <f>'10000263'!B11</f>
        <v>46433</v>
      </c>
      <c r="J8" s="6" t="str">
        <f>'10000263'!O3</f>
        <v/>
      </c>
      <c r="K8" s="17">
        <f ca="1">'10000263'!B12</f>
        <v>138</v>
      </c>
      <c r="L8" s="17" t="str">
        <f ca="1">'10000263'!P3</f>
        <v/>
      </c>
      <c r="M8" s="3">
        <f>'10000263'!K3</f>
        <v>0</v>
      </c>
      <c r="N8" s="3">
        <f>'10000263'!L3</f>
        <v>1.3599999999999999</v>
      </c>
      <c r="O8" s="3">
        <f>'10000263'!M3</f>
        <v>0.15</v>
      </c>
      <c r="P8" s="9"/>
      <c r="AC8" s="3" t="str">
        <f ca="1">'10000263'!Z3</f>
        <v/>
      </c>
    </row>
    <row r="9" spans="1:29" x14ac:dyDescent="0.25">
      <c r="A9" s="2">
        <v>7</v>
      </c>
      <c r="B9" s="6">
        <f>'10000288'!B9</f>
        <v>46065</v>
      </c>
      <c r="C9" s="22" t="str">
        <f>'10000288'!B1</f>
        <v>ID 202557159 - 10000288</v>
      </c>
      <c r="D9" s="2" t="str">
        <f>'10000288'!B2</f>
        <v>Bulgaria</v>
      </c>
      <c r="E9" s="2" t="str">
        <f>'10000288'!B3</f>
        <v>Stickcredit</v>
      </c>
      <c r="F9" s="2" t="str">
        <f>'10000288'!B8</f>
        <v>1 m. 0 mėn. 3 d.</v>
      </c>
      <c r="G9" s="7">
        <f>'10000288'!B15</f>
        <v>0.12</v>
      </c>
      <c r="H9" s="3">
        <f>'10000288'!B16</f>
        <v>21.97</v>
      </c>
      <c r="I9" s="6">
        <f>'10000288'!B11</f>
        <v>46433</v>
      </c>
      <c r="J9" s="6" t="str">
        <f>'10000288'!O3</f>
        <v/>
      </c>
      <c r="K9" s="17">
        <f ca="1">'10000288'!B12</f>
        <v>138</v>
      </c>
      <c r="L9" s="17" t="str">
        <f ca="1">'10000288'!P3</f>
        <v/>
      </c>
      <c r="M9" s="3">
        <f>'10000288'!K3</f>
        <v>0</v>
      </c>
      <c r="N9" s="3">
        <f>'10000288'!L3</f>
        <v>1.54</v>
      </c>
      <c r="O9" s="3">
        <f>'10000288'!M3</f>
        <v>0.14000000000000001</v>
      </c>
      <c r="P9" s="9"/>
      <c r="AC9" s="3" t="str">
        <f ca="1">'10000288'!Z3</f>
        <v/>
      </c>
    </row>
    <row r="10" spans="1:29" x14ac:dyDescent="0.25">
      <c r="A10" s="2">
        <v>8</v>
      </c>
      <c r="B10" s="6">
        <f>'10000437'!B9</f>
        <v>46101</v>
      </c>
      <c r="C10" s="22" t="str">
        <f>'10000437'!B1</f>
        <v>ID 202557159 - 10000437</v>
      </c>
      <c r="D10" s="2" t="str">
        <f>'10000437'!B2</f>
        <v>Bulgaria</v>
      </c>
      <c r="E10" s="2" t="str">
        <f>'10000437'!B3</f>
        <v>Stickcredit</v>
      </c>
      <c r="F10" s="2" t="str">
        <f>'10000437'!B8</f>
        <v>3 m. 0 mėn. 8 d.</v>
      </c>
      <c r="G10" s="7">
        <f>'10000437'!B15</f>
        <v>0.16</v>
      </c>
      <c r="H10" s="3">
        <f>'10000437'!B16</f>
        <v>22.16</v>
      </c>
      <c r="I10" s="6">
        <f>'10000437'!B11</f>
        <v>47205</v>
      </c>
      <c r="J10" s="6" t="str">
        <f>'10000437'!O3</f>
        <v/>
      </c>
      <c r="K10" s="17">
        <f ca="1">'10000437'!B12</f>
        <v>910</v>
      </c>
      <c r="L10" s="17" t="str">
        <f ca="1">'10000437'!P3</f>
        <v/>
      </c>
      <c r="M10" s="3">
        <f>'10000437'!K3</f>
        <v>0</v>
      </c>
      <c r="N10" s="3">
        <f>'10000437'!L3</f>
        <v>1.83</v>
      </c>
      <c r="O10" s="3">
        <f>'10000437'!M3</f>
        <v>0.19</v>
      </c>
      <c r="P10" s="9"/>
      <c r="AC10" s="3" t="str">
        <f ca="1">'10000437'!Z3</f>
        <v/>
      </c>
    </row>
    <row r="11" spans="1:29" x14ac:dyDescent="0.25">
      <c r="A11" s="2">
        <v>9</v>
      </c>
      <c r="B11" s="6">
        <f>'10000591'!B9</f>
        <v>46133</v>
      </c>
      <c r="C11" s="22" t="str">
        <f>'10000591'!B1</f>
        <v>ID 205174291 - 10000591</v>
      </c>
      <c r="D11" s="2" t="str">
        <f>'10000591'!B2</f>
        <v>Bulgaria</v>
      </c>
      <c r="E11" s="2" t="str">
        <f>'10000591'!B3</f>
        <v>Tiberus</v>
      </c>
      <c r="F11" s="2" t="str">
        <f>'10000591'!B8</f>
        <v>1 m. 0 mėn. 7 d.</v>
      </c>
      <c r="G11" s="7">
        <f>'10000591'!B15</f>
        <v>0.12</v>
      </c>
      <c r="H11" s="3">
        <f>'10000591'!B16</f>
        <v>21.56</v>
      </c>
      <c r="I11" s="6">
        <f>'10000591'!B11</f>
        <v>46505</v>
      </c>
      <c r="J11" s="6" t="str">
        <f>'10000591'!O3</f>
        <v/>
      </c>
      <c r="K11" s="17">
        <f ca="1">'10000591'!B12</f>
        <v>210</v>
      </c>
      <c r="L11" s="17" t="str">
        <f ca="1">'10000591'!P3</f>
        <v/>
      </c>
      <c r="M11" s="3">
        <f>'10000591'!K3</f>
        <v>0</v>
      </c>
      <c r="N11" s="3">
        <f>'10000591'!L3</f>
        <v>1.1000000000000001</v>
      </c>
      <c r="O11" s="3">
        <f>'10000591'!M3</f>
        <v>0.1</v>
      </c>
      <c r="P11" s="9"/>
      <c r="AC11" s="3" t="str">
        <f ca="1">'10000591'!Z3</f>
        <v/>
      </c>
    </row>
    <row r="12" spans="1:29" x14ac:dyDescent="0.25">
      <c r="A12" s="2">
        <v>10</v>
      </c>
      <c r="B12" s="6">
        <f>'10000722'!B9</f>
        <v>46165</v>
      </c>
      <c r="C12" s="29" t="str">
        <f>'10000722'!B1</f>
        <v>ID 205174291 - 10000722</v>
      </c>
      <c r="D12" s="2" t="str">
        <f>'10000722'!B2</f>
        <v>Bulgaria</v>
      </c>
      <c r="E12" s="2" t="str">
        <f>'10000722'!B3</f>
        <v>Tiberus</v>
      </c>
      <c r="F12" s="2" t="str">
        <f>'10000722'!B8</f>
        <v>0 m. 3 mėn. 5 d.</v>
      </c>
      <c r="G12" s="7">
        <f>'10000722'!B15</f>
        <v>0.1</v>
      </c>
      <c r="H12" s="3">
        <f>'10000722'!B16</f>
        <v>21.82</v>
      </c>
      <c r="I12" s="6">
        <f>'10000722'!B11</f>
        <v>46262</v>
      </c>
      <c r="J12" s="6">
        <f>'10000722'!O3</f>
        <v>46262</v>
      </c>
      <c r="K12" s="17" t="str">
        <f ca="1">'10000722'!B12</f>
        <v/>
      </c>
      <c r="L12" s="17" t="str">
        <f ca="1">'10000722'!P3</f>
        <v/>
      </c>
      <c r="M12" s="3">
        <f>'10000722'!K3</f>
        <v>21.82</v>
      </c>
      <c r="N12" s="3">
        <f>'10000722'!L3</f>
        <v>0.57000000000000006</v>
      </c>
      <c r="O12" s="3">
        <f>'10000722'!M3</f>
        <v>0.06</v>
      </c>
      <c r="P12" s="9"/>
      <c r="AC12" s="3" t="str">
        <f ca="1">'10000722'!Z3</f>
        <v/>
      </c>
    </row>
    <row r="13" spans="1:29" x14ac:dyDescent="0.25">
      <c r="A13" s="2">
        <v>11</v>
      </c>
      <c r="B13" s="6">
        <f>'10001244'!B9</f>
        <v>46210</v>
      </c>
      <c r="C13" s="26" t="str">
        <f>'10001244'!B1</f>
        <v>ID 205174291 - 10001244</v>
      </c>
      <c r="D13" s="2" t="str">
        <f>'10001244'!B2</f>
        <v>Bulgaria</v>
      </c>
      <c r="E13" s="2" t="str">
        <f>'10001244'!B3</f>
        <v>Tiberus</v>
      </c>
      <c r="F13" s="2" t="str">
        <f>'10001244'!B8</f>
        <v>0 m. 3 mėn. 8 d.</v>
      </c>
      <c r="G13" s="7">
        <f>'10001244'!B15</f>
        <v>0.1</v>
      </c>
      <c r="H13" s="3">
        <f>'10001244'!B16</f>
        <v>23.27</v>
      </c>
      <c r="I13" s="6">
        <f>'10001244'!B11</f>
        <v>46310</v>
      </c>
      <c r="J13" s="6" t="str">
        <f>'10001244'!O3</f>
        <v/>
      </c>
      <c r="K13" s="17">
        <f ca="1">'10001244'!B12</f>
        <v>15</v>
      </c>
      <c r="L13" s="17" t="str">
        <f ca="1">'10001244'!P3</f>
        <v/>
      </c>
      <c r="M13" s="3">
        <f>'10001244'!K3</f>
        <v>0</v>
      </c>
      <c r="N13" s="3">
        <f>'10001244'!L3</f>
        <v>0.43000000000000005</v>
      </c>
      <c r="O13" s="3">
        <f>'10001244'!M3</f>
        <v>0.04</v>
      </c>
      <c r="AC13" s="3" t="str">
        <f ca="1">'10001244'!Z3</f>
        <v/>
      </c>
    </row>
    <row r="14" spans="1:29" x14ac:dyDescent="0.25">
      <c r="A14" s="2">
        <v>12</v>
      </c>
      <c r="B14" s="6">
        <f>'10001352'!B9</f>
        <v>46238</v>
      </c>
      <c r="C14" s="26" t="str">
        <f>'10001352'!B1</f>
        <v>ID 205174291 - 10001352</v>
      </c>
      <c r="D14" s="2" t="str">
        <f>'10001352'!B2</f>
        <v>Bulgaria</v>
      </c>
      <c r="E14" s="2" t="str">
        <f>'10001352'!B3</f>
        <v>Tiberus</v>
      </c>
      <c r="F14" s="2" t="str">
        <f>'10001352'!B8</f>
        <v>0 m. 3 mėn. 11 d.</v>
      </c>
      <c r="G14" s="7">
        <f>'10001352'!B15</f>
        <v>0.1</v>
      </c>
      <c r="H14" s="3">
        <f>'10001352'!B16</f>
        <v>22.13</v>
      </c>
      <c r="I14" s="6">
        <f>'10001352'!B11</f>
        <v>46341</v>
      </c>
      <c r="J14" s="6" t="str">
        <f>'10001352'!O3</f>
        <v/>
      </c>
      <c r="K14" s="17">
        <f ca="1">'10001352'!B12</f>
        <v>46</v>
      </c>
      <c r="L14" s="17" t="str">
        <f ca="1">'10001352'!P3</f>
        <v/>
      </c>
      <c r="M14" s="3">
        <f>'10001352'!K3</f>
        <v>0</v>
      </c>
      <c r="N14" s="3">
        <f>'10001352'!L3</f>
        <v>0.25</v>
      </c>
      <c r="O14" s="3">
        <f>'10001352'!M3</f>
        <v>0.03</v>
      </c>
      <c r="AC14" s="3" t="str">
        <f ca="1">'10001352'!Z3</f>
        <v/>
      </c>
    </row>
    <row r="15" spans="1:29" x14ac:dyDescent="0.25">
      <c r="A15" s="2">
        <v>13</v>
      </c>
      <c r="B15" s="6">
        <f>'10001457'!B9</f>
        <v>46263</v>
      </c>
      <c r="C15" s="26" t="str">
        <f>'10001457'!B1</f>
        <v>ID 205174291 - 10001457</v>
      </c>
      <c r="D15" s="2" t="str">
        <f>'10001457'!B2</f>
        <v>Bulgaria</v>
      </c>
      <c r="E15" s="2" t="str">
        <f>'10001457'!B3</f>
        <v>Tiberus</v>
      </c>
      <c r="F15" s="2" t="str">
        <f>'10001457'!B8</f>
        <v>1 m. 0 mėn. 17 d.</v>
      </c>
      <c r="G15" s="7">
        <f>'10001457'!B15</f>
        <v>0.11</v>
      </c>
      <c r="H15" s="3">
        <f>'10001457'!B16</f>
        <v>23.63</v>
      </c>
      <c r="I15" s="6">
        <f>'10001457'!B11</f>
        <v>46645</v>
      </c>
      <c r="J15" s="6" t="str">
        <f>'10001457'!O3</f>
        <v/>
      </c>
      <c r="K15" s="17">
        <f ca="1">'10001457'!B12</f>
        <v>350</v>
      </c>
      <c r="L15" s="17" t="str">
        <f ca="1">'10001457'!P3</f>
        <v/>
      </c>
      <c r="M15" s="3">
        <f>'10001457'!K3</f>
        <v>0</v>
      </c>
      <c r="N15" s="3">
        <f>'10001457'!L3</f>
        <v>0</v>
      </c>
      <c r="O15" s="3">
        <f>'10001457'!M3</f>
        <v>0</v>
      </c>
      <c r="AC15" s="3" t="str">
        <f ca="1">'10001457'!Z3</f>
        <v/>
      </c>
    </row>
    <row r="16" spans="1:29" x14ac:dyDescent="0.25">
      <c r="A16" s="1"/>
      <c r="B16" s="1"/>
      <c r="C16" s="1"/>
      <c r="D16" s="1"/>
      <c r="E16" s="1"/>
      <c r="F16" s="1"/>
      <c r="G16" s="1"/>
      <c r="H16" s="1"/>
      <c r="I16" s="15"/>
      <c r="J16" s="15"/>
      <c r="K16" s="21"/>
      <c r="L16" s="21"/>
      <c r="M16" s="1"/>
      <c r="N16" s="1"/>
      <c r="O16" s="3"/>
      <c r="AC16" s="1"/>
    </row>
    <row r="17" spans="1:29" x14ac:dyDescent="0.25">
      <c r="A17" s="1"/>
      <c r="B17" s="1"/>
      <c r="C17" s="1"/>
      <c r="D17" s="1"/>
      <c r="E17" s="1"/>
      <c r="F17" s="1"/>
      <c r="G17" s="1"/>
      <c r="H17" s="1"/>
      <c r="I17" s="15"/>
      <c r="J17" s="15"/>
      <c r="K17" s="21"/>
      <c r="L17" s="21"/>
      <c r="M17" s="1"/>
      <c r="N17" s="1"/>
      <c r="O17" s="3"/>
      <c r="AC17" s="1"/>
    </row>
    <row r="18" spans="1:29" x14ac:dyDescent="0.25">
      <c r="A18" s="1"/>
      <c r="B18" s="1"/>
      <c r="C18" s="1"/>
      <c r="D18" s="1"/>
      <c r="E18" s="1"/>
      <c r="F18" s="1"/>
      <c r="G18" s="1"/>
      <c r="H18" s="1"/>
      <c r="I18" s="15"/>
      <c r="J18" s="15"/>
      <c r="K18" s="21"/>
      <c r="L18" s="21"/>
      <c r="M18" s="1"/>
      <c r="N18" s="1"/>
      <c r="O18" s="3"/>
      <c r="AC18" s="1"/>
    </row>
    <row r="19" spans="1:29" x14ac:dyDescent="0.25">
      <c r="A19" s="1"/>
      <c r="B19" s="1"/>
      <c r="C19" s="1"/>
      <c r="D19" s="1"/>
      <c r="E19" s="1"/>
      <c r="F19" s="1"/>
      <c r="G19" s="1"/>
      <c r="H19" s="1"/>
      <c r="I19" s="15"/>
      <c r="J19" s="15"/>
      <c r="K19" s="21"/>
      <c r="L19" s="21"/>
      <c r="M19" s="1"/>
      <c r="N19" s="1"/>
      <c r="O19" s="3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8"/>
      <c r="AC19" s="1"/>
    </row>
    <row r="20" spans="1:29" x14ac:dyDescent="0.25">
      <c r="A20" s="1"/>
      <c r="B20" s="1"/>
      <c r="C20" s="1"/>
      <c r="D20" s="1"/>
      <c r="E20" s="1"/>
      <c r="F20" s="1"/>
      <c r="G20" s="1"/>
      <c r="H20" s="1"/>
      <c r="I20" s="15"/>
      <c r="J20" s="15"/>
      <c r="K20" s="21"/>
      <c r="L20" s="21"/>
      <c r="M20" s="1"/>
      <c r="N20" s="1"/>
      <c r="O20" s="3"/>
      <c r="Q20" s="8"/>
      <c r="R20" s="8"/>
      <c r="S20" s="31"/>
      <c r="T20" s="8"/>
      <c r="U20" s="8"/>
      <c r="V20" s="8"/>
      <c r="W20" s="8"/>
      <c r="X20" s="8"/>
      <c r="Y20" s="8"/>
      <c r="Z20" s="8"/>
      <c r="AA20" s="8"/>
      <c r="AC20" s="1"/>
    </row>
    <row r="21" spans="1:29" x14ac:dyDescent="0.25">
      <c r="A21" s="1"/>
      <c r="B21" s="1"/>
      <c r="C21" s="1"/>
      <c r="D21" s="1"/>
      <c r="E21" s="1"/>
      <c r="F21" s="1"/>
      <c r="G21" s="1"/>
      <c r="H21" s="1"/>
      <c r="I21" s="15"/>
      <c r="J21" s="15"/>
      <c r="K21" s="21"/>
      <c r="L21" s="21"/>
      <c r="M21" s="1"/>
      <c r="N21" s="1"/>
      <c r="O21" s="3"/>
      <c r="Q21" s="9"/>
      <c r="R21" s="9"/>
      <c r="S21" s="9"/>
      <c r="T21" s="9"/>
      <c r="U21" s="9"/>
      <c r="V21" s="9"/>
      <c r="W21" s="9"/>
      <c r="X21" s="9"/>
      <c r="Y21" s="18"/>
      <c r="Z21" s="18"/>
      <c r="AA21" s="18"/>
      <c r="AC21" s="1"/>
    </row>
    <row r="22" spans="1:29" x14ac:dyDescent="0.25">
      <c r="A22" s="1"/>
      <c r="B22" s="1"/>
      <c r="C22" s="1"/>
      <c r="D22" s="1"/>
      <c r="E22" s="1"/>
      <c r="F22" s="1"/>
      <c r="G22" s="1"/>
      <c r="H22" s="1"/>
      <c r="I22" s="15"/>
      <c r="J22" s="15"/>
      <c r="K22" s="21"/>
      <c r="L22" s="21"/>
      <c r="M22" s="1"/>
      <c r="N22" s="1"/>
      <c r="O22" s="3"/>
      <c r="AC22" s="1"/>
    </row>
    <row r="23" spans="1:29" x14ac:dyDescent="0.25">
      <c r="A23" s="1"/>
      <c r="B23" s="1"/>
      <c r="C23" s="1"/>
      <c r="D23" s="1"/>
      <c r="E23" s="1"/>
      <c r="F23" s="1"/>
      <c r="G23" s="1"/>
      <c r="H23" s="1"/>
      <c r="I23" s="15"/>
      <c r="J23" s="15"/>
      <c r="K23" s="21"/>
      <c r="L23" s="21"/>
      <c r="M23" s="1"/>
      <c r="N23" s="1"/>
      <c r="O23" s="3"/>
      <c r="AC23" s="1"/>
    </row>
    <row r="24" spans="1:29" x14ac:dyDescent="0.25">
      <c r="A24" s="1"/>
      <c r="B24" s="1"/>
      <c r="C24" s="1"/>
      <c r="D24" s="1"/>
      <c r="E24" s="1"/>
      <c r="F24" s="1"/>
      <c r="G24" s="1"/>
      <c r="H24" s="1"/>
      <c r="I24" s="15"/>
      <c r="J24" s="15"/>
      <c r="K24" s="21"/>
      <c r="L24" s="21"/>
      <c r="M24" s="1"/>
      <c r="N24" s="1"/>
      <c r="O24" s="3"/>
      <c r="AC24" s="1"/>
    </row>
    <row r="25" spans="1:29" x14ac:dyDescent="0.25">
      <c r="A25" s="1"/>
      <c r="B25" s="1"/>
      <c r="C25" s="1"/>
      <c r="D25" s="1"/>
      <c r="E25" s="1"/>
      <c r="F25" s="1"/>
      <c r="G25" s="1"/>
      <c r="H25" s="1"/>
      <c r="I25" s="15"/>
      <c r="J25" s="15"/>
      <c r="K25" s="21"/>
      <c r="L25" s="21"/>
      <c r="M25" s="1"/>
      <c r="N25" s="1"/>
      <c r="O25" s="3"/>
      <c r="AC25" s="1"/>
    </row>
    <row r="26" spans="1:29" x14ac:dyDescent="0.25">
      <c r="A26" s="1"/>
      <c r="B26" s="1"/>
      <c r="C26" s="1"/>
      <c r="D26" s="1"/>
      <c r="E26" s="1"/>
      <c r="F26" s="1"/>
      <c r="G26" s="1"/>
      <c r="H26" s="1"/>
      <c r="I26" s="15"/>
      <c r="J26" s="15"/>
      <c r="K26" s="21"/>
      <c r="L26" s="21"/>
      <c r="M26" s="1"/>
      <c r="N26" s="1"/>
      <c r="O26" s="3"/>
      <c r="AC26" s="1"/>
    </row>
    <row r="27" spans="1:29" x14ac:dyDescent="0.25">
      <c r="A27" s="1"/>
      <c r="B27" s="1"/>
      <c r="C27" s="1"/>
      <c r="D27" s="1"/>
      <c r="E27" s="1"/>
      <c r="F27" s="1"/>
      <c r="G27" s="1"/>
      <c r="H27" s="1"/>
      <c r="I27" s="15"/>
      <c r="J27" s="15"/>
      <c r="K27" s="21"/>
      <c r="L27" s="21"/>
      <c r="M27" s="1"/>
      <c r="N27" s="1"/>
      <c r="O27" s="3"/>
      <c r="AC27" s="1"/>
    </row>
  </sheetData>
  <mergeCells count="9">
    <mergeCell ref="Q19:T19"/>
    <mergeCell ref="U19:V19"/>
    <mergeCell ref="W19:Z19"/>
    <mergeCell ref="A1:H1"/>
    <mergeCell ref="I1:L1"/>
    <mergeCell ref="M1:O1"/>
    <mergeCell ref="Q1:T1"/>
    <mergeCell ref="U1:V1"/>
    <mergeCell ref="W1:Z1"/>
  </mergeCells>
  <conditionalFormatting sqref="A3:O15 A16:N27">
    <cfRule type="expression" dxfId="57" priority="19">
      <formula>$AC3="+"</formula>
    </cfRule>
    <cfRule type="expression" dxfId="56" priority="20">
      <formula>AND($M3&gt;0,$H3=$M3)</formula>
    </cfRule>
  </conditionalFormatting>
  <conditionalFormatting sqref="O16:O27">
    <cfRule type="expression" dxfId="55" priority="21">
      <formula>$AD16="+"</formula>
    </cfRule>
    <cfRule type="expression" dxfId="54" priority="22">
      <formula>AND($M16&gt;0,$H16=$M16)</formula>
    </cfRule>
  </conditionalFormatting>
  <conditionalFormatting sqref="AC3:AC15">
    <cfRule type="expression" dxfId="53" priority="1">
      <formula>$AC3="+"</formula>
    </cfRule>
  </conditionalFormatting>
  <conditionalFormatting sqref="AC3:AC27">
    <cfRule type="expression" dxfId="52" priority="2">
      <formula>AND($M3&gt;0,$H3=$M3)</formula>
    </cfRule>
  </conditionalFormatting>
  <hyperlinks>
    <hyperlink ref="C3" location="'10000159'!A1" display="'10000159'!A1" xr:uid="{71EAA480-0078-4703-BAC8-E10ED5BDF303}"/>
    <hyperlink ref="C4" location="'10000160'!A1" display="'10000160'!A1" xr:uid="{96F32EA7-B2AF-40A5-923E-F3C7DFB2E8B9}"/>
    <hyperlink ref="C5" location="'10000158'!A1" display="'10000158'!A1" xr:uid="{36FF7B31-FFFD-4C3E-AF9A-63B8D8C596AC}"/>
    <hyperlink ref="C6" location="'10000170'!A1" display="'10000170'!A1" xr:uid="{EA726712-0BF9-4ABF-BAAB-6612A90A2071}"/>
    <hyperlink ref="C7" location="'10000212'!A1" display="'10000212'!A1" xr:uid="{59314674-9CB1-4844-B113-9B99FDBBB3E0}"/>
    <hyperlink ref="C8" location="'10000263'!A1" display="'10000263'!A1" xr:uid="{5AC24FAF-83A3-4A9D-BC2A-B1BD58E5895E}"/>
    <hyperlink ref="C9" location="'10000288'!A1" display="'10000288'!A1" xr:uid="{63287A83-09E0-4931-ACB3-FDCC97402A41}"/>
    <hyperlink ref="C10" location="'10000437'!A1" display="'10000437'!A1" xr:uid="{997609F9-6946-4C1A-B5D0-D09CFC889C6A}"/>
    <hyperlink ref="C11" location="'10000591'!A1" display="'10000591'!A1" xr:uid="{7B47A2A7-BE3F-43BD-BB28-A42FD0488833}"/>
    <hyperlink ref="C12" location="'10000722'!A1" display="'10000722'!A1" xr:uid="{53AFE255-A743-4FED-8BCF-22069A94522F}"/>
    <hyperlink ref="C13" location="'10001244'!A1" display="'10001244'!A1" xr:uid="{FC30CDB7-344C-44CB-ACB0-7338CE7FF85C}"/>
    <hyperlink ref="C14" location="'10001352'!A1" display="'10001352'!A1" xr:uid="{CAA6D28E-7838-4CCA-889F-481F0C1FFFCA}"/>
    <hyperlink ref="C15" location="'10001457'!A1" display="'10001457'!A1" xr:uid="{5C3D8390-547B-41DC-8956-6CBD535AD21C}"/>
  </hyperlinks>
  <pageMargins left="0.70866141732283472" right="0.70866141732283472" top="0.74803149606299213" bottom="0.74803149606299213" header="0.31496062992125984" footer="0.31496062992125984"/>
  <pageSetup scale="5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00"/>
  <sheetViews>
    <sheetView workbookViewId="0">
      <selection activeCell="D15" sqref="D15"/>
    </sheetView>
  </sheetViews>
  <sheetFormatPr defaultRowHeight="15" x14ac:dyDescent="0.25"/>
  <cols>
    <col min="1" max="1" width="12.7109375" style="19" customWidth="1"/>
    <col min="2" max="4" width="10.7109375" customWidth="1"/>
    <col min="5" max="5" width="8.7109375" customWidth="1"/>
    <col min="6" max="9" width="10.7109375" customWidth="1"/>
  </cols>
  <sheetData>
    <row r="1" spans="1:11" x14ac:dyDescent="0.25">
      <c r="A1" s="27" t="s">
        <v>2</v>
      </c>
      <c r="B1" s="11" t="s">
        <v>9</v>
      </c>
      <c r="C1" s="11" t="s">
        <v>10</v>
      </c>
      <c r="D1" s="11" t="s">
        <v>7</v>
      </c>
      <c r="F1" s="11" t="s">
        <v>9</v>
      </c>
      <c r="G1" s="11" t="s">
        <v>10</v>
      </c>
      <c r="H1" s="11" t="s">
        <v>7</v>
      </c>
      <c r="I1" s="11" t="s">
        <v>11</v>
      </c>
      <c r="K1" s="11" t="s">
        <v>40</v>
      </c>
    </row>
    <row r="2" spans="1:11" x14ac:dyDescent="0.25">
      <c r="A2" s="6">
        <v>45962</v>
      </c>
      <c r="B2" s="3">
        <v>100</v>
      </c>
      <c r="C2" s="3">
        <v>0</v>
      </c>
      <c r="D2" s="3">
        <v>0</v>
      </c>
      <c r="F2" s="3">
        <f>SUM(B2:B35)</f>
        <v>300</v>
      </c>
      <c r="G2" s="3">
        <f>SUM(C2:C35)</f>
        <v>0</v>
      </c>
      <c r="H2" s="3">
        <f>SUM(D2:D14)</f>
        <v>1.8699999999999999</v>
      </c>
      <c r="I2" s="3">
        <f>F2-G2</f>
        <v>300</v>
      </c>
      <c r="K2" s="3">
        <f>B2*-1</f>
        <v>-100</v>
      </c>
    </row>
    <row r="3" spans="1:11" x14ac:dyDescent="0.25">
      <c r="A3" s="6">
        <v>45972</v>
      </c>
      <c r="B3" s="3">
        <v>50</v>
      </c>
      <c r="C3" s="3">
        <v>0</v>
      </c>
      <c r="D3" s="3">
        <v>0</v>
      </c>
      <c r="K3" s="3">
        <f t="shared" ref="K3:K14" si="0">B3*-1</f>
        <v>-50</v>
      </c>
    </row>
    <row r="4" spans="1:11" x14ac:dyDescent="0.25">
      <c r="A4" s="6">
        <v>45986</v>
      </c>
      <c r="B4" s="3">
        <v>0</v>
      </c>
      <c r="C4" s="3">
        <v>0</v>
      </c>
      <c r="D4" s="3">
        <v>0.5</v>
      </c>
      <c r="K4" s="3">
        <f t="shared" si="0"/>
        <v>0</v>
      </c>
    </row>
    <row r="5" spans="1:11" x14ac:dyDescent="0.25">
      <c r="A5" s="6">
        <v>46006</v>
      </c>
      <c r="B5" s="3">
        <v>20</v>
      </c>
      <c r="C5" s="3">
        <v>0</v>
      </c>
      <c r="D5" s="3">
        <v>0</v>
      </c>
      <c r="K5" s="3">
        <f t="shared" si="0"/>
        <v>-20</v>
      </c>
    </row>
    <row r="6" spans="1:11" x14ac:dyDescent="0.25">
      <c r="A6" s="6">
        <v>46041</v>
      </c>
      <c r="B6" s="3">
        <v>20</v>
      </c>
      <c r="C6" s="3">
        <v>0</v>
      </c>
      <c r="D6" s="3">
        <v>0</v>
      </c>
      <c r="K6" s="3">
        <f t="shared" si="0"/>
        <v>-20</v>
      </c>
    </row>
    <row r="7" spans="1:11" x14ac:dyDescent="0.25">
      <c r="A7" s="6">
        <v>46049</v>
      </c>
      <c r="B7" s="3">
        <v>0</v>
      </c>
      <c r="C7" s="3">
        <v>0</v>
      </c>
      <c r="D7" s="3">
        <v>0.95</v>
      </c>
      <c r="K7" s="3">
        <f t="shared" si="0"/>
        <v>0</v>
      </c>
    </row>
    <row r="8" spans="1:11" x14ac:dyDescent="0.25">
      <c r="A8" s="6">
        <v>46057</v>
      </c>
      <c r="B8" s="3">
        <v>0</v>
      </c>
      <c r="C8" s="3">
        <v>0</v>
      </c>
      <c r="D8" s="3">
        <v>0.42</v>
      </c>
      <c r="K8" s="3">
        <f t="shared" si="0"/>
        <v>0</v>
      </c>
    </row>
    <row r="9" spans="1:11" x14ac:dyDescent="0.25">
      <c r="A9" s="6">
        <v>46064</v>
      </c>
      <c r="B9" s="3">
        <v>20</v>
      </c>
      <c r="C9" s="3">
        <v>0</v>
      </c>
      <c r="D9" s="3">
        <v>0</v>
      </c>
      <c r="K9" s="3">
        <f t="shared" si="0"/>
        <v>-20</v>
      </c>
    </row>
    <row r="10" spans="1:11" x14ac:dyDescent="0.25">
      <c r="A10" s="6">
        <v>46100</v>
      </c>
      <c r="B10" s="3">
        <v>20</v>
      </c>
      <c r="C10" s="3">
        <v>0</v>
      </c>
      <c r="D10" s="3">
        <v>0</v>
      </c>
      <c r="K10" s="3">
        <f t="shared" si="0"/>
        <v>-20</v>
      </c>
    </row>
    <row r="11" spans="1:11" x14ac:dyDescent="0.25">
      <c r="A11" s="6">
        <v>46131</v>
      </c>
      <c r="B11" s="3">
        <v>20</v>
      </c>
      <c r="C11" s="3">
        <v>0</v>
      </c>
      <c r="D11" s="3">
        <v>0</v>
      </c>
      <c r="K11" s="3">
        <f t="shared" si="0"/>
        <v>-20</v>
      </c>
    </row>
    <row r="12" spans="1:11" x14ac:dyDescent="0.25">
      <c r="A12" s="6">
        <v>46164</v>
      </c>
      <c r="B12" s="3">
        <v>20</v>
      </c>
      <c r="C12" s="3">
        <v>0</v>
      </c>
      <c r="D12" s="3">
        <v>0</v>
      </c>
      <c r="K12" s="3">
        <f t="shared" si="0"/>
        <v>-20</v>
      </c>
    </row>
    <row r="13" spans="1:11" x14ac:dyDescent="0.25">
      <c r="A13" s="6">
        <v>46206</v>
      </c>
      <c r="B13" s="3">
        <v>20</v>
      </c>
      <c r="C13" s="3">
        <v>0</v>
      </c>
      <c r="D13" s="3">
        <v>0</v>
      </c>
      <c r="K13" s="3">
        <f t="shared" si="0"/>
        <v>-20</v>
      </c>
    </row>
    <row r="14" spans="1:11" x14ac:dyDescent="0.25">
      <c r="A14" s="6">
        <v>46238</v>
      </c>
      <c r="B14" s="3">
        <v>10</v>
      </c>
      <c r="C14" s="3">
        <v>0</v>
      </c>
      <c r="D14" s="3">
        <v>0</v>
      </c>
      <c r="K14" s="3">
        <f t="shared" si="0"/>
        <v>-10</v>
      </c>
    </row>
    <row r="15" spans="1:11" x14ac:dyDescent="0.25">
      <c r="A15" s="6"/>
      <c r="B15" s="1"/>
      <c r="C15" s="1"/>
      <c r="D15" s="1"/>
      <c r="K15" s="1"/>
    </row>
    <row r="16" spans="1:11" x14ac:dyDescent="0.25">
      <c r="A16" s="6"/>
      <c r="B16" s="1"/>
      <c r="C16" s="1"/>
      <c r="D16" s="1"/>
      <c r="K16" s="1"/>
    </row>
    <row r="17" spans="1:11" x14ac:dyDescent="0.25">
      <c r="A17" s="6"/>
      <c r="B17" s="1"/>
      <c r="C17" s="1"/>
      <c r="D17" s="1"/>
      <c r="K17" s="1"/>
    </row>
    <row r="18" spans="1:11" x14ac:dyDescent="0.25">
      <c r="A18" s="6"/>
      <c r="B18" s="1"/>
      <c r="C18" s="1"/>
      <c r="D18" s="1"/>
      <c r="K18" s="1"/>
    </row>
    <row r="19" spans="1:11" x14ac:dyDescent="0.25">
      <c r="A19" s="6"/>
      <c r="B19" s="1"/>
      <c r="C19" s="1"/>
      <c r="D19" s="1"/>
      <c r="K19" s="1"/>
    </row>
    <row r="20" spans="1:11" x14ac:dyDescent="0.25">
      <c r="A20" s="6"/>
      <c r="B20" s="1"/>
      <c r="C20" s="1"/>
      <c r="D20" s="1"/>
      <c r="K20" s="1"/>
    </row>
    <row r="21" spans="1:11" x14ac:dyDescent="0.25">
      <c r="A21" s="6"/>
      <c r="B21" s="1"/>
      <c r="C21" s="1"/>
      <c r="D21" s="1"/>
      <c r="K21" s="1"/>
    </row>
    <row r="22" spans="1:11" x14ac:dyDescent="0.25">
      <c r="A22" s="6"/>
      <c r="B22" s="1"/>
      <c r="C22" s="1"/>
      <c r="D22" s="1"/>
      <c r="K22" s="1"/>
    </row>
    <row r="23" spans="1:11" x14ac:dyDescent="0.25">
      <c r="A23" s="6"/>
      <c r="B23" s="1"/>
      <c r="C23" s="1"/>
      <c r="D23" s="1"/>
      <c r="K23" s="1"/>
    </row>
    <row r="24" spans="1:11" x14ac:dyDescent="0.25">
      <c r="A24" s="6"/>
      <c r="B24" s="1"/>
      <c r="C24" s="1"/>
      <c r="D24" s="1"/>
      <c r="K24" s="1"/>
    </row>
    <row r="25" spans="1:11" x14ac:dyDescent="0.25">
      <c r="A25" s="6"/>
      <c r="B25" s="1"/>
      <c r="C25" s="1"/>
      <c r="D25" s="1"/>
      <c r="K25" s="1"/>
    </row>
    <row r="26" spans="1:11" x14ac:dyDescent="0.25">
      <c r="A26" s="6"/>
      <c r="B26" s="1"/>
      <c r="C26" s="1"/>
      <c r="D26" s="1"/>
      <c r="K26" s="1"/>
    </row>
    <row r="27" spans="1:11" x14ac:dyDescent="0.25">
      <c r="A27" s="6"/>
      <c r="B27" s="1"/>
      <c r="C27" s="1"/>
      <c r="D27" s="1"/>
      <c r="K27" s="1"/>
    </row>
    <row r="28" spans="1:11" x14ac:dyDescent="0.25">
      <c r="A28" s="6"/>
      <c r="B28" s="1"/>
      <c r="C28" s="1"/>
      <c r="D28" s="1"/>
      <c r="K28" s="1"/>
    </row>
    <row r="29" spans="1:11" x14ac:dyDescent="0.25">
      <c r="A29" s="6"/>
      <c r="B29" s="1"/>
      <c r="C29" s="1"/>
      <c r="D29" s="1"/>
      <c r="K29" s="1"/>
    </row>
    <row r="30" spans="1:11" x14ac:dyDescent="0.25">
      <c r="A30" s="6"/>
      <c r="B30" s="1"/>
      <c r="C30" s="1"/>
      <c r="D30" s="1"/>
      <c r="K30" s="1"/>
    </row>
    <row r="31" spans="1:11" x14ac:dyDescent="0.25">
      <c r="A31" s="6"/>
      <c r="B31" s="1"/>
      <c r="C31" s="1"/>
      <c r="D31" s="1"/>
      <c r="K31" s="1"/>
    </row>
    <row r="32" spans="1:11" x14ac:dyDescent="0.25">
      <c r="A32" s="6"/>
      <c r="B32" s="1"/>
      <c r="C32" s="1"/>
      <c r="D32" s="1"/>
      <c r="K32" s="1"/>
    </row>
    <row r="33" spans="1:11" x14ac:dyDescent="0.25">
      <c r="A33" s="6"/>
      <c r="B33" s="1"/>
      <c r="C33" s="1"/>
      <c r="D33" s="1"/>
      <c r="K33" s="1"/>
    </row>
    <row r="34" spans="1:11" x14ac:dyDescent="0.25">
      <c r="A34" s="6"/>
      <c r="B34" s="1"/>
      <c r="C34" s="1"/>
      <c r="D34" s="1"/>
      <c r="K34" s="1"/>
    </row>
    <row r="35" spans="1:11" x14ac:dyDescent="0.25">
      <c r="A35" s="6"/>
      <c r="B35" s="1"/>
      <c r="C35" s="1"/>
      <c r="D35" s="1"/>
      <c r="K35" s="1"/>
    </row>
    <row r="36" spans="1:11" x14ac:dyDescent="0.25">
      <c r="A36" s="6"/>
      <c r="B36" s="1"/>
      <c r="C36" s="1"/>
      <c r="D36" s="1"/>
      <c r="K36" s="1"/>
    </row>
    <row r="37" spans="1:11" x14ac:dyDescent="0.25">
      <c r="A37" s="6"/>
      <c r="B37" s="1"/>
      <c r="C37" s="1"/>
      <c r="D37" s="1"/>
      <c r="K37" s="1"/>
    </row>
    <row r="38" spans="1:11" x14ac:dyDescent="0.25">
      <c r="A38" s="6"/>
      <c r="B38" s="1"/>
      <c r="C38" s="1"/>
      <c r="D38" s="1"/>
      <c r="K38" s="1"/>
    </row>
    <row r="39" spans="1:11" x14ac:dyDescent="0.25">
      <c r="A39" s="6"/>
      <c r="B39" s="1"/>
      <c r="C39" s="1"/>
      <c r="D39" s="1"/>
      <c r="K39" s="1"/>
    </row>
    <row r="40" spans="1:11" x14ac:dyDescent="0.25">
      <c r="A40" s="6"/>
      <c r="B40" s="1"/>
      <c r="C40" s="1"/>
      <c r="D40" s="1"/>
      <c r="K40" s="1"/>
    </row>
    <row r="41" spans="1:11" x14ac:dyDescent="0.25">
      <c r="A41" s="6"/>
      <c r="B41" s="1"/>
      <c r="C41" s="1"/>
      <c r="D41" s="1"/>
      <c r="K41" s="1"/>
    </row>
    <row r="42" spans="1:11" x14ac:dyDescent="0.25">
      <c r="A42" s="6"/>
      <c r="B42" s="1"/>
      <c r="C42" s="1"/>
      <c r="D42" s="1"/>
      <c r="K42" s="1"/>
    </row>
    <row r="43" spans="1:11" x14ac:dyDescent="0.25">
      <c r="A43" s="6"/>
      <c r="B43" s="1"/>
      <c r="C43" s="1"/>
      <c r="D43" s="1"/>
      <c r="K43" s="1"/>
    </row>
    <row r="44" spans="1:11" x14ac:dyDescent="0.25">
      <c r="A44" s="6"/>
      <c r="B44" s="1"/>
      <c r="C44" s="1"/>
      <c r="D44" s="1"/>
      <c r="K44" s="1"/>
    </row>
    <row r="45" spans="1:11" x14ac:dyDescent="0.25">
      <c r="A45" s="6"/>
      <c r="B45" s="1"/>
      <c r="C45" s="1"/>
      <c r="D45" s="1"/>
      <c r="K45" s="1"/>
    </row>
    <row r="46" spans="1:11" x14ac:dyDescent="0.25">
      <c r="A46" s="6"/>
      <c r="B46" s="1"/>
      <c r="C46" s="1"/>
      <c r="D46" s="1"/>
      <c r="K46" s="1"/>
    </row>
    <row r="47" spans="1:11" x14ac:dyDescent="0.25">
      <c r="A47" s="6"/>
      <c r="B47" s="1"/>
      <c r="C47" s="1"/>
      <c r="D47" s="1"/>
      <c r="K47" s="1"/>
    </row>
    <row r="48" spans="1:11" x14ac:dyDescent="0.25">
      <c r="A48" s="6"/>
      <c r="B48" s="1"/>
      <c r="C48" s="1"/>
      <c r="D48" s="1"/>
      <c r="K48" s="1"/>
    </row>
    <row r="49" spans="1:11" x14ac:dyDescent="0.25">
      <c r="A49" s="6"/>
      <c r="B49" s="1"/>
      <c r="C49" s="1"/>
      <c r="D49" s="1"/>
      <c r="K49" s="1"/>
    </row>
    <row r="50" spans="1:11" x14ac:dyDescent="0.25">
      <c r="A50" s="6"/>
      <c r="B50" s="1"/>
      <c r="C50" s="1"/>
      <c r="D50" s="1"/>
      <c r="K50" s="1"/>
    </row>
    <row r="51" spans="1:11" x14ac:dyDescent="0.25">
      <c r="A51" s="6"/>
      <c r="B51" s="1"/>
      <c r="C51" s="1"/>
      <c r="D51" s="1"/>
      <c r="K51" s="1"/>
    </row>
    <row r="52" spans="1:11" x14ac:dyDescent="0.25">
      <c r="A52" s="6"/>
      <c r="B52" s="1"/>
      <c r="C52" s="1"/>
      <c r="D52" s="1"/>
      <c r="K52" s="1"/>
    </row>
    <row r="53" spans="1:11" x14ac:dyDescent="0.25">
      <c r="A53" s="6"/>
      <c r="B53" s="1"/>
      <c r="C53" s="1"/>
      <c r="D53" s="1"/>
      <c r="K53" s="1"/>
    </row>
    <row r="54" spans="1:11" x14ac:dyDescent="0.25">
      <c r="A54" s="6"/>
      <c r="B54" s="1"/>
      <c r="C54" s="1"/>
      <c r="D54" s="1"/>
      <c r="K54" s="1"/>
    </row>
    <row r="55" spans="1:11" x14ac:dyDescent="0.25">
      <c r="A55" s="6"/>
      <c r="B55" s="1"/>
      <c r="C55" s="1"/>
      <c r="D55" s="1"/>
      <c r="K55" s="1"/>
    </row>
    <row r="56" spans="1:11" x14ac:dyDescent="0.25">
      <c r="A56" s="6"/>
      <c r="B56" s="1"/>
      <c r="C56" s="1"/>
      <c r="D56" s="1"/>
      <c r="K56" s="1"/>
    </row>
    <row r="57" spans="1:11" x14ac:dyDescent="0.25">
      <c r="A57" s="6"/>
      <c r="B57" s="1"/>
      <c r="C57" s="1"/>
      <c r="D57" s="1"/>
      <c r="K57" s="1"/>
    </row>
    <row r="58" spans="1:11" x14ac:dyDescent="0.25">
      <c r="A58" s="6"/>
      <c r="B58" s="1"/>
      <c r="C58" s="1"/>
      <c r="D58" s="1"/>
      <c r="K58" s="1"/>
    </row>
    <row r="59" spans="1:11" x14ac:dyDescent="0.25">
      <c r="A59" s="6"/>
      <c r="B59" s="1"/>
      <c r="C59" s="1"/>
      <c r="D59" s="1"/>
      <c r="K59" s="1"/>
    </row>
    <row r="60" spans="1:11" x14ac:dyDescent="0.25">
      <c r="A60" s="6"/>
      <c r="B60" s="1"/>
      <c r="C60" s="1"/>
      <c r="D60" s="1"/>
      <c r="K60" s="1"/>
    </row>
    <row r="61" spans="1:11" x14ac:dyDescent="0.25">
      <c r="A61" s="6"/>
      <c r="B61" s="1"/>
      <c r="C61" s="1"/>
      <c r="D61" s="1"/>
      <c r="K61" s="1"/>
    </row>
    <row r="62" spans="1:11" x14ac:dyDescent="0.25">
      <c r="A62" s="6"/>
      <c r="B62" s="1"/>
      <c r="C62" s="1"/>
      <c r="D62" s="1"/>
      <c r="K62" s="1"/>
    </row>
    <row r="63" spans="1:11" x14ac:dyDescent="0.25">
      <c r="A63" s="6"/>
      <c r="B63" s="1"/>
      <c r="C63" s="1"/>
      <c r="D63" s="1"/>
      <c r="K63" s="1"/>
    </row>
    <row r="64" spans="1:11" x14ac:dyDescent="0.25">
      <c r="A64" s="6"/>
      <c r="B64" s="1"/>
      <c r="C64" s="1"/>
      <c r="D64" s="1"/>
      <c r="K64" s="1"/>
    </row>
    <row r="65" spans="1:11" x14ac:dyDescent="0.25">
      <c r="A65" s="6"/>
      <c r="B65" s="1"/>
      <c r="C65" s="1"/>
      <c r="D65" s="1"/>
      <c r="K65" s="1"/>
    </row>
    <row r="66" spans="1:11" x14ac:dyDescent="0.25">
      <c r="A66" s="6"/>
      <c r="B66" s="1"/>
      <c r="C66" s="1"/>
      <c r="D66" s="1"/>
      <c r="K66" s="1"/>
    </row>
    <row r="67" spans="1:11" x14ac:dyDescent="0.25">
      <c r="A67" s="6"/>
      <c r="B67" s="1"/>
      <c r="C67" s="1"/>
      <c r="D67" s="1"/>
      <c r="K67" s="1"/>
    </row>
    <row r="68" spans="1:11" x14ac:dyDescent="0.25">
      <c r="A68" s="6"/>
      <c r="B68" s="1"/>
      <c r="C68" s="1"/>
      <c r="D68" s="1"/>
      <c r="K68" s="1"/>
    </row>
    <row r="69" spans="1:11" x14ac:dyDescent="0.25">
      <c r="A69" s="6"/>
      <c r="B69" s="1"/>
      <c r="C69" s="1"/>
      <c r="D69" s="1"/>
      <c r="K69" s="1"/>
    </row>
    <row r="70" spans="1:11" x14ac:dyDescent="0.25">
      <c r="A70" s="6"/>
      <c r="B70" s="1"/>
      <c r="C70" s="1"/>
      <c r="D70" s="1"/>
      <c r="K70" s="1"/>
    </row>
    <row r="71" spans="1:11" x14ac:dyDescent="0.25">
      <c r="A71" s="6"/>
      <c r="B71" s="1"/>
      <c r="C71" s="1"/>
      <c r="D71" s="1"/>
      <c r="K71" s="1"/>
    </row>
    <row r="72" spans="1:11" x14ac:dyDescent="0.25">
      <c r="A72" s="6"/>
      <c r="B72" s="1"/>
      <c r="C72" s="1"/>
      <c r="D72" s="1"/>
      <c r="K72" s="1"/>
    </row>
    <row r="73" spans="1:11" x14ac:dyDescent="0.25">
      <c r="A73" s="6"/>
      <c r="B73" s="1"/>
      <c r="C73" s="1"/>
      <c r="D73" s="1"/>
      <c r="K73" s="1"/>
    </row>
    <row r="74" spans="1:11" x14ac:dyDescent="0.25">
      <c r="A74" s="6"/>
      <c r="B74" s="1"/>
      <c r="C74" s="1"/>
      <c r="D74" s="1"/>
      <c r="K74" s="1"/>
    </row>
    <row r="75" spans="1:11" x14ac:dyDescent="0.25">
      <c r="A75" s="6"/>
      <c r="B75" s="1"/>
      <c r="C75" s="1"/>
      <c r="D75" s="1"/>
      <c r="K75" s="1"/>
    </row>
    <row r="76" spans="1:11" x14ac:dyDescent="0.25">
      <c r="A76" s="6"/>
      <c r="B76" s="1"/>
      <c r="C76" s="1"/>
      <c r="D76" s="1"/>
      <c r="K76" s="1"/>
    </row>
    <row r="77" spans="1:11" x14ac:dyDescent="0.25">
      <c r="A77" s="6"/>
      <c r="B77" s="1"/>
      <c r="C77" s="1"/>
      <c r="D77" s="1"/>
      <c r="K77" s="1"/>
    </row>
    <row r="78" spans="1:11" x14ac:dyDescent="0.25">
      <c r="A78" s="6"/>
      <c r="B78" s="1"/>
      <c r="C78" s="1"/>
      <c r="D78" s="1"/>
      <c r="K78" s="1"/>
    </row>
    <row r="79" spans="1:11" x14ac:dyDescent="0.25">
      <c r="A79" s="6"/>
      <c r="B79" s="1"/>
      <c r="C79" s="1"/>
      <c r="D79" s="1"/>
      <c r="K79" s="1"/>
    </row>
    <row r="80" spans="1:11" x14ac:dyDescent="0.25">
      <c r="A80" s="6"/>
      <c r="B80" s="1"/>
      <c r="C80" s="1"/>
      <c r="D80" s="1"/>
      <c r="K80" s="1"/>
    </row>
    <row r="81" spans="1:11" x14ac:dyDescent="0.25">
      <c r="A81" s="6"/>
      <c r="B81" s="1"/>
      <c r="C81" s="1"/>
      <c r="D81" s="1"/>
      <c r="K81" s="1"/>
    </row>
    <row r="82" spans="1:11" x14ac:dyDescent="0.25">
      <c r="A82" s="6"/>
      <c r="B82" s="1"/>
      <c r="C82" s="1"/>
      <c r="D82" s="1"/>
      <c r="K82" s="1"/>
    </row>
    <row r="83" spans="1:11" x14ac:dyDescent="0.25">
      <c r="A83" s="6"/>
      <c r="B83" s="1"/>
      <c r="C83" s="1"/>
      <c r="D83" s="1"/>
      <c r="K83" s="1"/>
    </row>
    <row r="84" spans="1:11" x14ac:dyDescent="0.25">
      <c r="A84" s="6"/>
      <c r="B84" s="1"/>
      <c r="C84" s="1"/>
      <c r="D84" s="1"/>
      <c r="K84" s="1"/>
    </row>
    <row r="85" spans="1:11" x14ac:dyDescent="0.25">
      <c r="A85" s="6"/>
      <c r="B85" s="1"/>
      <c r="C85" s="1"/>
      <c r="D85" s="1"/>
      <c r="K85" s="1"/>
    </row>
    <row r="86" spans="1:11" x14ac:dyDescent="0.25">
      <c r="A86" s="6"/>
      <c r="B86" s="1"/>
      <c r="C86" s="1"/>
      <c r="D86" s="1"/>
      <c r="K86" s="1"/>
    </row>
    <row r="87" spans="1:11" x14ac:dyDescent="0.25">
      <c r="A87" s="6"/>
      <c r="B87" s="1"/>
      <c r="C87" s="1"/>
      <c r="D87" s="1"/>
      <c r="K87" s="1"/>
    </row>
    <row r="88" spans="1:11" x14ac:dyDescent="0.25">
      <c r="A88" s="6"/>
      <c r="B88" s="1"/>
      <c r="C88" s="1"/>
      <c r="D88" s="1"/>
      <c r="K88" s="1"/>
    </row>
    <row r="89" spans="1:11" x14ac:dyDescent="0.25">
      <c r="A89" s="6"/>
      <c r="B89" s="1"/>
      <c r="C89" s="1"/>
      <c r="D89" s="1"/>
      <c r="K89" s="1"/>
    </row>
    <row r="90" spans="1:11" x14ac:dyDescent="0.25">
      <c r="A90" s="6"/>
      <c r="B90" s="1"/>
      <c r="C90" s="1"/>
      <c r="D90" s="1"/>
      <c r="K90" s="1"/>
    </row>
    <row r="91" spans="1:11" x14ac:dyDescent="0.25">
      <c r="A91" s="6"/>
      <c r="B91" s="1"/>
      <c r="C91" s="1"/>
      <c r="D91" s="1"/>
      <c r="K91" s="1"/>
    </row>
    <row r="92" spans="1:11" x14ac:dyDescent="0.25">
      <c r="A92" s="6"/>
      <c r="B92" s="1"/>
      <c r="C92" s="1"/>
      <c r="D92" s="1"/>
      <c r="K92" s="1"/>
    </row>
    <row r="93" spans="1:11" x14ac:dyDescent="0.25">
      <c r="A93" s="6"/>
      <c r="B93" s="1"/>
      <c r="C93" s="1"/>
      <c r="D93" s="1"/>
      <c r="K93" s="1"/>
    </row>
    <row r="94" spans="1:11" x14ac:dyDescent="0.25">
      <c r="A94" s="6"/>
      <c r="B94" s="1"/>
      <c r="C94" s="1"/>
      <c r="D94" s="1"/>
      <c r="K94" s="1"/>
    </row>
    <row r="95" spans="1:11" x14ac:dyDescent="0.25">
      <c r="A95" s="6"/>
      <c r="B95" s="1"/>
      <c r="C95" s="1"/>
      <c r="D95" s="1"/>
      <c r="K95" s="1"/>
    </row>
    <row r="96" spans="1:11" x14ac:dyDescent="0.25">
      <c r="A96" s="6"/>
      <c r="B96" s="1"/>
      <c r="C96" s="1"/>
      <c r="D96" s="1"/>
      <c r="K96" s="1"/>
    </row>
    <row r="97" spans="1:11" x14ac:dyDescent="0.25">
      <c r="A97" s="6"/>
      <c r="B97" s="1"/>
      <c r="C97" s="1"/>
      <c r="D97" s="1"/>
      <c r="K97" s="1"/>
    </row>
    <row r="98" spans="1:11" x14ac:dyDescent="0.25">
      <c r="A98" s="6"/>
      <c r="B98" s="1"/>
      <c r="C98" s="1"/>
      <c r="D98" s="1"/>
      <c r="K98" s="1"/>
    </row>
    <row r="99" spans="1:11" x14ac:dyDescent="0.25">
      <c r="A99" s="6"/>
      <c r="B99" s="1"/>
      <c r="C99" s="1"/>
      <c r="D99" s="1"/>
      <c r="K99" s="1"/>
    </row>
    <row r="100" spans="1:11" x14ac:dyDescent="0.25">
      <c r="A100" s="6"/>
      <c r="B100" s="1"/>
      <c r="C100" s="1"/>
      <c r="D100" s="1"/>
      <c r="K100" s="1"/>
    </row>
    <row r="101" spans="1:11" x14ac:dyDescent="0.25">
      <c r="A101" s="6"/>
      <c r="B101" s="1"/>
      <c r="C101" s="1"/>
      <c r="D101" s="1"/>
      <c r="K101" s="1"/>
    </row>
    <row r="102" spans="1:11" x14ac:dyDescent="0.25">
      <c r="A102" s="6"/>
      <c r="B102" s="1"/>
      <c r="C102" s="1"/>
      <c r="D102" s="1"/>
      <c r="K102" s="1"/>
    </row>
    <row r="103" spans="1:11" x14ac:dyDescent="0.25">
      <c r="A103" s="6"/>
      <c r="B103" s="1"/>
      <c r="C103" s="1"/>
      <c r="D103" s="1"/>
      <c r="K103" s="1"/>
    </row>
    <row r="104" spans="1:11" x14ac:dyDescent="0.25">
      <c r="A104" s="6"/>
      <c r="B104" s="1"/>
      <c r="C104" s="1"/>
      <c r="D104" s="1"/>
      <c r="K104" s="1"/>
    </row>
    <row r="105" spans="1:11" x14ac:dyDescent="0.25">
      <c r="A105" s="6"/>
      <c r="B105" s="1"/>
      <c r="C105" s="1"/>
      <c r="D105" s="1"/>
      <c r="K105" s="1"/>
    </row>
    <row r="106" spans="1:11" x14ac:dyDescent="0.25">
      <c r="A106" s="6"/>
      <c r="B106" s="1"/>
      <c r="C106" s="1"/>
      <c r="D106" s="1"/>
      <c r="K106" s="1"/>
    </row>
    <row r="107" spans="1:11" x14ac:dyDescent="0.25">
      <c r="A107" s="6"/>
      <c r="B107" s="1"/>
      <c r="C107" s="1"/>
      <c r="D107" s="1"/>
      <c r="K107" s="1"/>
    </row>
    <row r="108" spans="1:11" x14ac:dyDescent="0.25">
      <c r="A108" s="6"/>
      <c r="B108" s="1"/>
      <c r="C108" s="1"/>
      <c r="D108" s="1"/>
      <c r="K108" s="1"/>
    </row>
    <row r="109" spans="1:11" x14ac:dyDescent="0.25">
      <c r="A109" s="6"/>
      <c r="B109" s="1"/>
      <c r="C109" s="1"/>
      <c r="D109" s="1"/>
      <c r="K109" s="1"/>
    </row>
    <row r="110" spans="1:11" x14ac:dyDescent="0.25">
      <c r="A110" s="6"/>
      <c r="B110" s="1"/>
      <c r="C110" s="1"/>
      <c r="D110" s="1"/>
      <c r="K110" s="1"/>
    </row>
    <row r="111" spans="1:11" x14ac:dyDescent="0.25">
      <c r="A111" s="6"/>
      <c r="B111" s="1"/>
      <c r="C111" s="1"/>
      <c r="D111" s="1"/>
      <c r="K111" s="1"/>
    </row>
    <row r="112" spans="1:11" x14ac:dyDescent="0.25">
      <c r="A112" s="6"/>
      <c r="B112" s="1"/>
      <c r="C112" s="1"/>
      <c r="D112" s="1"/>
      <c r="K112" s="1"/>
    </row>
    <row r="113" spans="1:11" x14ac:dyDescent="0.25">
      <c r="A113" s="6"/>
      <c r="B113" s="1"/>
      <c r="C113" s="1"/>
      <c r="D113" s="1"/>
      <c r="K113" s="1"/>
    </row>
    <row r="114" spans="1:11" x14ac:dyDescent="0.25">
      <c r="A114" s="6"/>
      <c r="B114" s="1"/>
      <c r="C114" s="1"/>
      <c r="D114" s="1"/>
      <c r="K114" s="1"/>
    </row>
    <row r="115" spans="1:11" x14ac:dyDescent="0.25">
      <c r="A115" s="6"/>
      <c r="B115" s="1"/>
      <c r="C115" s="1"/>
      <c r="D115" s="1"/>
      <c r="K115" s="1"/>
    </row>
    <row r="116" spans="1:11" x14ac:dyDescent="0.25">
      <c r="A116" s="6"/>
      <c r="B116" s="1"/>
      <c r="C116" s="1"/>
      <c r="D116" s="1"/>
      <c r="K116" s="1"/>
    </row>
    <row r="117" spans="1:11" x14ac:dyDescent="0.25">
      <c r="A117" s="6"/>
      <c r="B117" s="1"/>
      <c r="C117" s="1"/>
      <c r="D117" s="1"/>
      <c r="K117" s="1"/>
    </row>
    <row r="118" spans="1:11" x14ac:dyDescent="0.25">
      <c r="A118" s="6"/>
      <c r="B118" s="1"/>
      <c r="C118" s="1"/>
      <c r="D118" s="1"/>
      <c r="K118" s="1"/>
    </row>
    <row r="119" spans="1:11" x14ac:dyDescent="0.25">
      <c r="A119" s="6"/>
      <c r="B119" s="1"/>
      <c r="C119" s="1"/>
      <c r="D119" s="1"/>
      <c r="K119" s="1"/>
    </row>
    <row r="120" spans="1:11" x14ac:dyDescent="0.25">
      <c r="A120" s="6"/>
      <c r="B120" s="1"/>
      <c r="C120" s="1"/>
      <c r="D120" s="1"/>
      <c r="K120" s="1"/>
    </row>
    <row r="121" spans="1:11" x14ac:dyDescent="0.25">
      <c r="A121" s="6"/>
      <c r="B121" s="1"/>
      <c r="C121" s="1"/>
      <c r="D121" s="1"/>
      <c r="K121" s="1"/>
    </row>
    <row r="122" spans="1:11" x14ac:dyDescent="0.25">
      <c r="A122" s="6"/>
      <c r="B122" s="1"/>
      <c r="C122" s="1"/>
      <c r="D122" s="1"/>
      <c r="K122" s="1"/>
    </row>
    <row r="123" spans="1:11" x14ac:dyDescent="0.25">
      <c r="A123" s="6"/>
      <c r="B123" s="1"/>
      <c r="C123" s="1"/>
      <c r="D123" s="1"/>
      <c r="K123" s="1"/>
    </row>
    <row r="124" spans="1:11" x14ac:dyDescent="0.25">
      <c r="A124" s="6"/>
      <c r="B124" s="1"/>
      <c r="C124" s="1"/>
      <c r="D124" s="1"/>
      <c r="K124" s="1"/>
    </row>
    <row r="125" spans="1:11" x14ac:dyDescent="0.25">
      <c r="A125" s="6"/>
      <c r="B125" s="1"/>
      <c r="C125" s="1"/>
      <c r="D125" s="1"/>
      <c r="K125" s="1"/>
    </row>
    <row r="126" spans="1:11" x14ac:dyDescent="0.25">
      <c r="A126" s="6"/>
      <c r="B126" s="1"/>
      <c r="C126" s="1"/>
      <c r="D126" s="1"/>
      <c r="K126" s="1"/>
    </row>
    <row r="127" spans="1:11" x14ac:dyDescent="0.25">
      <c r="A127" s="6"/>
      <c r="B127" s="1"/>
      <c r="C127" s="1"/>
      <c r="D127" s="1"/>
      <c r="K127" s="1"/>
    </row>
    <row r="128" spans="1:11" x14ac:dyDescent="0.25">
      <c r="A128" s="6"/>
      <c r="B128" s="1"/>
      <c r="C128" s="1"/>
      <c r="D128" s="1"/>
      <c r="K128" s="1"/>
    </row>
    <row r="129" spans="1:11" x14ac:dyDescent="0.25">
      <c r="A129" s="6"/>
      <c r="B129" s="1"/>
      <c r="C129" s="1"/>
      <c r="D129" s="1"/>
      <c r="K129" s="1"/>
    </row>
    <row r="130" spans="1:11" x14ac:dyDescent="0.25">
      <c r="A130" s="6"/>
      <c r="B130" s="1"/>
      <c r="C130" s="1"/>
      <c r="D130" s="1"/>
      <c r="K130" s="1"/>
    </row>
    <row r="131" spans="1:11" x14ac:dyDescent="0.25">
      <c r="A131" s="6"/>
      <c r="B131" s="1"/>
      <c r="C131" s="1"/>
      <c r="D131" s="1"/>
      <c r="K131" s="1"/>
    </row>
    <row r="132" spans="1:11" x14ac:dyDescent="0.25">
      <c r="A132" s="6"/>
      <c r="B132" s="1"/>
      <c r="C132" s="1"/>
      <c r="D132" s="1"/>
      <c r="K132" s="1"/>
    </row>
    <row r="133" spans="1:11" x14ac:dyDescent="0.25">
      <c r="A133" s="6"/>
      <c r="B133" s="1"/>
      <c r="C133" s="1"/>
      <c r="D133" s="1"/>
      <c r="K133" s="1"/>
    </row>
    <row r="134" spans="1:11" x14ac:dyDescent="0.25">
      <c r="A134" s="6"/>
      <c r="B134" s="1"/>
      <c r="C134" s="1"/>
      <c r="D134" s="1"/>
      <c r="K134" s="1"/>
    </row>
    <row r="135" spans="1:11" x14ac:dyDescent="0.25">
      <c r="A135" s="6"/>
      <c r="B135" s="1"/>
      <c r="C135" s="1"/>
      <c r="D135" s="1"/>
      <c r="K135" s="1"/>
    </row>
    <row r="136" spans="1:11" x14ac:dyDescent="0.25">
      <c r="A136" s="6"/>
      <c r="B136" s="1"/>
      <c r="C136" s="1"/>
      <c r="D136" s="1"/>
      <c r="K136" s="1"/>
    </row>
    <row r="137" spans="1:11" x14ac:dyDescent="0.25">
      <c r="A137" s="6"/>
      <c r="B137" s="1"/>
      <c r="C137" s="1"/>
      <c r="D137" s="1"/>
      <c r="K137" s="1"/>
    </row>
    <row r="138" spans="1:11" x14ac:dyDescent="0.25">
      <c r="A138" s="6"/>
      <c r="B138" s="1"/>
      <c r="C138" s="1"/>
      <c r="D138" s="1"/>
      <c r="K138" s="1"/>
    </row>
    <row r="139" spans="1:11" x14ac:dyDescent="0.25">
      <c r="A139" s="6"/>
      <c r="B139" s="1"/>
      <c r="C139" s="1"/>
      <c r="D139" s="1"/>
      <c r="K139" s="1"/>
    </row>
    <row r="140" spans="1:11" x14ac:dyDescent="0.25">
      <c r="A140" s="6"/>
      <c r="B140" s="1"/>
      <c r="C140" s="1"/>
      <c r="D140" s="1"/>
      <c r="K140" s="1"/>
    </row>
    <row r="141" spans="1:11" x14ac:dyDescent="0.25">
      <c r="A141" s="6"/>
      <c r="B141" s="1"/>
      <c r="C141" s="1"/>
      <c r="D141" s="1"/>
      <c r="K141" s="1"/>
    </row>
    <row r="142" spans="1:11" x14ac:dyDescent="0.25">
      <c r="A142" s="6"/>
      <c r="B142" s="1"/>
      <c r="C142" s="1"/>
      <c r="D142" s="1"/>
      <c r="K142" s="1"/>
    </row>
    <row r="143" spans="1:11" x14ac:dyDescent="0.25">
      <c r="A143" s="6"/>
      <c r="B143" s="1"/>
      <c r="C143" s="1"/>
      <c r="D143" s="1"/>
      <c r="K143" s="1"/>
    </row>
    <row r="144" spans="1:11" x14ac:dyDescent="0.25">
      <c r="A144" s="6"/>
      <c r="B144" s="1"/>
      <c r="C144" s="1"/>
      <c r="D144" s="1"/>
      <c r="K144" s="1"/>
    </row>
    <row r="145" spans="1:11" x14ac:dyDescent="0.25">
      <c r="A145" s="6"/>
      <c r="B145" s="1"/>
      <c r="C145" s="1"/>
      <c r="D145" s="1"/>
      <c r="K145" s="1"/>
    </row>
    <row r="146" spans="1:11" x14ac:dyDescent="0.25">
      <c r="A146" s="6"/>
      <c r="B146" s="1"/>
      <c r="C146" s="1"/>
      <c r="D146" s="1"/>
      <c r="K146" s="1"/>
    </row>
    <row r="147" spans="1:11" x14ac:dyDescent="0.25">
      <c r="A147" s="6"/>
      <c r="B147" s="1"/>
      <c r="C147" s="1"/>
      <c r="D147" s="1"/>
      <c r="K147" s="1"/>
    </row>
    <row r="148" spans="1:11" x14ac:dyDescent="0.25">
      <c r="A148" s="6"/>
      <c r="B148" s="1"/>
      <c r="C148" s="1"/>
      <c r="D148" s="1"/>
      <c r="K148" s="1"/>
    </row>
    <row r="149" spans="1:11" x14ac:dyDescent="0.25">
      <c r="A149" s="6"/>
      <c r="B149" s="1"/>
      <c r="C149" s="1"/>
      <c r="D149" s="1"/>
      <c r="K149" s="1"/>
    </row>
    <row r="150" spans="1:11" x14ac:dyDescent="0.25">
      <c r="A150" s="6"/>
      <c r="B150" s="1"/>
      <c r="C150" s="1"/>
      <c r="D150" s="1"/>
      <c r="K150" s="1"/>
    </row>
    <row r="151" spans="1:11" x14ac:dyDescent="0.25">
      <c r="A151" s="6"/>
      <c r="B151" s="1"/>
      <c r="C151" s="1"/>
      <c r="D151" s="1"/>
      <c r="K151" s="1"/>
    </row>
    <row r="152" spans="1:11" x14ac:dyDescent="0.25">
      <c r="A152" s="6"/>
      <c r="B152" s="1"/>
      <c r="C152" s="1"/>
      <c r="D152" s="1"/>
      <c r="K152" s="1"/>
    </row>
    <row r="153" spans="1:11" x14ac:dyDescent="0.25">
      <c r="A153" s="6"/>
      <c r="B153" s="1"/>
      <c r="C153" s="1"/>
      <c r="D153" s="1"/>
      <c r="K153" s="1"/>
    </row>
    <row r="154" spans="1:11" x14ac:dyDescent="0.25">
      <c r="A154" s="6"/>
      <c r="B154" s="1"/>
      <c r="C154" s="1"/>
      <c r="D154" s="1"/>
      <c r="K154" s="1"/>
    </row>
    <row r="155" spans="1:11" x14ac:dyDescent="0.25">
      <c r="A155" s="6"/>
      <c r="B155" s="1"/>
      <c r="C155" s="1"/>
      <c r="D155" s="1"/>
      <c r="K155" s="1"/>
    </row>
    <row r="156" spans="1:11" x14ac:dyDescent="0.25">
      <c r="A156" s="6"/>
      <c r="B156" s="1"/>
      <c r="C156" s="1"/>
      <c r="D156" s="1"/>
      <c r="K156" s="1"/>
    </row>
    <row r="157" spans="1:11" x14ac:dyDescent="0.25">
      <c r="A157" s="6"/>
      <c r="B157" s="1"/>
      <c r="C157" s="1"/>
      <c r="D157" s="1"/>
      <c r="K157" s="1"/>
    </row>
    <row r="158" spans="1:11" x14ac:dyDescent="0.25">
      <c r="A158" s="6"/>
      <c r="B158" s="1"/>
      <c r="C158" s="1"/>
      <c r="D158" s="1"/>
      <c r="K158" s="1"/>
    </row>
    <row r="159" spans="1:11" x14ac:dyDescent="0.25">
      <c r="A159" s="6"/>
      <c r="B159" s="1"/>
      <c r="C159" s="1"/>
      <c r="D159" s="1"/>
      <c r="K159" s="1"/>
    </row>
    <row r="160" spans="1:11" x14ac:dyDescent="0.25">
      <c r="A160" s="6"/>
      <c r="B160" s="1"/>
      <c r="C160" s="1"/>
      <c r="D160" s="1"/>
      <c r="K160" s="1"/>
    </row>
    <row r="161" spans="1:11" x14ac:dyDescent="0.25">
      <c r="A161" s="6"/>
      <c r="B161" s="1"/>
      <c r="C161" s="1"/>
      <c r="D161" s="1"/>
      <c r="K161" s="1"/>
    </row>
    <row r="162" spans="1:11" x14ac:dyDescent="0.25">
      <c r="A162" s="6"/>
      <c r="B162" s="1"/>
      <c r="C162" s="1"/>
      <c r="D162" s="1"/>
      <c r="K162" s="1"/>
    </row>
    <row r="163" spans="1:11" x14ac:dyDescent="0.25">
      <c r="A163" s="6"/>
      <c r="B163" s="1"/>
      <c r="C163" s="1"/>
      <c r="D163" s="1"/>
      <c r="K163" s="1"/>
    </row>
    <row r="164" spans="1:11" x14ac:dyDescent="0.25">
      <c r="A164" s="6"/>
      <c r="B164" s="1"/>
      <c r="C164" s="1"/>
      <c r="D164" s="1"/>
      <c r="K164" s="1"/>
    </row>
    <row r="165" spans="1:11" x14ac:dyDescent="0.25">
      <c r="A165" s="6"/>
      <c r="B165" s="1"/>
      <c r="C165" s="1"/>
      <c r="D165" s="1"/>
      <c r="K165" s="1"/>
    </row>
    <row r="166" spans="1:11" x14ac:dyDescent="0.25">
      <c r="A166" s="6"/>
      <c r="B166" s="1"/>
      <c r="C166" s="1"/>
      <c r="D166" s="1"/>
      <c r="K166" s="1"/>
    </row>
    <row r="167" spans="1:11" x14ac:dyDescent="0.25">
      <c r="A167" s="6"/>
      <c r="B167" s="1"/>
      <c r="C167" s="1"/>
      <c r="D167" s="1"/>
      <c r="K167" s="1"/>
    </row>
    <row r="168" spans="1:11" x14ac:dyDescent="0.25">
      <c r="A168" s="6"/>
      <c r="B168" s="1"/>
      <c r="C168" s="1"/>
      <c r="D168" s="1"/>
      <c r="K168" s="1"/>
    </row>
    <row r="169" spans="1:11" x14ac:dyDescent="0.25">
      <c r="A169" s="6"/>
      <c r="B169" s="1"/>
      <c r="C169" s="1"/>
      <c r="D169" s="1"/>
      <c r="K169" s="1"/>
    </row>
    <row r="170" spans="1:11" x14ac:dyDescent="0.25">
      <c r="A170" s="6"/>
      <c r="B170" s="1"/>
      <c r="C170" s="1"/>
      <c r="D170" s="1"/>
      <c r="K170" s="1"/>
    </row>
    <row r="171" spans="1:11" x14ac:dyDescent="0.25">
      <c r="A171" s="6"/>
      <c r="B171" s="1"/>
      <c r="C171" s="1"/>
      <c r="D171" s="1"/>
      <c r="K171" s="1"/>
    </row>
    <row r="172" spans="1:11" x14ac:dyDescent="0.25">
      <c r="A172" s="6"/>
      <c r="B172" s="1"/>
      <c r="C172" s="1"/>
      <c r="D172" s="1"/>
      <c r="K172" s="1"/>
    </row>
    <row r="173" spans="1:11" x14ac:dyDescent="0.25">
      <c r="A173" s="6"/>
      <c r="B173" s="1"/>
      <c r="C173" s="1"/>
      <c r="D173" s="1"/>
      <c r="K173" s="1"/>
    </row>
    <row r="174" spans="1:11" x14ac:dyDescent="0.25">
      <c r="A174" s="6"/>
      <c r="B174" s="1"/>
      <c r="C174" s="1"/>
      <c r="D174" s="1"/>
      <c r="K174" s="1"/>
    </row>
    <row r="175" spans="1:11" x14ac:dyDescent="0.25">
      <c r="A175" s="6"/>
      <c r="B175" s="1"/>
      <c r="C175" s="1"/>
      <c r="D175" s="1"/>
      <c r="K175" s="1"/>
    </row>
    <row r="176" spans="1:11" x14ac:dyDescent="0.25">
      <c r="A176" s="6"/>
      <c r="B176" s="1"/>
      <c r="C176" s="1"/>
      <c r="D176" s="1"/>
      <c r="K176" s="1"/>
    </row>
    <row r="177" spans="1:11" x14ac:dyDescent="0.25">
      <c r="A177" s="6"/>
      <c r="B177" s="1"/>
      <c r="C177" s="1"/>
      <c r="D177" s="1"/>
      <c r="K177" s="1"/>
    </row>
    <row r="178" spans="1:11" x14ac:dyDescent="0.25">
      <c r="A178" s="6"/>
      <c r="B178" s="1"/>
      <c r="C178" s="1"/>
      <c r="D178" s="1"/>
      <c r="K178" s="1"/>
    </row>
    <row r="179" spans="1:11" x14ac:dyDescent="0.25">
      <c r="A179" s="6"/>
      <c r="B179" s="1"/>
      <c r="C179" s="1"/>
      <c r="D179" s="1"/>
      <c r="K179" s="1"/>
    </row>
    <row r="180" spans="1:11" x14ac:dyDescent="0.25">
      <c r="A180" s="6"/>
      <c r="B180" s="1"/>
      <c r="C180" s="1"/>
      <c r="D180" s="1"/>
      <c r="K180" s="1"/>
    </row>
    <row r="181" spans="1:11" x14ac:dyDescent="0.25">
      <c r="A181" s="6"/>
      <c r="B181" s="1"/>
      <c r="C181" s="1"/>
      <c r="D181" s="1"/>
      <c r="K181" s="1"/>
    </row>
    <row r="182" spans="1:11" x14ac:dyDescent="0.25">
      <c r="A182" s="6"/>
      <c r="B182" s="1"/>
      <c r="C182" s="1"/>
      <c r="D182" s="1"/>
      <c r="K182" s="1"/>
    </row>
    <row r="183" spans="1:11" x14ac:dyDescent="0.25">
      <c r="A183" s="6"/>
      <c r="B183" s="1"/>
      <c r="C183" s="1"/>
      <c r="D183" s="1"/>
      <c r="K183" s="1"/>
    </row>
    <row r="184" spans="1:11" x14ac:dyDescent="0.25">
      <c r="A184" s="6"/>
      <c r="B184" s="1"/>
      <c r="C184" s="1"/>
      <c r="D184" s="1"/>
      <c r="K184" s="1"/>
    </row>
    <row r="185" spans="1:11" x14ac:dyDescent="0.25">
      <c r="A185" s="6"/>
      <c r="B185" s="1"/>
      <c r="C185" s="1"/>
      <c r="D185" s="1"/>
      <c r="K185" s="1"/>
    </row>
    <row r="186" spans="1:11" x14ac:dyDescent="0.25">
      <c r="A186" s="6"/>
      <c r="B186" s="1"/>
      <c r="C186" s="1"/>
      <c r="D186" s="1"/>
      <c r="K186" s="1"/>
    </row>
    <row r="187" spans="1:11" x14ac:dyDescent="0.25">
      <c r="A187" s="6"/>
      <c r="B187" s="1"/>
      <c r="C187" s="1"/>
      <c r="D187" s="1"/>
      <c r="K187" s="1"/>
    </row>
    <row r="188" spans="1:11" x14ac:dyDescent="0.25">
      <c r="A188" s="6"/>
      <c r="B188" s="1"/>
      <c r="C188" s="1"/>
      <c r="D188" s="1"/>
      <c r="K188" s="1"/>
    </row>
    <row r="189" spans="1:11" x14ac:dyDescent="0.25">
      <c r="A189" s="6"/>
      <c r="B189" s="1"/>
      <c r="C189" s="1"/>
      <c r="D189" s="1"/>
      <c r="K189" s="1"/>
    </row>
    <row r="190" spans="1:11" x14ac:dyDescent="0.25">
      <c r="A190" s="6"/>
      <c r="B190" s="1"/>
      <c r="C190" s="1"/>
      <c r="D190" s="1"/>
      <c r="K190" s="1"/>
    </row>
    <row r="191" spans="1:11" x14ac:dyDescent="0.25">
      <c r="A191" s="6"/>
      <c r="B191" s="1"/>
      <c r="C191" s="1"/>
      <c r="D191" s="1"/>
      <c r="K191" s="1"/>
    </row>
    <row r="192" spans="1:11" x14ac:dyDescent="0.25">
      <c r="A192" s="6"/>
      <c r="B192" s="1"/>
      <c r="C192" s="1"/>
      <c r="D192" s="1"/>
      <c r="K192" s="1"/>
    </row>
    <row r="193" spans="1:11" x14ac:dyDescent="0.25">
      <c r="A193" s="6"/>
      <c r="B193" s="1"/>
      <c r="C193" s="1"/>
      <c r="D193" s="1"/>
      <c r="K193" s="1"/>
    </row>
    <row r="194" spans="1:11" x14ac:dyDescent="0.25">
      <c r="A194" s="6"/>
      <c r="B194" s="1"/>
      <c r="C194" s="1"/>
      <c r="D194" s="1"/>
      <c r="K194" s="1"/>
    </row>
    <row r="195" spans="1:11" x14ac:dyDescent="0.25">
      <c r="A195" s="6"/>
      <c r="B195" s="1"/>
      <c r="C195" s="1"/>
      <c r="D195" s="1"/>
      <c r="K195" s="1"/>
    </row>
    <row r="196" spans="1:11" x14ac:dyDescent="0.25">
      <c r="A196" s="6"/>
      <c r="B196" s="1"/>
      <c r="C196" s="1"/>
      <c r="D196" s="1"/>
      <c r="K196" s="1"/>
    </row>
    <row r="197" spans="1:11" x14ac:dyDescent="0.25">
      <c r="A197" s="6"/>
      <c r="B197" s="1"/>
      <c r="C197" s="1"/>
      <c r="D197" s="1"/>
      <c r="K197" s="1"/>
    </row>
    <row r="198" spans="1:11" x14ac:dyDescent="0.25">
      <c r="A198" s="6"/>
      <c r="B198" s="1"/>
      <c r="C198" s="1"/>
      <c r="D198" s="1"/>
      <c r="K198" s="1"/>
    </row>
    <row r="199" spans="1:11" x14ac:dyDescent="0.25">
      <c r="A199" s="6"/>
      <c r="B199" s="1"/>
      <c r="C199" s="1"/>
      <c r="D199" s="1"/>
      <c r="K199" s="1"/>
    </row>
    <row r="200" spans="1:11" x14ac:dyDescent="0.25">
      <c r="A200" s="6">
        <f ca="1">TODAY()</f>
        <v>46295</v>
      </c>
      <c r="B200" s="1"/>
      <c r="C200" s="1"/>
      <c r="D200" s="1"/>
      <c r="K200" s="28">
        <f>Overview!W3</f>
        <v>319.79000000000002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C066A-7CFC-4675-A152-C5BCCBB3FD23}">
  <dimension ref="A1:Z53"/>
  <sheetViews>
    <sheetView workbookViewId="0">
      <selection activeCell="B25" sqref="B25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4" customWidth="1"/>
    <col min="25" max="25" width="10.7109375" style="14" customWidth="1"/>
    <col min="26" max="26" width="10.7109375" customWidth="1"/>
  </cols>
  <sheetData>
    <row r="1" spans="1:26" x14ac:dyDescent="0.25">
      <c r="A1" s="5" t="s">
        <v>18</v>
      </c>
      <c r="B1" s="6" t="s">
        <v>61</v>
      </c>
      <c r="D1" s="41" t="s">
        <v>2</v>
      </c>
      <c r="E1" s="42"/>
      <c r="F1" s="43"/>
      <c r="G1" s="41" t="s">
        <v>0</v>
      </c>
      <c r="H1" s="42"/>
      <c r="I1" s="43"/>
      <c r="J1" s="16"/>
      <c r="K1" s="41" t="s">
        <v>41</v>
      </c>
      <c r="L1" s="42"/>
      <c r="M1" s="42"/>
      <c r="N1" s="42"/>
      <c r="O1" s="42"/>
      <c r="P1" s="42"/>
      <c r="Q1" s="43"/>
      <c r="X1" s="41"/>
      <c r="Y1" s="42"/>
      <c r="Z1" s="43"/>
    </row>
    <row r="2" spans="1:26" x14ac:dyDescent="0.25">
      <c r="A2" s="5" t="s">
        <v>15</v>
      </c>
      <c r="B2" s="6" t="s">
        <v>19</v>
      </c>
      <c r="D2" s="11" t="s">
        <v>45</v>
      </c>
      <c r="E2" s="11" t="s">
        <v>46</v>
      </c>
      <c r="F2" s="23" t="s">
        <v>51</v>
      </c>
      <c r="G2" s="11" t="s">
        <v>12</v>
      </c>
      <c r="H2" s="11" t="s">
        <v>13</v>
      </c>
      <c r="I2" s="11" t="s">
        <v>43</v>
      </c>
      <c r="J2" s="9"/>
      <c r="K2" s="11" t="s">
        <v>0</v>
      </c>
      <c r="L2" s="11" t="s">
        <v>1</v>
      </c>
      <c r="M2" s="11" t="s">
        <v>39</v>
      </c>
      <c r="N2" s="11" t="s">
        <v>40</v>
      </c>
      <c r="O2" s="11" t="s">
        <v>2</v>
      </c>
      <c r="P2" s="11" t="s">
        <v>49</v>
      </c>
      <c r="Q2" s="11" t="s">
        <v>51</v>
      </c>
      <c r="X2" s="11" t="s">
        <v>2</v>
      </c>
      <c r="Y2" s="11" t="s">
        <v>42</v>
      </c>
      <c r="Z2" s="11" t="s">
        <v>49</v>
      </c>
    </row>
    <row r="3" spans="1:26" x14ac:dyDescent="0.25">
      <c r="A3" s="5" t="s">
        <v>20</v>
      </c>
      <c r="B3" s="6" t="s">
        <v>35</v>
      </c>
      <c r="D3" s="10">
        <v>46310</v>
      </c>
      <c r="E3" s="10"/>
      <c r="F3" s="17" t="str">
        <f>IF(E3&gt;0,E3-D3,"")</f>
        <v/>
      </c>
      <c r="G3" s="3"/>
      <c r="H3" s="3"/>
      <c r="I3" s="3"/>
      <c r="J3" s="14"/>
      <c r="K3" s="3">
        <f>G53</f>
        <v>0</v>
      </c>
      <c r="L3" s="3">
        <f>H53</f>
        <v>0</v>
      </c>
      <c r="M3" s="3">
        <f>I53</f>
        <v>0</v>
      </c>
      <c r="N3" s="7" t="str">
        <f>IF(B16=K3,XIRR(Y3:Y52,X3:X52),"")</f>
        <v/>
      </c>
      <c r="O3" s="6" t="str">
        <f>IF(B16=K3,MAX(E:E),"")</f>
        <v/>
      </c>
      <c r="P3" s="2" t="str">
        <f ca="1">IF(Z3="+",TODAY()-B11,"")</f>
        <v/>
      </c>
      <c r="Q3" s="2" t="str">
        <f>IF(B16=K3,MAX(E:E)-B11,"")</f>
        <v/>
      </c>
      <c r="T3" s="13"/>
      <c r="X3" s="6">
        <f>B9</f>
        <v>46263</v>
      </c>
      <c r="Y3" s="3">
        <f>B16*-1</f>
        <v>-23.63</v>
      </c>
      <c r="Z3" s="2" t="str">
        <f ca="1">IF(AND(TODAY()&gt;B11, K3&lt;&gt;B16), "+", "")</f>
        <v/>
      </c>
    </row>
    <row r="4" spans="1:26" x14ac:dyDescent="0.25">
      <c r="A4" s="5" t="s">
        <v>22</v>
      </c>
      <c r="B4" s="6" t="s">
        <v>23</v>
      </c>
      <c r="D4" s="10"/>
      <c r="E4" s="10"/>
      <c r="F4" s="17"/>
      <c r="G4" s="3"/>
      <c r="H4" s="2"/>
      <c r="I4" s="2"/>
      <c r="J4" s="9"/>
      <c r="X4" s="6">
        <f>E3</f>
        <v>0</v>
      </c>
      <c r="Y4" s="3">
        <f>G3+H3-I3</f>
        <v>0</v>
      </c>
    </row>
    <row r="5" spans="1:26" x14ac:dyDescent="0.25">
      <c r="A5" s="5"/>
      <c r="B5" s="6"/>
      <c r="D5" s="10"/>
      <c r="E5" s="10"/>
      <c r="F5" s="17" t="str">
        <f t="shared" ref="F5:F52" si="0">IF(E5&gt;0,E5-D5,"")</f>
        <v/>
      </c>
      <c r="G5" s="3"/>
      <c r="H5" s="3"/>
      <c r="I5" s="3"/>
      <c r="J5" s="9"/>
      <c r="X5" s="6">
        <f t="shared" ref="X5:X52" si="1">E4</f>
        <v>0</v>
      </c>
      <c r="Y5" s="3">
        <f t="shared" ref="Y5:Y52" si="2">G4+H4-I4</f>
        <v>0</v>
      </c>
    </row>
    <row r="6" spans="1:26" x14ac:dyDescent="0.25">
      <c r="A6" s="5"/>
      <c r="B6" s="6"/>
      <c r="D6" s="10"/>
      <c r="E6" s="10"/>
      <c r="F6" s="17" t="str">
        <f t="shared" si="0"/>
        <v/>
      </c>
      <c r="G6" s="3"/>
      <c r="H6" s="3"/>
      <c r="I6" s="2"/>
      <c r="J6" s="9"/>
      <c r="X6" s="6">
        <f t="shared" si="1"/>
        <v>0</v>
      </c>
      <c r="Y6" s="3">
        <f t="shared" si="2"/>
        <v>0</v>
      </c>
    </row>
    <row r="7" spans="1:26" x14ac:dyDescent="0.25">
      <c r="A7" s="5"/>
      <c r="B7" s="6"/>
      <c r="D7" s="10"/>
      <c r="E7" s="10"/>
      <c r="F7" s="17" t="str">
        <f t="shared" si="0"/>
        <v/>
      </c>
      <c r="G7" s="3"/>
      <c r="H7" s="2"/>
      <c r="I7" s="2"/>
      <c r="J7" s="14"/>
      <c r="X7" s="6">
        <f t="shared" si="1"/>
        <v>0</v>
      </c>
      <c r="Y7" s="3">
        <f t="shared" si="2"/>
        <v>0</v>
      </c>
    </row>
    <row r="8" spans="1:26" x14ac:dyDescent="0.25">
      <c r="A8" s="5" t="s">
        <v>16</v>
      </c>
      <c r="B8" s="6" t="str">
        <f>DATEDIF(B9,B11,"y") &amp; " m. " &amp; DATEDIF(B9,B11,"ym") &amp; " mėn. " &amp; DATEDIF(B9,B11,"md") &amp; " d."</f>
        <v>1 m. 0 mėn. 17 d.</v>
      </c>
      <c r="D8" s="10"/>
      <c r="E8" s="6"/>
      <c r="F8" s="17" t="str">
        <f t="shared" si="0"/>
        <v/>
      </c>
      <c r="G8" s="3"/>
      <c r="H8" s="3"/>
      <c r="I8" s="2"/>
      <c r="J8" s="9"/>
      <c r="X8" s="6">
        <f t="shared" si="1"/>
        <v>0</v>
      </c>
      <c r="Y8" s="3">
        <f t="shared" si="2"/>
        <v>0</v>
      </c>
    </row>
    <row r="9" spans="1:26" x14ac:dyDescent="0.25">
      <c r="A9" s="5" t="s">
        <v>8</v>
      </c>
      <c r="B9" s="6">
        <v>46263</v>
      </c>
      <c r="D9" s="10"/>
      <c r="E9" s="6"/>
      <c r="F9" s="17" t="str">
        <f t="shared" si="0"/>
        <v/>
      </c>
      <c r="G9" s="3"/>
      <c r="H9" s="3"/>
      <c r="I9" s="3"/>
      <c r="J9" s="14"/>
      <c r="X9" s="6">
        <f t="shared" si="1"/>
        <v>0</v>
      </c>
      <c r="Y9" s="3">
        <f t="shared" si="2"/>
        <v>0</v>
      </c>
    </row>
    <row r="10" spans="1:26" x14ac:dyDescent="0.25">
      <c r="A10" s="5" t="s">
        <v>24</v>
      </c>
      <c r="B10" s="6">
        <v>46263</v>
      </c>
      <c r="D10" s="10"/>
      <c r="E10" s="6"/>
      <c r="F10" s="17" t="str">
        <f t="shared" si="0"/>
        <v/>
      </c>
      <c r="G10" s="2"/>
      <c r="H10" s="2"/>
      <c r="I10" s="2"/>
      <c r="J10" s="14"/>
      <c r="X10" s="6">
        <f t="shared" si="1"/>
        <v>0</v>
      </c>
      <c r="Y10" s="3">
        <f t="shared" si="2"/>
        <v>0</v>
      </c>
    </row>
    <row r="11" spans="1:26" x14ac:dyDescent="0.25">
      <c r="A11" s="5" t="s">
        <v>44</v>
      </c>
      <c r="B11" s="6">
        <v>46645</v>
      </c>
      <c r="D11" s="10"/>
      <c r="E11" s="6"/>
      <c r="F11" s="17" t="str">
        <f t="shared" si="0"/>
        <v/>
      </c>
      <c r="G11" s="2"/>
      <c r="H11" s="2"/>
      <c r="I11" s="2"/>
      <c r="J11" s="14"/>
      <c r="X11" s="6">
        <f t="shared" si="1"/>
        <v>0</v>
      </c>
      <c r="Y11" s="3">
        <f t="shared" si="2"/>
        <v>0</v>
      </c>
    </row>
    <row r="12" spans="1:26" x14ac:dyDescent="0.25">
      <c r="A12" s="5" t="s">
        <v>52</v>
      </c>
      <c r="B12" s="17">
        <f ca="1">IF(B16&lt;&gt;K3,(TODAY()-B11)*-1,"")</f>
        <v>350</v>
      </c>
      <c r="D12" s="10"/>
      <c r="E12" s="6"/>
      <c r="F12" s="17" t="str">
        <f t="shared" si="0"/>
        <v/>
      </c>
      <c r="G12" s="2"/>
      <c r="H12" s="2"/>
      <c r="I12" s="2"/>
      <c r="J12" s="14"/>
      <c r="X12" s="6">
        <f t="shared" si="1"/>
        <v>0</v>
      </c>
      <c r="Y12" s="3">
        <f t="shared" si="2"/>
        <v>0</v>
      </c>
    </row>
    <row r="13" spans="1:26" x14ac:dyDescent="0.25">
      <c r="A13" s="5"/>
      <c r="B13" s="3"/>
      <c r="D13" s="10"/>
      <c r="E13" s="6"/>
      <c r="F13" s="17" t="str">
        <f t="shared" si="0"/>
        <v/>
      </c>
      <c r="G13" s="2"/>
      <c r="H13" s="2"/>
      <c r="I13" s="2"/>
      <c r="J13" s="14"/>
      <c r="N13" s="13"/>
      <c r="X13" s="6">
        <f t="shared" si="1"/>
        <v>0</v>
      </c>
      <c r="Y13" s="3">
        <f t="shared" si="2"/>
        <v>0</v>
      </c>
    </row>
    <row r="14" spans="1:26" x14ac:dyDescent="0.25">
      <c r="A14" s="1"/>
      <c r="B14" s="24"/>
      <c r="D14" s="10"/>
      <c r="E14" s="6"/>
      <c r="F14" s="17" t="str">
        <f t="shared" si="0"/>
        <v/>
      </c>
      <c r="G14" s="2"/>
      <c r="H14" s="2"/>
      <c r="I14" s="2"/>
      <c r="J14" s="14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>
        <v>0.11</v>
      </c>
      <c r="D15" s="10"/>
      <c r="E15" s="6"/>
      <c r="F15" s="17" t="str">
        <f t="shared" si="0"/>
        <v/>
      </c>
      <c r="G15" s="2"/>
      <c r="H15" s="2"/>
      <c r="I15" s="2"/>
      <c r="J15" s="14"/>
      <c r="K15" s="16"/>
      <c r="L15" s="16"/>
      <c r="M15" s="16"/>
      <c r="N15" s="16"/>
      <c r="O15" s="16"/>
      <c r="P15" s="16"/>
      <c r="Q15" s="16"/>
      <c r="X15" s="6">
        <f t="shared" si="1"/>
        <v>0</v>
      </c>
      <c r="Y15" s="3">
        <f t="shared" si="2"/>
        <v>0</v>
      </c>
    </row>
    <row r="16" spans="1:26" x14ac:dyDescent="0.25">
      <c r="A16" s="5" t="s">
        <v>53</v>
      </c>
      <c r="B16" s="3">
        <v>23.63</v>
      </c>
      <c r="D16" s="10"/>
      <c r="E16" s="6"/>
      <c r="F16" s="17" t="str">
        <f t="shared" si="0"/>
        <v/>
      </c>
      <c r="G16" s="2"/>
      <c r="H16" s="2"/>
      <c r="I16" s="2"/>
      <c r="J16" s="14"/>
      <c r="K16" s="9"/>
      <c r="L16" s="9"/>
      <c r="M16" s="9"/>
      <c r="N16" s="18"/>
      <c r="O16" s="19"/>
      <c r="P16" s="14"/>
      <c r="Q16" s="14"/>
      <c r="X16" s="6">
        <f t="shared" si="1"/>
        <v>0</v>
      </c>
      <c r="Y16" s="3">
        <f t="shared" si="2"/>
        <v>0</v>
      </c>
    </row>
    <row r="17" spans="4:25" x14ac:dyDescent="0.25">
      <c r="D17" s="10"/>
      <c r="E17" s="6"/>
      <c r="F17" s="17" t="str">
        <f t="shared" si="0"/>
        <v/>
      </c>
      <c r="G17" s="2"/>
      <c r="H17" s="2"/>
      <c r="I17" s="2"/>
      <c r="J17" s="14"/>
      <c r="X17" s="6">
        <f t="shared" si="1"/>
        <v>0</v>
      </c>
      <c r="Y17" s="3">
        <f t="shared" si="2"/>
        <v>0</v>
      </c>
    </row>
    <row r="18" spans="4:25" x14ac:dyDescent="0.25">
      <c r="D18" s="10"/>
      <c r="E18" s="6"/>
      <c r="F18" s="17" t="str">
        <f t="shared" si="0"/>
        <v/>
      </c>
      <c r="G18" s="2"/>
      <c r="H18" s="2"/>
      <c r="I18" s="2"/>
      <c r="J18" s="14"/>
      <c r="X18" s="6">
        <f t="shared" si="1"/>
        <v>0</v>
      </c>
      <c r="Y18" s="3">
        <f t="shared" si="2"/>
        <v>0</v>
      </c>
    </row>
    <row r="19" spans="4:25" x14ac:dyDescent="0.25">
      <c r="D19" s="10"/>
      <c r="E19" s="6"/>
      <c r="F19" s="17" t="str">
        <f t="shared" si="0"/>
        <v/>
      </c>
      <c r="G19" s="2"/>
      <c r="H19" s="2"/>
      <c r="I19" s="2"/>
      <c r="J19" s="14"/>
      <c r="X19" s="6">
        <f t="shared" si="1"/>
        <v>0</v>
      </c>
      <c r="Y19" s="3">
        <f t="shared" si="2"/>
        <v>0</v>
      </c>
    </row>
    <row r="20" spans="4:25" x14ac:dyDescent="0.25">
      <c r="D20" s="10"/>
      <c r="E20" s="6"/>
      <c r="F20" s="17" t="str">
        <f t="shared" si="0"/>
        <v/>
      </c>
      <c r="G20" s="2"/>
      <c r="H20" s="2"/>
      <c r="I20" s="2"/>
      <c r="J20" s="14"/>
      <c r="X20" s="6">
        <f t="shared" si="1"/>
        <v>0</v>
      </c>
      <c r="Y20" s="3">
        <f t="shared" si="2"/>
        <v>0</v>
      </c>
    </row>
    <row r="21" spans="4:25" x14ac:dyDescent="0.25">
      <c r="D21" s="10"/>
      <c r="E21" s="6"/>
      <c r="F21" s="17" t="str">
        <f t="shared" si="0"/>
        <v/>
      </c>
      <c r="G21" s="2"/>
      <c r="H21" s="2"/>
      <c r="I21" s="2"/>
      <c r="J21" s="14"/>
      <c r="X21" s="6">
        <f t="shared" si="1"/>
        <v>0</v>
      </c>
      <c r="Y21" s="3">
        <f t="shared" si="2"/>
        <v>0</v>
      </c>
    </row>
    <row r="22" spans="4:25" x14ac:dyDescent="0.25">
      <c r="D22" s="10"/>
      <c r="E22" s="6"/>
      <c r="F22" s="17" t="str">
        <f t="shared" si="0"/>
        <v/>
      </c>
      <c r="G22" s="2"/>
      <c r="H22" s="2"/>
      <c r="I22" s="2"/>
      <c r="J22" s="14"/>
      <c r="X22" s="6">
        <f t="shared" si="1"/>
        <v>0</v>
      </c>
      <c r="Y22" s="3">
        <f t="shared" si="2"/>
        <v>0</v>
      </c>
    </row>
    <row r="23" spans="4:25" x14ac:dyDescent="0.25">
      <c r="D23" s="10"/>
      <c r="E23" s="6"/>
      <c r="F23" s="17" t="str">
        <f t="shared" si="0"/>
        <v/>
      </c>
      <c r="G23" s="2"/>
      <c r="H23" s="2"/>
      <c r="I23" s="2"/>
      <c r="J23" s="14"/>
      <c r="X23" s="6">
        <f t="shared" si="1"/>
        <v>0</v>
      </c>
      <c r="Y23" s="3">
        <f t="shared" si="2"/>
        <v>0</v>
      </c>
    </row>
    <row r="24" spans="4:25" x14ac:dyDescent="0.25">
      <c r="D24" s="10"/>
      <c r="E24" s="6"/>
      <c r="F24" s="17" t="str">
        <f t="shared" si="0"/>
        <v/>
      </c>
      <c r="G24" s="2"/>
      <c r="H24" s="2"/>
      <c r="I24" s="2"/>
      <c r="J24" s="14"/>
      <c r="X24" s="6">
        <f t="shared" si="1"/>
        <v>0</v>
      </c>
      <c r="Y24" s="3">
        <f t="shared" si="2"/>
        <v>0</v>
      </c>
    </row>
    <row r="25" spans="4:25" x14ac:dyDescent="0.25">
      <c r="D25" s="10"/>
      <c r="E25" s="6"/>
      <c r="F25" s="17" t="str">
        <f t="shared" si="0"/>
        <v/>
      </c>
      <c r="G25" s="2"/>
      <c r="H25" s="2"/>
      <c r="I25" s="2"/>
      <c r="J25" s="14"/>
      <c r="X25" s="6">
        <f t="shared" si="1"/>
        <v>0</v>
      </c>
      <c r="Y25" s="3">
        <f t="shared" si="2"/>
        <v>0</v>
      </c>
    </row>
    <row r="26" spans="4:25" x14ac:dyDescent="0.25">
      <c r="D26" s="10"/>
      <c r="E26" s="6"/>
      <c r="F26" s="17" t="str">
        <f t="shared" si="0"/>
        <v/>
      </c>
      <c r="G26" s="2"/>
      <c r="H26" s="2"/>
      <c r="I26" s="2"/>
      <c r="J26" s="14"/>
      <c r="X26" s="6">
        <f t="shared" si="1"/>
        <v>0</v>
      </c>
      <c r="Y26" s="3">
        <f t="shared" si="2"/>
        <v>0</v>
      </c>
    </row>
    <row r="27" spans="4:25" x14ac:dyDescent="0.25">
      <c r="D27" s="10"/>
      <c r="E27" s="6"/>
      <c r="F27" s="17" t="str">
        <f t="shared" si="0"/>
        <v/>
      </c>
      <c r="G27" s="2"/>
      <c r="H27" s="2"/>
      <c r="I27" s="2"/>
      <c r="J27" s="14"/>
      <c r="X27" s="6">
        <f t="shared" si="1"/>
        <v>0</v>
      </c>
      <c r="Y27" s="3">
        <f t="shared" si="2"/>
        <v>0</v>
      </c>
    </row>
    <row r="28" spans="4:25" x14ac:dyDescent="0.25">
      <c r="D28" s="10"/>
      <c r="E28" s="6"/>
      <c r="F28" s="17" t="str">
        <f t="shared" si="0"/>
        <v/>
      </c>
      <c r="G28" s="2"/>
      <c r="H28" s="2"/>
      <c r="I28" s="2"/>
      <c r="J28" s="14"/>
      <c r="X28" s="6">
        <f t="shared" si="1"/>
        <v>0</v>
      </c>
      <c r="Y28" s="3">
        <f t="shared" si="2"/>
        <v>0</v>
      </c>
    </row>
    <row r="29" spans="4:25" x14ac:dyDescent="0.25">
      <c r="D29" s="10"/>
      <c r="E29" s="6"/>
      <c r="F29" s="17" t="str">
        <f t="shared" si="0"/>
        <v/>
      </c>
      <c r="G29" s="2"/>
      <c r="H29" s="2"/>
      <c r="I29" s="2"/>
      <c r="J29" s="14"/>
      <c r="X29" s="6">
        <f t="shared" si="1"/>
        <v>0</v>
      </c>
      <c r="Y29" s="3">
        <f t="shared" si="2"/>
        <v>0</v>
      </c>
    </row>
    <row r="30" spans="4:25" x14ac:dyDescent="0.25">
      <c r="D30" s="10"/>
      <c r="E30" s="6"/>
      <c r="F30" s="17" t="str">
        <f t="shared" si="0"/>
        <v/>
      </c>
      <c r="G30" s="2"/>
      <c r="H30" s="2"/>
      <c r="I30" s="2"/>
      <c r="J30" s="14"/>
      <c r="X30" s="6">
        <f t="shared" si="1"/>
        <v>0</v>
      </c>
      <c r="Y30" s="3">
        <f t="shared" si="2"/>
        <v>0</v>
      </c>
    </row>
    <row r="31" spans="4:25" x14ac:dyDescent="0.25">
      <c r="D31" s="10"/>
      <c r="E31" s="6"/>
      <c r="F31" s="17" t="str">
        <f t="shared" si="0"/>
        <v/>
      </c>
      <c r="G31" s="2"/>
      <c r="H31" s="2"/>
      <c r="I31" s="2"/>
      <c r="J31" s="14"/>
      <c r="X31" s="6">
        <f t="shared" si="1"/>
        <v>0</v>
      </c>
      <c r="Y31" s="3">
        <f t="shared" si="2"/>
        <v>0</v>
      </c>
    </row>
    <row r="32" spans="4:25" x14ac:dyDescent="0.25">
      <c r="D32" s="10"/>
      <c r="E32" s="6"/>
      <c r="F32" s="17" t="str">
        <f t="shared" si="0"/>
        <v/>
      </c>
      <c r="G32" s="2"/>
      <c r="H32" s="2"/>
      <c r="I32" s="2"/>
      <c r="J32" s="14"/>
      <c r="X32" s="6">
        <f t="shared" si="1"/>
        <v>0</v>
      </c>
      <c r="Y32" s="3">
        <f t="shared" si="2"/>
        <v>0</v>
      </c>
    </row>
    <row r="33" spans="4:25" x14ac:dyDescent="0.25">
      <c r="D33" s="10"/>
      <c r="E33" s="6"/>
      <c r="F33" s="17" t="str">
        <f t="shared" si="0"/>
        <v/>
      </c>
      <c r="G33" s="2"/>
      <c r="H33" s="2"/>
      <c r="I33" s="2"/>
      <c r="J33" s="14"/>
      <c r="X33" s="6">
        <f t="shared" si="1"/>
        <v>0</v>
      </c>
      <c r="Y33" s="3">
        <f t="shared" si="2"/>
        <v>0</v>
      </c>
    </row>
    <row r="34" spans="4:25" x14ac:dyDescent="0.25">
      <c r="D34" s="10"/>
      <c r="E34" s="6"/>
      <c r="F34" s="17" t="str">
        <f t="shared" si="0"/>
        <v/>
      </c>
      <c r="G34" s="2"/>
      <c r="H34" s="2"/>
      <c r="I34" s="2"/>
      <c r="J34" s="14"/>
      <c r="X34" s="6">
        <f t="shared" si="1"/>
        <v>0</v>
      </c>
      <c r="Y34" s="3">
        <f t="shared" si="2"/>
        <v>0</v>
      </c>
    </row>
    <row r="35" spans="4:25" x14ac:dyDescent="0.25">
      <c r="D35" s="10"/>
      <c r="E35" s="6"/>
      <c r="F35" s="17" t="str">
        <f t="shared" si="0"/>
        <v/>
      </c>
      <c r="G35" s="2"/>
      <c r="H35" s="2"/>
      <c r="I35" s="2"/>
      <c r="J35" s="14"/>
      <c r="X35" s="6">
        <f t="shared" si="1"/>
        <v>0</v>
      </c>
      <c r="Y35" s="3">
        <f t="shared" si="2"/>
        <v>0</v>
      </c>
    </row>
    <row r="36" spans="4:25" x14ac:dyDescent="0.25">
      <c r="D36" s="10"/>
      <c r="E36" s="6"/>
      <c r="F36" s="17" t="str">
        <f t="shared" si="0"/>
        <v/>
      </c>
      <c r="G36" s="2"/>
      <c r="H36" s="2"/>
      <c r="I36" s="2"/>
      <c r="J36" s="14"/>
      <c r="X36" s="6">
        <f t="shared" si="1"/>
        <v>0</v>
      </c>
      <c r="Y36" s="3">
        <f t="shared" si="2"/>
        <v>0</v>
      </c>
    </row>
    <row r="37" spans="4:25" x14ac:dyDescent="0.25">
      <c r="D37" s="10"/>
      <c r="E37" s="6"/>
      <c r="F37" s="17" t="str">
        <f t="shared" si="0"/>
        <v/>
      </c>
      <c r="G37" s="2"/>
      <c r="H37" s="2"/>
      <c r="I37" s="2"/>
      <c r="J37" s="14"/>
      <c r="X37" s="6">
        <f t="shared" si="1"/>
        <v>0</v>
      </c>
      <c r="Y37" s="3">
        <f t="shared" si="2"/>
        <v>0</v>
      </c>
    </row>
    <row r="38" spans="4:25" x14ac:dyDescent="0.25">
      <c r="D38" s="10"/>
      <c r="E38" s="6"/>
      <c r="F38" s="17" t="str">
        <f t="shared" si="0"/>
        <v/>
      </c>
      <c r="G38" s="2"/>
      <c r="H38" s="2"/>
      <c r="I38" s="2"/>
      <c r="J38" s="14"/>
      <c r="X38" s="6">
        <f t="shared" si="1"/>
        <v>0</v>
      </c>
      <c r="Y38" s="3">
        <f t="shared" si="2"/>
        <v>0</v>
      </c>
    </row>
    <row r="39" spans="4:25" x14ac:dyDescent="0.25">
      <c r="D39" s="10"/>
      <c r="E39" s="6"/>
      <c r="F39" s="17" t="str">
        <f t="shared" si="0"/>
        <v/>
      </c>
      <c r="G39" s="2"/>
      <c r="H39" s="2"/>
      <c r="I39" s="2"/>
      <c r="J39" s="14"/>
      <c r="X39" s="6">
        <f t="shared" si="1"/>
        <v>0</v>
      </c>
      <c r="Y39" s="3">
        <f t="shared" si="2"/>
        <v>0</v>
      </c>
    </row>
    <row r="40" spans="4:25" x14ac:dyDescent="0.25">
      <c r="D40" s="10"/>
      <c r="E40" s="6"/>
      <c r="F40" s="17" t="str">
        <f t="shared" si="0"/>
        <v/>
      </c>
      <c r="G40" s="2"/>
      <c r="H40" s="2"/>
      <c r="I40" s="2"/>
      <c r="J40" s="14"/>
      <c r="X40" s="6">
        <f t="shared" si="1"/>
        <v>0</v>
      </c>
      <c r="Y40" s="3">
        <f t="shared" si="2"/>
        <v>0</v>
      </c>
    </row>
    <row r="41" spans="4:25" x14ac:dyDescent="0.25">
      <c r="D41" s="10"/>
      <c r="E41" s="6"/>
      <c r="F41" s="17" t="str">
        <f t="shared" si="0"/>
        <v/>
      </c>
      <c r="G41" s="2"/>
      <c r="H41" s="2"/>
      <c r="I41" s="2"/>
      <c r="J41" s="14"/>
      <c r="X41" s="6">
        <f t="shared" si="1"/>
        <v>0</v>
      </c>
      <c r="Y41" s="3">
        <f t="shared" si="2"/>
        <v>0</v>
      </c>
    </row>
    <row r="42" spans="4:25" x14ac:dyDescent="0.25">
      <c r="D42" s="10"/>
      <c r="E42" s="6"/>
      <c r="F42" s="17" t="str">
        <f t="shared" si="0"/>
        <v/>
      </c>
      <c r="G42" s="2"/>
      <c r="H42" s="2"/>
      <c r="I42" s="2"/>
      <c r="J42" s="14"/>
      <c r="X42" s="6">
        <f t="shared" si="1"/>
        <v>0</v>
      </c>
      <c r="Y42" s="3">
        <f t="shared" si="2"/>
        <v>0</v>
      </c>
    </row>
    <row r="43" spans="4:25" x14ac:dyDescent="0.25">
      <c r="D43" s="10"/>
      <c r="E43" s="6"/>
      <c r="F43" s="17" t="str">
        <f t="shared" si="0"/>
        <v/>
      </c>
      <c r="G43" s="2"/>
      <c r="H43" s="2"/>
      <c r="I43" s="2"/>
      <c r="J43" s="14"/>
      <c r="X43" s="6">
        <f t="shared" si="1"/>
        <v>0</v>
      </c>
      <c r="Y43" s="3">
        <f t="shared" si="2"/>
        <v>0</v>
      </c>
    </row>
    <row r="44" spans="4:25" x14ac:dyDescent="0.25">
      <c r="D44" s="10"/>
      <c r="E44" s="6"/>
      <c r="F44" s="17" t="str">
        <f t="shared" si="0"/>
        <v/>
      </c>
      <c r="G44" s="2"/>
      <c r="H44" s="2"/>
      <c r="I44" s="2"/>
      <c r="J44" s="14"/>
      <c r="X44" s="6">
        <f t="shared" si="1"/>
        <v>0</v>
      </c>
      <c r="Y44" s="3">
        <f t="shared" si="2"/>
        <v>0</v>
      </c>
    </row>
    <row r="45" spans="4:25" x14ac:dyDescent="0.25">
      <c r="D45" s="10"/>
      <c r="E45" s="6"/>
      <c r="F45" s="17" t="str">
        <f t="shared" si="0"/>
        <v/>
      </c>
      <c r="G45" s="2"/>
      <c r="H45" s="2"/>
      <c r="I45" s="2"/>
      <c r="J45" s="14"/>
      <c r="X45" s="6">
        <f t="shared" si="1"/>
        <v>0</v>
      </c>
      <c r="Y45" s="3">
        <f t="shared" si="2"/>
        <v>0</v>
      </c>
    </row>
    <row r="46" spans="4:25" x14ac:dyDescent="0.25">
      <c r="D46" s="10"/>
      <c r="E46" s="6"/>
      <c r="F46" s="17" t="str">
        <f t="shared" si="0"/>
        <v/>
      </c>
      <c r="G46" s="2"/>
      <c r="H46" s="2"/>
      <c r="I46" s="2"/>
      <c r="J46" s="14"/>
      <c r="X46" s="6">
        <f t="shared" si="1"/>
        <v>0</v>
      </c>
      <c r="Y46" s="3">
        <f t="shared" si="2"/>
        <v>0</v>
      </c>
    </row>
    <row r="47" spans="4:25" x14ac:dyDescent="0.25">
      <c r="D47" s="10"/>
      <c r="E47" s="6"/>
      <c r="F47" s="17" t="str">
        <f t="shared" si="0"/>
        <v/>
      </c>
      <c r="G47" s="2"/>
      <c r="H47" s="2"/>
      <c r="I47" s="2"/>
      <c r="J47" s="14"/>
      <c r="X47" s="6">
        <f t="shared" si="1"/>
        <v>0</v>
      </c>
      <c r="Y47" s="3">
        <f t="shared" si="2"/>
        <v>0</v>
      </c>
    </row>
    <row r="48" spans="4:25" x14ac:dyDescent="0.25">
      <c r="D48" s="10"/>
      <c r="E48" s="6"/>
      <c r="F48" s="17" t="str">
        <f t="shared" si="0"/>
        <v/>
      </c>
      <c r="G48" s="2"/>
      <c r="H48" s="2"/>
      <c r="I48" s="2"/>
      <c r="J48" s="14"/>
      <c r="X48" s="6">
        <f t="shared" si="1"/>
        <v>0</v>
      </c>
      <c r="Y48" s="3">
        <f t="shared" si="2"/>
        <v>0</v>
      </c>
    </row>
    <row r="49" spans="4:25" x14ac:dyDescent="0.25">
      <c r="D49" s="10"/>
      <c r="E49" s="6"/>
      <c r="F49" s="17" t="str">
        <f t="shared" si="0"/>
        <v/>
      </c>
      <c r="G49" s="2"/>
      <c r="H49" s="2"/>
      <c r="I49" s="2"/>
      <c r="J49" s="14"/>
      <c r="X49" s="6">
        <f t="shared" si="1"/>
        <v>0</v>
      </c>
      <c r="Y49" s="3">
        <f t="shared" si="2"/>
        <v>0</v>
      </c>
    </row>
    <row r="50" spans="4:25" x14ac:dyDescent="0.25">
      <c r="D50" s="10"/>
      <c r="E50" s="6"/>
      <c r="F50" s="17" t="str">
        <f t="shared" si="0"/>
        <v/>
      </c>
      <c r="G50" s="2"/>
      <c r="H50" s="2"/>
      <c r="I50" s="2"/>
      <c r="J50" s="14"/>
      <c r="X50" s="6">
        <f t="shared" si="1"/>
        <v>0</v>
      </c>
      <c r="Y50" s="3">
        <f t="shared" si="2"/>
        <v>0</v>
      </c>
    </row>
    <row r="51" spans="4:25" x14ac:dyDescent="0.25">
      <c r="D51" s="10"/>
      <c r="E51" s="6"/>
      <c r="F51" s="17" t="str">
        <f t="shared" si="0"/>
        <v/>
      </c>
      <c r="G51" s="2"/>
      <c r="H51" s="2"/>
      <c r="I51" s="2"/>
      <c r="J51" s="14"/>
      <c r="X51" s="6">
        <f t="shared" si="1"/>
        <v>0</v>
      </c>
      <c r="Y51" s="3">
        <f t="shared" si="2"/>
        <v>0</v>
      </c>
    </row>
    <row r="52" spans="4:25" x14ac:dyDescent="0.25">
      <c r="D52" s="10"/>
      <c r="E52" s="6"/>
      <c r="F52" s="17" t="str">
        <f t="shared" si="0"/>
        <v/>
      </c>
      <c r="G52" s="2"/>
      <c r="H52" s="2"/>
      <c r="I52" s="2"/>
      <c r="J52" s="9"/>
      <c r="X52" s="6">
        <f t="shared" si="1"/>
        <v>0</v>
      </c>
      <c r="Y52" s="3">
        <f t="shared" si="2"/>
        <v>0</v>
      </c>
    </row>
    <row r="53" spans="4:25" x14ac:dyDescent="0.25">
      <c r="D53" s="2" t="s">
        <v>14</v>
      </c>
      <c r="E53" s="25"/>
      <c r="F53" s="3"/>
      <c r="G53" s="3">
        <f>SUM(G3:G52)</f>
        <v>0</v>
      </c>
      <c r="H53" s="3">
        <f t="shared" ref="H53:I53" si="3">SUM(H3:H52)</f>
        <v>0</v>
      </c>
      <c r="I53" s="3">
        <f t="shared" si="3"/>
        <v>0</v>
      </c>
    </row>
  </sheetData>
  <mergeCells count="4">
    <mergeCell ref="D1:F1"/>
    <mergeCell ref="G1:I1"/>
    <mergeCell ref="K1:Q1"/>
    <mergeCell ref="X1:Z1"/>
  </mergeCells>
  <conditionalFormatting sqref="A1:B1">
    <cfRule type="expression" dxfId="51" priority="1">
      <formula>$Z$3="+"</formula>
    </cfRule>
    <cfRule type="expression" dxfId="50" priority="2">
      <formula>$B$16=$K$3</formula>
    </cfRule>
  </conditionalFormatting>
  <conditionalFormatting sqref="P3">
    <cfRule type="expression" dxfId="49" priority="3">
      <formula>$Z$3="+"</formula>
    </cfRule>
  </conditionalFormatting>
  <conditionalFormatting sqref="Z3">
    <cfRule type="expression" dxfId="48" priority="4">
      <formula>$Z$3="+"</formula>
    </cfRule>
  </conditionalFormatting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D1685-29BB-4A41-AE19-A366E62834D1}">
  <dimension ref="A1:Z53"/>
  <sheetViews>
    <sheetView workbookViewId="0">
      <selection activeCell="I4" sqref="I4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4" customWidth="1"/>
    <col min="25" max="25" width="10.7109375" style="14" customWidth="1"/>
    <col min="26" max="26" width="10.7109375" customWidth="1"/>
  </cols>
  <sheetData>
    <row r="1" spans="1:26" x14ac:dyDescent="0.25">
      <c r="A1" s="5" t="s">
        <v>18</v>
      </c>
      <c r="B1" s="6" t="s">
        <v>60</v>
      </c>
      <c r="D1" s="41" t="s">
        <v>2</v>
      </c>
      <c r="E1" s="42"/>
      <c r="F1" s="43"/>
      <c r="G1" s="41" t="s">
        <v>0</v>
      </c>
      <c r="H1" s="42"/>
      <c r="I1" s="43"/>
      <c r="J1" s="16"/>
      <c r="K1" s="41" t="s">
        <v>41</v>
      </c>
      <c r="L1" s="42"/>
      <c r="M1" s="42"/>
      <c r="N1" s="42"/>
      <c r="O1" s="42"/>
      <c r="P1" s="42"/>
      <c r="Q1" s="43"/>
      <c r="X1" s="41"/>
      <c r="Y1" s="42"/>
      <c r="Z1" s="43"/>
    </row>
    <row r="2" spans="1:26" x14ac:dyDescent="0.25">
      <c r="A2" s="5" t="s">
        <v>15</v>
      </c>
      <c r="B2" s="6" t="s">
        <v>19</v>
      </c>
      <c r="D2" s="11" t="s">
        <v>45</v>
      </c>
      <c r="E2" s="11" t="s">
        <v>46</v>
      </c>
      <c r="F2" s="23" t="s">
        <v>51</v>
      </c>
      <c r="G2" s="11" t="s">
        <v>12</v>
      </c>
      <c r="H2" s="11" t="s">
        <v>13</v>
      </c>
      <c r="I2" s="11" t="s">
        <v>43</v>
      </c>
      <c r="J2" s="9"/>
      <c r="K2" s="11" t="s">
        <v>0</v>
      </c>
      <c r="L2" s="11" t="s">
        <v>1</v>
      </c>
      <c r="M2" s="11" t="s">
        <v>39</v>
      </c>
      <c r="N2" s="11" t="s">
        <v>40</v>
      </c>
      <c r="O2" s="11" t="s">
        <v>2</v>
      </c>
      <c r="P2" s="11" t="s">
        <v>49</v>
      </c>
      <c r="Q2" s="11" t="s">
        <v>51</v>
      </c>
      <c r="X2" s="11" t="s">
        <v>2</v>
      </c>
      <c r="Y2" s="11" t="s">
        <v>42</v>
      </c>
      <c r="Z2" s="11" t="s">
        <v>49</v>
      </c>
    </row>
    <row r="3" spans="1:26" x14ac:dyDescent="0.25">
      <c r="A3" s="5" t="s">
        <v>20</v>
      </c>
      <c r="B3" s="6" t="s">
        <v>35</v>
      </c>
      <c r="D3" s="10">
        <v>46280</v>
      </c>
      <c r="E3" s="10">
        <v>46280</v>
      </c>
      <c r="F3" s="17">
        <f>IF(E3&gt;0,E3-D3,"")</f>
        <v>0</v>
      </c>
      <c r="G3" s="3">
        <v>0</v>
      </c>
      <c r="H3" s="3">
        <v>0.25</v>
      </c>
      <c r="I3" s="3">
        <v>0.03</v>
      </c>
      <c r="J3" s="14"/>
      <c r="K3" s="3">
        <f>G53</f>
        <v>0</v>
      </c>
      <c r="L3" s="3">
        <f>H53</f>
        <v>0.25</v>
      </c>
      <c r="M3" s="3">
        <f>I53</f>
        <v>0.03</v>
      </c>
      <c r="N3" s="7" t="str">
        <f>IF(B16=K3,XIRR(Y3:Y52,X3:X52),"")</f>
        <v/>
      </c>
      <c r="O3" s="6" t="str">
        <f>IF(B16=K3,MAX(E:E),"")</f>
        <v/>
      </c>
      <c r="P3" s="2" t="str">
        <f ca="1">IF(Z3="+",TODAY()-B11,"")</f>
        <v/>
      </c>
      <c r="Q3" s="2" t="str">
        <f>IF(B16=K3,MAX(E:E)-B11,"")</f>
        <v/>
      </c>
      <c r="T3" s="13"/>
      <c r="X3" s="6">
        <f>B9</f>
        <v>46238</v>
      </c>
      <c r="Y3" s="3">
        <f>B16*-1</f>
        <v>-22.13</v>
      </c>
      <c r="Z3" s="2" t="str">
        <f ca="1">IF(AND(TODAY()&gt;B11, K3&lt;&gt;B16), "+", "")</f>
        <v/>
      </c>
    </row>
    <row r="4" spans="1:26" x14ac:dyDescent="0.25">
      <c r="A4" s="5" t="s">
        <v>22</v>
      </c>
      <c r="B4" s="6" t="s">
        <v>23</v>
      </c>
      <c r="D4" s="10">
        <v>46310</v>
      </c>
      <c r="E4" s="10"/>
      <c r="F4" s="17"/>
      <c r="G4" s="3"/>
      <c r="H4" s="2"/>
      <c r="I4" s="2"/>
      <c r="J4" s="9"/>
      <c r="X4" s="6">
        <f>E3</f>
        <v>46280</v>
      </c>
      <c r="Y4" s="3">
        <f>G3+H3-I3</f>
        <v>0.22</v>
      </c>
    </row>
    <row r="5" spans="1:26" x14ac:dyDescent="0.25">
      <c r="A5" s="5"/>
      <c r="B5" s="6"/>
      <c r="D5" s="10">
        <v>46341</v>
      </c>
      <c r="E5" s="10"/>
      <c r="F5" s="17" t="str">
        <f t="shared" ref="F5:F52" si="0">IF(E5&gt;0,E5-D5,"")</f>
        <v/>
      </c>
      <c r="G5" s="3"/>
      <c r="H5" s="3"/>
      <c r="I5" s="3"/>
      <c r="J5" s="9"/>
      <c r="X5" s="6">
        <f t="shared" ref="X5:X52" si="1">E4</f>
        <v>0</v>
      </c>
      <c r="Y5" s="3">
        <f t="shared" ref="Y5:Y52" si="2">G4+H4-I4</f>
        <v>0</v>
      </c>
    </row>
    <row r="6" spans="1:26" x14ac:dyDescent="0.25">
      <c r="A6" s="5"/>
      <c r="B6" s="6"/>
      <c r="D6" s="10"/>
      <c r="E6" s="10"/>
      <c r="F6" s="17" t="str">
        <f t="shared" si="0"/>
        <v/>
      </c>
      <c r="G6" s="3"/>
      <c r="H6" s="3"/>
      <c r="I6" s="2"/>
      <c r="J6" s="9"/>
      <c r="X6" s="6">
        <f t="shared" si="1"/>
        <v>0</v>
      </c>
      <c r="Y6" s="3">
        <f t="shared" si="2"/>
        <v>0</v>
      </c>
    </row>
    <row r="7" spans="1:26" x14ac:dyDescent="0.25">
      <c r="A7" s="5"/>
      <c r="B7" s="6"/>
      <c r="D7" s="10"/>
      <c r="E7" s="10"/>
      <c r="F7" s="17" t="str">
        <f t="shared" si="0"/>
        <v/>
      </c>
      <c r="G7" s="3"/>
      <c r="H7" s="2"/>
      <c r="I7" s="2"/>
      <c r="J7" s="14"/>
      <c r="X7" s="6">
        <f t="shared" si="1"/>
        <v>0</v>
      </c>
      <c r="Y7" s="3">
        <f t="shared" si="2"/>
        <v>0</v>
      </c>
    </row>
    <row r="8" spans="1:26" x14ac:dyDescent="0.25">
      <c r="A8" s="5" t="s">
        <v>16</v>
      </c>
      <c r="B8" s="6" t="str">
        <f>DATEDIF(B9,B11,"y") &amp; " m. " &amp; DATEDIF(B9,B11,"ym") &amp; " mėn. " &amp; DATEDIF(B9,B11,"md") &amp; " d."</f>
        <v>0 m. 3 mėn. 11 d.</v>
      </c>
      <c r="D8" s="10"/>
      <c r="E8" s="6"/>
      <c r="F8" s="17" t="str">
        <f t="shared" si="0"/>
        <v/>
      </c>
      <c r="G8" s="3"/>
      <c r="H8" s="3"/>
      <c r="I8" s="2"/>
      <c r="J8" s="9"/>
      <c r="X8" s="6">
        <f t="shared" si="1"/>
        <v>0</v>
      </c>
      <c r="Y8" s="3">
        <f t="shared" si="2"/>
        <v>0</v>
      </c>
    </row>
    <row r="9" spans="1:26" x14ac:dyDescent="0.25">
      <c r="A9" s="5" t="s">
        <v>8</v>
      </c>
      <c r="B9" s="6">
        <v>46238</v>
      </c>
      <c r="D9" s="10"/>
      <c r="E9" s="6"/>
      <c r="F9" s="17" t="str">
        <f t="shared" si="0"/>
        <v/>
      </c>
      <c r="G9" s="3"/>
      <c r="H9" s="3"/>
      <c r="I9" s="3"/>
      <c r="J9" s="14"/>
      <c r="X9" s="6">
        <f t="shared" si="1"/>
        <v>0</v>
      </c>
      <c r="Y9" s="3">
        <f t="shared" si="2"/>
        <v>0</v>
      </c>
    </row>
    <row r="10" spans="1:26" x14ac:dyDescent="0.25">
      <c r="A10" s="5" t="s">
        <v>24</v>
      </c>
      <c r="B10" s="6">
        <v>46234</v>
      </c>
      <c r="D10" s="10"/>
      <c r="E10" s="6"/>
      <c r="F10" s="17" t="str">
        <f t="shared" si="0"/>
        <v/>
      </c>
      <c r="G10" s="2"/>
      <c r="H10" s="2"/>
      <c r="I10" s="2"/>
      <c r="J10" s="14"/>
      <c r="X10" s="6">
        <f t="shared" si="1"/>
        <v>0</v>
      </c>
      <c r="Y10" s="3">
        <f t="shared" si="2"/>
        <v>0</v>
      </c>
    </row>
    <row r="11" spans="1:26" x14ac:dyDescent="0.25">
      <c r="A11" s="5" t="s">
        <v>44</v>
      </c>
      <c r="B11" s="6">
        <v>46341</v>
      </c>
      <c r="D11" s="10"/>
      <c r="E11" s="6"/>
      <c r="F11" s="17" t="str">
        <f t="shared" si="0"/>
        <v/>
      </c>
      <c r="G11" s="2"/>
      <c r="H11" s="2"/>
      <c r="I11" s="2"/>
      <c r="J11" s="14"/>
      <c r="X11" s="6">
        <f t="shared" si="1"/>
        <v>0</v>
      </c>
      <c r="Y11" s="3">
        <f t="shared" si="2"/>
        <v>0</v>
      </c>
    </row>
    <row r="12" spans="1:26" x14ac:dyDescent="0.25">
      <c r="A12" s="5" t="s">
        <v>52</v>
      </c>
      <c r="B12" s="17">
        <f ca="1">IF(B16&lt;&gt;K3,(TODAY()-B11)*-1,"")</f>
        <v>46</v>
      </c>
      <c r="D12" s="10"/>
      <c r="E12" s="6"/>
      <c r="F12" s="17" t="str">
        <f t="shared" si="0"/>
        <v/>
      </c>
      <c r="G12" s="2"/>
      <c r="H12" s="2"/>
      <c r="I12" s="2"/>
      <c r="J12" s="14"/>
      <c r="X12" s="6">
        <f t="shared" si="1"/>
        <v>0</v>
      </c>
      <c r="Y12" s="3">
        <f t="shared" si="2"/>
        <v>0</v>
      </c>
    </row>
    <row r="13" spans="1:26" x14ac:dyDescent="0.25">
      <c r="A13" s="5"/>
      <c r="B13" s="3"/>
      <c r="D13" s="10"/>
      <c r="E13" s="6"/>
      <c r="F13" s="17" t="str">
        <f t="shared" si="0"/>
        <v/>
      </c>
      <c r="G13" s="2"/>
      <c r="H13" s="2"/>
      <c r="I13" s="2"/>
      <c r="J13" s="14"/>
      <c r="N13" s="13"/>
      <c r="X13" s="6">
        <f t="shared" si="1"/>
        <v>0</v>
      </c>
      <c r="Y13" s="3">
        <f t="shared" si="2"/>
        <v>0</v>
      </c>
    </row>
    <row r="14" spans="1:26" x14ac:dyDescent="0.25">
      <c r="A14" s="1"/>
      <c r="B14" s="24"/>
      <c r="D14" s="10"/>
      <c r="E14" s="6"/>
      <c r="F14" s="17" t="str">
        <f t="shared" si="0"/>
        <v/>
      </c>
      <c r="G14" s="2"/>
      <c r="H14" s="2"/>
      <c r="I14" s="2"/>
      <c r="J14" s="14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>
        <v>0.1</v>
      </c>
      <c r="D15" s="10"/>
      <c r="E15" s="6"/>
      <c r="F15" s="17" t="str">
        <f t="shared" si="0"/>
        <v/>
      </c>
      <c r="G15" s="2"/>
      <c r="H15" s="2"/>
      <c r="I15" s="2"/>
      <c r="J15" s="14"/>
      <c r="K15" s="16"/>
      <c r="L15" s="16"/>
      <c r="M15" s="16"/>
      <c r="N15" s="16"/>
      <c r="O15" s="16"/>
      <c r="P15" s="16"/>
      <c r="Q15" s="16"/>
      <c r="X15" s="6">
        <f t="shared" si="1"/>
        <v>0</v>
      </c>
      <c r="Y15" s="3">
        <f t="shared" si="2"/>
        <v>0</v>
      </c>
    </row>
    <row r="16" spans="1:26" x14ac:dyDescent="0.25">
      <c r="A16" s="5" t="s">
        <v>53</v>
      </c>
      <c r="B16" s="3">
        <v>22.13</v>
      </c>
      <c r="D16" s="10"/>
      <c r="E16" s="6"/>
      <c r="F16" s="17" t="str">
        <f t="shared" si="0"/>
        <v/>
      </c>
      <c r="G16" s="2"/>
      <c r="H16" s="2"/>
      <c r="I16" s="2"/>
      <c r="J16" s="14"/>
      <c r="K16" s="9"/>
      <c r="L16" s="9"/>
      <c r="M16" s="9"/>
      <c r="N16" s="18"/>
      <c r="O16" s="19"/>
      <c r="P16" s="14"/>
      <c r="Q16" s="14"/>
      <c r="X16" s="6">
        <f t="shared" si="1"/>
        <v>0</v>
      </c>
      <c r="Y16" s="3">
        <f t="shared" si="2"/>
        <v>0</v>
      </c>
    </row>
    <row r="17" spans="4:25" x14ac:dyDescent="0.25">
      <c r="D17" s="10"/>
      <c r="E17" s="6"/>
      <c r="F17" s="17" t="str">
        <f t="shared" si="0"/>
        <v/>
      </c>
      <c r="G17" s="2"/>
      <c r="H17" s="2"/>
      <c r="I17" s="2"/>
      <c r="J17" s="14"/>
      <c r="X17" s="6">
        <f t="shared" si="1"/>
        <v>0</v>
      </c>
      <c r="Y17" s="3">
        <f t="shared" si="2"/>
        <v>0</v>
      </c>
    </row>
    <row r="18" spans="4:25" x14ac:dyDescent="0.25">
      <c r="D18" s="10"/>
      <c r="E18" s="6"/>
      <c r="F18" s="17" t="str">
        <f t="shared" si="0"/>
        <v/>
      </c>
      <c r="G18" s="2"/>
      <c r="H18" s="2"/>
      <c r="I18" s="2"/>
      <c r="J18" s="14"/>
      <c r="X18" s="6">
        <f t="shared" si="1"/>
        <v>0</v>
      </c>
      <c r="Y18" s="3">
        <f t="shared" si="2"/>
        <v>0</v>
      </c>
    </row>
    <row r="19" spans="4:25" x14ac:dyDescent="0.25">
      <c r="D19" s="10"/>
      <c r="E19" s="6"/>
      <c r="F19" s="17" t="str">
        <f t="shared" si="0"/>
        <v/>
      </c>
      <c r="G19" s="2"/>
      <c r="H19" s="2"/>
      <c r="I19" s="2"/>
      <c r="J19" s="14"/>
      <c r="X19" s="6">
        <f t="shared" si="1"/>
        <v>0</v>
      </c>
      <c r="Y19" s="3">
        <f t="shared" si="2"/>
        <v>0</v>
      </c>
    </row>
    <row r="20" spans="4:25" x14ac:dyDescent="0.25">
      <c r="D20" s="10"/>
      <c r="E20" s="6"/>
      <c r="F20" s="17" t="str">
        <f t="shared" si="0"/>
        <v/>
      </c>
      <c r="G20" s="2"/>
      <c r="H20" s="2"/>
      <c r="I20" s="2"/>
      <c r="J20" s="14"/>
      <c r="X20" s="6">
        <f t="shared" si="1"/>
        <v>0</v>
      </c>
      <c r="Y20" s="3">
        <f t="shared" si="2"/>
        <v>0</v>
      </c>
    </row>
    <row r="21" spans="4:25" x14ac:dyDescent="0.25">
      <c r="D21" s="10"/>
      <c r="E21" s="6"/>
      <c r="F21" s="17" t="str">
        <f t="shared" si="0"/>
        <v/>
      </c>
      <c r="G21" s="2"/>
      <c r="H21" s="2"/>
      <c r="I21" s="2"/>
      <c r="J21" s="14"/>
      <c r="X21" s="6">
        <f t="shared" si="1"/>
        <v>0</v>
      </c>
      <c r="Y21" s="3">
        <f t="shared" si="2"/>
        <v>0</v>
      </c>
    </row>
    <row r="22" spans="4:25" x14ac:dyDescent="0.25">
      <c r="D22" s="10"/>
      <c r="E22" s="6"/>
      <c r="F22" s="17" t="str">
        <f t="shared" si="0"/>
        <v/>
      </c>
      <c r="G22" s="2"/>
      <c r="H22" s="2"/>
      <c r="I22" s="2"/>
      <c r="J22" s="14"/>
      <c r="X22" s="6">
        <f t="shared" si="1"/>
        <v>0</v>
      </c>
      <c r="Y22" s="3">
        <f t="shared" si="2"/>
        <v>0</v>
      </c>
    </row>
    <row r="23" spans="4:25" x14ac:dyDescent="0.25">
      <c r="D23" s="10"/>
      <c r="E23" s="6"/>
      <c r="F23" s="17" t="str">
        <f t="shared" si="0"/>
        <v/>
      </c>
      <c r="G23" s="2"/>
      <c r="H23" s="2"/>
      <c r="I23" s="2"/>
      <c r="J23" s="14"/>
      <c r="X23" s="6">
        <f t="shared" si="1"/>
        <v>0</v>
      </c>
      <c r="Y23" s="3">
        <f t="shared" si="2"/>
        <v>0</v>
      </c>
    </row>
    <row r="24" spans="4:25" x14ac:dyDescent="0.25">
      <c r="D24" s="10"/>
      <c r="E24" s="6"/>
      <c r="F24" s="17" t="str">
        <f t="shared" si="0"/>
        <v/>
      </c>
      <c r="G24" s="2"/>
      <c r="H24" s="2"/>
      <c r="I24" s="2"/>
      <c r="J24" s="14"/>
      <c r="X24" s="6">
        <f t="shared" si="1"/>
        <v>0</v>
      </c>
      <c r="Y24" s="3">
        <f t="shared" si="2"/>
        <v>0</v>
      </c>
    </row>
    <row r="25" spans="4:25" x14ac:dyDescent="0.25">
      <c r="D25" s="10"/>
      <c r="E25" s="6"/>
      <c r="F25" s="17" t="str">
        <f t="shared" si="0"/>
        <v/>
      </c>
      <c r="G25" s="2"/>
      <c r="H25" s="2"/>
      <c r="I25" s="2"/>
      <c r="J25" s="14"/>
      <c r="X25" s="6">
        <f t="shared" si="1"/>
        <v>0</v>
      </c>
      <c r="Y25" s="3">
        <f t="shared" si="2"/>
        <v>0</v>
      </c>
    </row>
    <row r="26" spans="4:25" x14ac:dyDescent="0.25">
      <c r="D26" s="10"/>
      <c r="E26" s="6"/>
      <c r="F26" s="17" t="str">
        <f t="shared" si="0"/>
        <v/>
      </c>
      <c r="G26" s="2"/>
      <c r="H26" s="2"/>
      <c r="I26" s="2"/>
      <c r="J26" s="14"/>
      <c r="X26" s="6">
        <f t="shared" si="1"/>
        <v>0</v>
      </c>
      <c r="Y26" s="3">
        <f t="shared" si="2"/>
        <v>0</v>
      </c>
    </row>
    <row r="27" spans="4:25" x14ac:dyDescent="0.25">
      <c r="D27" s="10"/>
      <c r="E27" s="6"/>
      <c r="F27" s="17" t="str">
        <f t="shared" si="0"/>
        <v/>
      </c>
      <c r="G27" s="2"/>
      <c r="H27" s="2"/>
      <c r="I27" s="2"/>
      <c r="J27" s="14"/>
      <c r="X27" s="6">
        <f t="shared" si="1"/>
        <v>0</v>
      </c>
      <c r="Y27" s="3">
        <f t="shared" si="2"/>
        <v>0</v>
      </c>
    </row>
    <row r="28" spans="4:25" x14ac:dyDescent="0.25">
      <c r="D28" s="10"/>
      <c r="E28" s="6"/>
      <c r="F28" s="17" t="str">
        <f t="shared" si="0"/>
        <v/>
      </c>
      <c r="G28" s="2"/>
      <c r="H28" s="2"/>
      <c r="I28" s="2"/>
      <c r="J28" s="14"/>
      <c r="X28" s="6">
        <f t="shared" si="1"/>
        <v>0</v>
      </c>
      <c r="Y28" s="3">
        <f t="shared" si="2"/>
        <v>0</v>
      </c>
    </row>
    <row r="29" spans="4:25" x14ac:dyDescent="0.25">
      <c r="D29" s="10"/>
      <c r="E29" s="6"/>
      <c r="F29" s="17" t="str">
        <f t="shared" si="0"/>
        <v/>
      </c>
      <c r="G29" s="2"/>
      <c r="H29" s="2"/>
      <c r="I29" s="2"/>
      <c r="J29" s="14"/>
      <c r="X29" s="6">
        <f t="shared" si="1"/>
        <v>0</v>
      </c>
      <c r="Y29" s="3">
        <f t="shared" si="2"/>
        <v>0</v>
      </c>
    </row>
    <row r="30" spans="4:25" x14ac:dyDescent="0.25">
      <c r="D30" s="10"/>
      <c r="E30" s="6"/>
      <c r="F30" s="17" t="str">
        <f t="shared" si="0"/>
        <v/>
      </c>
      <c r="G30" s="2"/>
      <c r="H30" s="2"/>
      <c r="I30" s="2"/>
      <c r="J30" s="14"/>
      <c r="X30" s="6">
        <f t="shared" si="1"/>
        <v>0</v>
      </c>
      <c r="Y30" s="3">
        <f t="shared" si="2"/>
        <v>0</v>
      </c>
    </row>
    <row r="31" spans="4:25" x14ac:dyDescent="0.25">
      <c r="D31" s="10"/>
      <c r="E31" s="6"/>
      <c r="F31" s="17" t="str">
        <f t="shared" si="0"/>
        <v/>
      </c>
      <c r="G31" s="2"/>
      <c r="H31" s="2"/>
      <c r="I31" s="2"/>
      <c r="J31" s="14"/>
      <c r="X31" s="6">
        <f t="shared" si="1"/>
        <v>0</v>
      </c>
      <c r="Y31" s="3">
        <f t="shared" si="2"/>
        <v>0</v>
      </c>
    </row>
    <row r="32" spans="4:25" x14ac:dyDescent="0.25">
      <c r="D32" s="10"/>
      <c r="E32" s="6"/>
      <c r="F32" s="17" t="str">
        <f t="shared" si="0"/>
        <v/>
      </c>
      <c r="G32" s="2"/>
      <c r="H32" s="2"/>
      <c r="I32" s="2"/>
      <c r="J32" s="14"/>
      <c r="X32" s="6">
        <f t="shared" si="1"/>
        <v>0</v>
      </c>
      <c r="Y32" s="3">
        <f t="shared" si="2"/>
        <v>0</v>
      </c>
    </row>
    <row r="33" spans="4:25" x14ac:dyDescent="0.25">
      <c r="D33" s="10"/>
      <c r="E33" s="6"/>
      <c r="F33" s="17" t="str">
        <f t="shared" si="0"/>
        <v/>
      </c>
      <c r="G33" s="2"/>
      <c r="H33" s="2"/>
      <c r="I33" s="2"/>
      <c r="J33" s="14"/>
      <c r="X33" s="6">
        <f t="shared" si="1"/>
        <v>0</v>
      </c>
      <c r="Y33" s="3">
        <f t="shared" si="2"/>
        <v>0</v>
      </c>
    </row>
    <row r="34" spans="4:25" x14ac:dyDescent="0.25">
      <c r="D34" s="10"/>
      <c r="E34" s="6"/>
      <c r="F34" s="17" t="str">
        <f t="shared" si="0"/>
        <v/>
      </c>
      <c r="G34" s="2"/>
      <c r="H34" s="2"/>
      <c r="I34" s="2"/>
      <c r="J34" s="14"/>
      <c r="X34" s="6">
        <f t="shared" si="1"/>
        <v>0</v>
      </c>
      <c r="Y34" s="3">
        <f t="shared" si="2"/>
        <v>0</v>
      </c>
    </row>
    <row r="35" spans="4:25" x14ac:dyDescent="0.25">
      <c r="D35" s="10"/>
      <c r="E35" s="6"/>
      <c r="F35" s="17" t="str">
        <f t="shared" si="0"/>
        <v/>
      </c>
      <c r="G35" s="2"/>
      <c r="H35" s="2"/>
      <c r="I35" s="2"/>
      <c r="J35" s="14"/>
      <c r="X35" s="6">
        <f t="shared" si="1"/>
        <v>0</v>
      </c>
      <c r="Y35" s="3">
        <f t="shared" si="2"/>
        <v>0</v>
      </c>
    </row>
    <row r="36" spans="4:25" x14ac:dyDescent="0.25">
      <c r="D36" s="10"/>
      <c r="E36" s="6"/>
      <c r="F36" s="17" t="str">
        <f t="shared" si="0"/>
        <v/>
      </c>
      <c r="G36" s="2"/>
      <c r="H36" s="2"/>
      <c r="I36" s="2"/>
      <c r="J36" s="14"/>
      <c r="X36" s="6">
        <f t="shared" si="1"/>
        <v>0</v>
      </c>
      <c r="Y36" s="3">
        <f t="shared" si="2"/>
        <v>0</v>
      </c>
    </row>
    <row r="37" spans="4:25" x14ac:dyDescent="0.25">
      <c r="D37" s="10"/>
      <c r="E37" s="6"/>
      <c r="F37" s="17" t="str">
        <f t="shared" si="0"/>
        <v/>
      </c>
      <c r="G37" s="2"/>
      <c r="H37" s="2"/>
      <c r="I37" s="2"/>
      <c r="J37" s="14"/>
      <c r="X37" s="6">
        <f t="shared" si="1"/>
        <v>0</v>
      </c>
      <c r="Y37" s="3">
        <f t="shared" si="2"/>
        <v>0</v>
      </c>
    </row>
    <row r="38" spans="4:25" x14ac:dyDescent="0.25">
      <c r="D38" s="10"/>
      <c r="E38" s="6"/>
      <c r="F38" s="17" t="str">
        <f t="shared" si="0"/>
        <v/>
      </c>
      <c r="G38" s="2"/>
      <c r="H38" s="2"/>
      <c r="I38" s="2"/>
      <c r="J38" s="14"/>
      <c r="X38" s="6">
        <f t="shared" si="1"/>
        <v>0</v>
      </c>
      <c r="Y38" s="3">
        <f t="shared" si="2"/>
        <v>0</v>
      </c>
    </row>
    <row r="39" spans="4:25" x14ac:dyDescent="0.25">
      <c r="D39" s="10"/>
      <c r="E39" s="6"/>
      <c r="F39" s="17" t="str">
        <f t="shared" si="0"/>
        <v/>
      </c>
      <c r="G39" s="2"/>
      <c r="H39" s="2"/>
      <c r="I39" s="2"/>
      <c r="J39" s="14"/>
      <c r="X39" s="6">
        <f t="shared" si="1"/>
        <v>0</v>
      </c>
      <c r="Y39" s="3">
        <f t="shared" si="2"/>
        <v>0</v>
      </c>
    </row>
    <row r="40" spans="4:25" x14ac:dyDescent="0.25">
      <c r="D40" s="10"/>
      <c r="E40" s="6"/>
      <c r="F40" s="17" t="str">
        <f t="shared" si="0"/>
        <v/>
      </c>
      <c r="G40" s="2"/>
      <c r="H40" s="2"/>
      <c r="I40" s="2"/>
      <c r="J40" s="14"/>
      <c r="X40" s="6">
        <f t="shared" si="1"/>
        <v>0</v>
      </c>
      <c r="Y40" s="3">
        <f t="shared" si="2"/>
        <v>0</v>
      </c>
    </row>
    <row r="41" spans="4:25" x14ac:dyDescent="0.25">
      <c r="D41" s="10"/>
      <c r="E41" s="6"/>
      <c r="F41" s="17" t="str">
        <f t="shared" si="0"/>
        <v/>
      </c>
      <c r="G41" s="2"/>
      <c r="H41" s="2"/>
      <c r="I41" s="2"/>
      <c r="J41" s="14"/>
      <c r="X41" s="6">
        <f t="shared" si="1"/>
        <v>0</v>
      </c>
      <c r="Y41" s="3">
        <f t="shared" si="2"/>
        <v>0</v>
      </c>
    </row>
    <row r="42" spans="4:25" x14ac:dyDescent="0.25">
      <c r="D42" s="10"/>
      <c r="E42" s="6"/>
      <c r="F42" s="17" t="str">
        <f t="shared" si="0"/>
        <v/>
      </c>
      <c r="G42" s="2"/>
      <c r="H42" s="2"/>
      <c r="I42" s="2"/>
      <c r="J42" s="14"/>
      <c r="X42" s="6">
        <f t="shared" si="1"/>
        <v>0</v>
      </c>
      <c r="Y42" s="3">
        <f t="shared" si="2"/>
        <v>0</v>
      </c>
    </row>
    <row r="43" spans="4:25" x14ac:dyDescent="0.25">
      <c r="D43" s="10"/>
      <c r="E43" s="6"/>
      <c r="F43" s="17" t="str">
        <f t="shared" si="0"/>
        <v/>
      </c>
      <c r="G43" s="2"/>
      <c r="H43" s="2"/>
      <c r="I43" s="2"/>
      <c r="J43" s="14"/>
      <c r="X43" s="6">
        <f t="shared" si="1"/>
        <v>0</v>
      </c>
      <c r="Y43" s="3">
        <f t="shared" si="2"/>
        <v>0</v>
      </c>
    </row>
    <row r="44" spans="4:25" x14ac:dyDescent="0.25">
      <c r="D44" s="10"/>
      <c r="E44" s="6"/>
      <c r="F44" s="17" t="str">
        <f t="shared" si="0"/>
        <v/>
      </c>
      <c r="G44" s="2"/>
      <c r="H44" s="2"/>
      <c r="I44" s="2"/>
      <c r="J44" s="14"/>
      <c r="X44" s="6">
        <f t="shared" si="1"/>
        <v>0</v>
      </c>
      <c r="Y44" s="3">
        <f t="shared" si="2"/>
        <v>0</v>
      </c>
    </row>
    <row r="45" spans="4:25" x14ac:dyDescent="0.25">
      <c r="D45" s="10"/>
      <c r="E45" s="6"/>
      <c r="F45" s="17" t="str">
        <f t="shared" si="0"/>
        <v/>
      </c>
      <c r="G45" s="2"/>
      <c r="H45" s="2"/>
      <c r="I45" s="2"/>
      <c r="J45" s="14"/>
      <c r="X45" s="6">
        <f t="shared" si="1"/>
        <v>0</v>
      </c>
      <c r="Y45" s="3">
        <f t="shared" si="2"/>
        <v>0</v>
      </c>
    </row>
    <row r="46" spans="4:25" x14ac:dyDescent="0.25">
      <c r="D46" s="10"/>
      <c r="E46" s="6"/>
      <c r="F46" s="17" t="str">
        <f t="shared" si="0"/>
        <v/>
      </c>
      <c r="G46" s="2"/>
      <c r="H46" s="2"/>
      <c r="I46" s="2"/>
      <c r="J46" s="14"/>
      <c r="X46" s="6">
        <f t="shared" si="1"/>
        <v>0</v>
      </c>
      <c r="Y46" s="3">
        <f t="shared" si="2"/>
        <v>0</v>
      </c>
    </row>
    <row r="47" spans="4:25" x14ac:dyDescent="0.25">
      <c r="D47" s="10"/>
      <c r="E47" s="6"/>
      <c r="F47" s="17" t="str">
        <f t="shared" si="0"/>
        <v/>
      </c>
      <c r="G47" s="2"/>
      <c r="H47" s="2"/>
      <c r="I47" s="2"/>
      <c r="J47" s="14"/>
      <c r="X47" s="6">
        <f t="shared" si="1"/>
        <v>0</v>
      </c>
      <c r="Y47" s="3">
        <f t="shared" si="2"/>
        <v>0</v>
      </c>
    </row>
    <row r="48" spans="4:25" x14ac:dyDescent="0.25">
      <c r="D48" s="10"/>
      <c r="E48" s="6"/>
      <c r="F48" s="17" t="str">
        <f t="shared" si="0"/>
        <v/>
      </c>
      <c r="G48" s="2"/>
      <c r="H48" s="2"/>
      <c r="I48" s="2"/>
      <c r="J48" s="14"/>
      <c r="X48" s="6">
        <f t="shared" si="1"/>
        <v>0</v>
      </c>
      <c r="Y48" s="3">
        <f t="shared" si="2"/>
        <v>0</v>
      </c>
    </row>
    <row r="49" spans="4:25" x14ac:dyDescent="0.25">
      <c r="D49" s="10"/>
      <c r="E49" s="6"/>
      <c r="F49" s="17" t="str">
        <f t="shared" si="0"/>
        <v/>
      </c>
      <c r="G49" s="2"/>
      <c r="H49" s="2"/>
      <c r="I49" s="2"/>
      <c r="J49" s="14"/>
      <c r="X49" s="6">
        <f t="shared" si="1"/>
        <v>0</v>
      </c>
      <c r="Y49" s="3">
        <f t="shared" si="2"/>
        <v>0</v>
      </c>
    </row>
    <row r="50" spans="4:25" x14ac:dyDescent="0.25">
      <c r="D50" s="10"/>
      <c r="E50" s="6"/>
      <c r="F50" s="17" t="str">
        <f t="shared" si="0"/>
        <v/>
      </c>
      <c r="G50" s="2"/>
      <c r="H50" s="2"/>
      <c r="I50" s="2"/>
      <c r="J50" s="14"/>
      <c r="X50" s="6">
        <f t="shared" si="1"/>
        <v>0</v>
      </c>
      <c r="Y50" s="3">
        <f t="shared" si="2"/>
        <v>0</v>
      </c>
    </row>
    <row r="51" spans="4:25" x14ac:dyDescent="0.25">
      <c r="D51" s="10"/>
      <c r="E51" s="6"/>
      <c r="F51" s="17" t="str">
        <f t="shared" si="0"/>
        <v/>
      </c>
      <c r="G51" s="2"/>
      <c r="H51" s="2"/>
      <c r="I51" s="2"/>
      <c r="J51" s="14"/>
      <c r="X51" s="6">
        <f t="shared" si="1"/>
        <v>0</v>
      </c>
      <c r="Y51" s="3">
        <f t="shared" si="2"/>
        <v>0</v>
      </c>
    </row>
    <row r="52" spans="4:25" x14ac:dyDescent="0.25">
      <c r="D52" s="10"/>
      <c r="E52" s="6"/>
      <c r="F52" s="17" t="str">
        <f t="shared" si="0"/>
        <v/>
      </c>
      <c r="G52" s="2"/>
      <c r="H52" s="2"/>
      <c r="I52" s="2"/>
      <c r="J52" s="9"/>
      <c r="X52" s="6">
        <f t="shared" si="1"/>
        <v>0</v>
      </c>
      <c r="Y52" s="3">
        <f t="shared" si="2"/>
        <v>0</v>
      </c>
    </row>
    <row r="53" spans="4:25" x14ac:dyDescent="0.25">
      <c r="D53" s="2" t="s">
        <v>14</v>
      </c>
      <c r="E53" s="25"/>
      <c r="F53" s="3"/>
      <c r="G53" s="3">
        <f>SUM(G3:G52)</f>
        <v>0</v>
      </c>
      <c r="H53" s="3">
        <f t="shared" ref="H53:I53" si="3">SUM(H3:H52)</f>
        <v>0.25</v>
      </c>
      <c r="I53" s="3">
        <f t="shared" si="3"/>
        <v>0.03</v>
      </c>
    </row>
  </sheetData>
  <mergeCells count="4">
    <mergeCell ref="D1:F1"/>
    <mergeCell ref="G1:I1"/>
    <mergeCell ref="K1:Q1"/>
    <mergeCell ref="X1:Z1"/>
  </mergeCells>
  <conditionalFormatting sqref="A1:B1">
    <cfRule type="expression" dxfId="47" priority="1">
      <formula>$Z$3="+"</formula>
    </cfRule>
    <cfRule type="expression" dxfId="46" priority="2">
      <formula>$B$16=$K$3</formula>
    </cfRule>
  </conditionalFormatting>
  <conditionalFormatting sqref="P3">
    <cfRule type="expression" dxfId="45" priority="3">
      <formula>$Z$3="+"</formula>
    </cfRule>
  </conditionalFormatting>
  <conditionalFormatting sqref="Z3">
    <cfRule type="expression" dxfId="44" priority="4">
      <formula>$Z$3="+"</formula>
    </cfRule>
  </conditionalFormatting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7B129-A21F-4F7E-842A-943A1C9A9BD5}">
  <dimension ref="A1:Z53"/>
  <sheetViews>
    <sheetView workbookViewId="0">
      <selection activeCell="H4" sqref="H4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4" customWidth="1"/>
    <col min="25" max="25" width="10.7109375" style="14" customWidth="1"/>
    <col min="26" max="26" width="10.7109375" customWidth="1"/>
  </cols>
  <sheetData>
    <row r="1" spans="1:26" x14ac:dyDescent="0.25">
      <c r="A1" s="5" t="s">
        <v>18</v>
      </c>
      <c r="B1" s="6" t="s">
        <v>56</v>
      </c>
      <c r="D1" s="41" t="s">
        <v>2</v>
      </c>
      <c r="E1" s="42"/>
      <c r="F1" s="43"/>
      <c r="G1" s="41" t="s">
        <v>0</v>
      </c>
      <c r="H1" s="42"/>
      <c r="I1" s="43"/>
      <c r="J1" s="16"/>
      <c r="K1" s="41" t="s">
        <v>41</v>
      </c>
      <c r="L1" s="42"/>
      <c r="M1" s="42"/>
      <c r="N1" s="42"/>
      <c r="O1" s="42"/>
      <c r="P1" s="42"/>
      <c r="Q1" s="43"/>
      <c r="X1" s="41"/>
      <c r="Y1" s="42"/>
      <c r="Z1" s="43"/>
    </row>
    <row r="2" spans="1:26" x14ac:dyDescent="0.25">
      <c r="A2" s="5" t="s">
        <v>15</v>
      </c>
      <c r="B2" s="6" t="s">
        <v>19</v>
      </c>
      <c r="D2" s="11" t="s">
        <v>45</v>
      </c>
      <c r="E2" s="11" t="s">
        <v>46</v>
      </c>
      <c r="F2" s="23" t="s">
        <v>51</v>
      </c>
      <c r="G2" s="11" t="s">
        <v>12</v>
      </c>
      <c r="H2" s="11" t="s">
        <v>13</v>
      </c>
      <c r="I2" s="11" t="s">
        <v>43</v>
      </c>
      <c r="J2" s="9"/>
      <c r="K2" s="11" t="s">
        <v>0</v>
      </c>
      <c r="L2" s="11" t="s">
        <v>1</v>
      </c>
      <c r="M2" s="11" t="s">
        <v>39</v>
      </c>
      <c r="N2" s="11" t="s">
        <v>40</v>
      </c>
      <c r="O2" s="11" t="s">
        <v>2</v>
      </c>
      <c r="P2" s="11" t="s">
        <v>49</v>
      </c>
      <c r="Q2" s="11" t="s">
        <v>51</v>
      </c>
      <c r="X2" s="11" t="s">
        <v>2</v>
      </c>
      <c r="Y2" s="11" t="s">
        <v>42</v>
      </c>
      <c r="Z2" s="11" t="s">
        <v>49</v>
      </c>
    </row>
    <row r="3" spans="1:26" x14ac:dyDescent="0.25">
      <c r="A3" s="5" t="s">
        <v>20</v>
      </c>
      <c r="B3" s="6" t="s">
        <v>35</v>
      </c>
      <c r="D3" s="10">
        <v>46249</v>
      </c>
      <c r="E3" s="10">
        <v>46249</v>
      </c>
      <c r="F3" s="17">
        <f>IF(E3&gt;0,E3-D3,"")</f>
        <v>0</v>
      </c>
      <c r="G3" s="3">
        <v>0</v>
      </c>
      <c r="H3" s="3">
        <v>0.23</v>
      </c>
      <c r="I3" s="3">
        <v>0.02</v>
      </c>
      <c r="J3" s="14"/>
      <c r="K3" s="3">
        <f>G53</f>
        <v>0</v>
      </c>
      <c r="L3" s="3">
        <f>H53</f>
        <v>0.43000000000000005</v>
      </c>
      <c r="M3" s="3">
        <f>I53</f>
        <v>0.04</v>
      </c>
      <c r="N3" s="7" t="str">
        <f>IF(B16=K3,XIRR(Y3:Y52,X3:X52),"")</f>
        <v/>
      </c>
      <c r="O3" s="6" t="str">
        <f>IF(B16=K3,MAX(E:E),"")</f>
        <v/>
      </c>
      <c r="P3" s="2" t="str">
        <f ca="1">IF(Z3="+",TODAY()-B11,"")</f>
        <v/>
      </c>
      <c r="Q3" s="2" t="str">
        <f>IF(B16=K3,MAX(E:E)-B11,"")</f>
        <v/>
      </c>
      <c r="T3" s="13"/>
      <c r="X3" s="6">
        <f>B9</f>
        <v>46210</v>
      </c>
      <c r="Y3" s="3">
        <f>B16*-1</f>
        <v>-23.27</v>
      </c>
      <c r="Z3" s="2" t="str">
        <f ca="1">IF(AND(TODAY()&gt;B11, K3&lt;&gt;B16), "+", "")</f>
        <v/>
      </c>
    </row>
    <row r="4" spans="1:26" x14ac:dyDescent="0.25">
      <c r="A4" s="5" t="s">
        <v>22</v>
      </c>
      <c r="B4" s="6" t="s">
        <v>23</v>
      </c>
      <c r="D4" s="10">
        <v>46280</v>
      </c>
      <c r="E4" s="10">
        <v>46280</v>
      </c>
      <c r="F4" s="17">
        <v>0</v>
      </c>
      <c r="G4" s="3">
        <v>0</v>
      </c>
      <c r="H4" s="3">
        <v>0.2</v>
      </c>
      <c r="I4" s="2">
        <v>0.02</v>
      </c>
      <c r="J4" s="9"/>
      <c r="X4" s="6">
        <f>E3</f>
        <v>46249</v>
      </c>
      <c r="Y4" s="3">
        <f>G3+H3-I3</f>
        <v>0.21000000000000002</v>
      </c>
    </row>
    <row r="5" spans="1:26" x14ac:dyDescent="0.25">
      <c r="A5" s="5"/>
      <c r="B5" s="6"/>
      <c r="D5" s="10">
        <v>46310</v>
      </c>
      <c r="E5" s="10"/>
      <c r="F5" s="17" t="str">
        <f t="shared" ref="F5:F52" si="0">IF(E5&gt;0,E5-D5,"")</f>
        <v/>
      </c>
      <c r="G5" s="3"/>
      <c r="H5" s="3"/>
      <c r="I5" s="3"/>
      <c r="J5" s="9"/>
      <c r="X5" s="6">
        <f t="shared" ref="X5:X52" si="1">E4</f>
        <v>46280</v>
      </c>
      <c r="Y5" s="3">
        <f t="shared" ref="Y5:Y52" si="2">G4+H4-I4</f>
        <v>0.18000000000000002</v>
      </c>
    </row>
    <row r="6" spans="1:26" x14ac:dyDescent="0.25">
      <c r="A6" s="5"/>
      <c r="B6" s="6"/>
      <c r="D6" s="10"/>
      <c r="E6" s="10"/>
      <c r="F6" s="17" t="str">
        <f t="shared" si="0"/>
        <v/>
      </c>
      <c r="G6" s="3"/>
      <c r="H6" s="3"/>
      <c r="I6" s="2"/>
      <c r="J6" s="9"/>
      <c r="X6" s="6">
        <f t="shared" si="1"/>
        <v>0</v>
      </c>
      <c r="Y6" s="3">
        <f t="shared" si="2"/>
        <v>0</v>
      </c>
    </row>
    <row r="7" spans="1:26" x14ac:dyDescent="0.25">
      <c r="A7" s="5"/>
      <c r="B7" s="6"/>
      <c r="D7" s="10"/>
      <c r="E7" s="10"/>
      <c r="F7" s="17" t="str">
        <f t="shared" si="0"/>
        <v/>
      </c>
      <c r="G7" s="3"/>
      <c r="H7" s="2"/>
      <c r="I7" s="2"/>
      <c r="J7" s="14"/>
      <c r="X7" s="6">
        <f t="shared" si="1"/>
        <v>0</v>
      </c>
      <c r="Y7" s="3">
        <f t="shared" si="2"/>
        <v>0</v>
      </c>
    </row>
    <row r="8" spans="1:26" x14ac:dyDescent="0.25">
      <c r="A8" s="5" t="s">
        <v>16</v>
      </c>
      <c r="B8" s="6" t="str">
        <f>DATEDIF(B9,B11,"y") &amp; " m. " &amp; DATEDIF(B9,B11,"ym") &amp; " mėn. " &amp; DATEDIF(B9,B11,"md") &amp; " d."</f>
        <v>0 m. 3 mėn. 8 d.</v>
      </c>
      <c r="D8" s="10"/>
      <c r="E8" s="6"/>
      <c r="F8" s="17" t="str">
        <f t="shared" si="0"/>
        <v/>
      </c>
      <c r="G8" s="3"/>
      <c r="H8" s="3"/>
      <c r="I8" s="2"/>
      <c r="J8" s="9"/>
      <c r="X8" s="6">
        <f t="shared" si="1"/>
        <v>0</v>
      </c>
      <c r="Y8" s="3">
        <f t="shared" si="2"/>
        <v>0</v>
      </c>
    </row>
    <row r="9" spans="1:26" x14ac:dyDescent="0.25">
      <c r="A9" s="5" t="s">
        <v>8</v>
      </c>
      <c r="B9" s="6">
        <v>46210</v>
      </c>
      <c r="D9" s="10"/>
      <c r="E9" s="6"/>
      <c r="F9" s="17" t="str">
        <f t="shared" si="0"/>
        <v/>
      </c>
      <c r="G9" s="3"/>
      <c r="H9" s="3"/>
      <c r="I9" s="3"/>
      <c r="J9" s="14"/>
      <c r="X9" s="6">
        <f t="shared" si="1"/>
        <v>0</v>
      </c>
      <c r="Y9" s="3">
        <f t="shared" si="2"/>
        <v>0</v>
      </c>
    </row>
    <row r="10" spans="1:26" x14ac:dyDescent="0.25">
      <c r="A10" s="5" t="s">
        <v>24</v>
      </c>
      <c r="B10" s="6">
        <v>46209</v>
      </c>
      <c r="D10" s="10"/>
      <c r="E10" s="6"/>
      <c r="F10" s="17" t="str">
        <f t="shared" si="0"/>
        <v/>
      </c>
      <c r="G10" s="2"/>
      <c r="H10" s="2"/>
      <c r="I10" s="2"/>
      <c r="J10" s="14"/>
      <c r="X10" s="6">
        <f t="shared" si="1"/>
        <v>0</v>
      </c>
      <c r="Y10" s="3">
        <f t="shared" si="2"/>
        <v>0</v>
      </c>
    </row>
    <row r="11" spans="1:26" x14ac:dyDescent="0.25">
      <c r="A11" s="5" t="s">
        <v>44</v>
      </c>
      <c r="B11" s="6">
        <v>46310</v>
      </c>
      <c r="D11" s="10"/>
      <c r="E11" s="6"/>
      <c r="F11" s="17" t="str">
        <f t="shared" si="0"/>
        <v/>
      </c>
      <c r="G11" s="2"/>
      <c r="H11" s="2"/>
      <c r="I11" s="2"/>
      <c r="J11" s="14"/>
      <c r="X11" s="6">
        <f t="shared" si="1"/>
        <v>0</v>
      </c>
      <c r="Y11" s="3">
        <f t="shared" si="2"/>
        <v>0</v>
      </c>
    </row>
    <row r="12" spans="1:26" x14ac:dyDescent="0.25">
      <c r="A12" s="5" t="s">
        <v>52</v>
      </c>
      <c r="B12" s="17">
        <f ca="1">IF(B16&lt;&gt;K3,(TODAY()-B11)*-1,"")</f>
        <v>15</v>
      </c>
      <c r="D12" s="10"/>
      <c r="E12" s="6"/>
      <c r="F12" s="17" t="str">
        <f t="shared" si="0"/>
        <v/>
      </c>
      <c r="G12" s="2"/>
      <c r="H12" s="2"/>
      <c r="I12" s="2"/>
      <c r="J12" s="14"/>
      <c r="X12" s="6">
        <f t="shared" si="1"/>
        <v>0</v>
      </c>
      <c r="Y12" s="3">
        <f t="shared" si="2"/>
        <v>0</v>
      </c>
    </row>
    <row r="13" spans="1:26" x14ac:dyDescent="0.25">
      <c r="A13" s="5"/>
      <c r="B13" s="3"/>
      <c r="D13" s="10"/>
      <c r="E13" s="6"/>
      <c r="F13" s="17" t="str">
        <f t="shared" si="0"/>
        <v/>
      </c>
      <c r="G13" s="2"/>
      <c r="H13" s="2"/>
      <c r="I13" s="2"/>
      <c r="J13" s="14"/>
      <c r="N13" s="13"/>
      <c r="X13" s="6">
        <f t="shared" si="1"/>
        <v>0</v>
      </c>
      <c r="Y13" s="3">
        <f t="shared" si="2"/>
        <v>0</v>
      </c>
    </row>
    <row r="14" spans="1:26" x14ac:dyDescent="0.25">
      <c r="A14" s="1"/>
      <c r="B14" s="24"/>
      <c r="D14" s="10"/>
      <c r="E14" s="6"/>
      <c r="F14" s="17" t="str">
        <f t="shared" si="0"/>
        <v/>
      </c>
      <c r="G14" s="2"/>
      <c r="H14" s="2"/>
      <c r="I14" s="2"/>
      <c r="J14" s="14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>
        <v>0.1</v>
      </c>
      <c r="D15" s="10"/>
      <c r="E15" s="6"/>
      <c r="F15" s="17" t="str">
        <f t="shared" si="0"/>
        <v/>
      </c>
      <c r="G15" s="2"/>
      <c r="H15" s="2"/>
      <c r="I15" s="2"/>
      <c r="J15" s="14"/>
      <c r="K15" s="16"/>
      <c r="L15" s="16"/>
      <c r="M15" s="16"/>
      <c r="N15" s="16"/>
      <c r="O15" s="16"/>
      <c r="P15" s="16"/>
      <c r="Q15" s="16"/>
      <c r="X15" s="6">
        <f t="shared" si="1"/>
        <v>0</v>
      </c>
      <c r="Y15" s="3">
        <f t="shared" si="2"/>
        <v>0</v>
      </c>
    </row>
    <row r="16" spans="1:26" x14ac:dyDescent="0.25">
      <c r="A16" s="5" t="s">
        <v>53</v>
      </c>
      <c r="B16" s="3">
        <v>23.27</v>
      </c>
      <c r="D16" s="10"/>
      <c r="E16" s="6"/>
      <c r="F16" s="17" t="str">
        <f t="shared" si="0"/>
        <v/>
      </c>
      <c r="G16" s="2"/>
      <c r="H16" s="2"/>
      <c r="I16" s="2"/>
      <c r="J16" s="14"/>
      <c r="K16" s="9"/>
      <c r="L16" s="9"/>
      <c r="M16" s="9"/>
      <c r="N16" s="18"/>
      <c r="O16" s="19"/>
      <c r="P16" s="14"/>
      <c r="Q16" s="14"/>
      <c r="X16" s="6">
        <f t="shared" si="1"/>
        <v>0</v>
      </c>
      <c r="Y16" s="3">
        <f t="shared" si="2"/>
        <v>0</v>
      </c>
    </row>
    <row r="17" spans="4:25" x14ac:dyDescent="0.25">
      <c r="D17" s="10"/>
      <c r="E17" s="6"/>
      <c r="F17" s="17" t="str">
        <f t="shared" si="0"/>
        <v/>
      </c>
      <c r="G17" s="2"/>
      <c r="H17" s="2"/>
      <c r="I17" s="2"/>
      <c r="J17" s="14"/>
      <c r="X17" s="6">
        <f t="shared" si="1"/>
        <v>0</v>
      </c>
      <c r="Y17" s="3">
        <f t="shared" si="2"/>
        <v>0</v>
      </c>
    </row>
    <row r="18" spans="4:25" x14ac:dyDescent="0.25">
      <c r="D18" s="10"/>
      <c r="E18" s="6"/>
      <c r="F18" s="17" t="str">
        <f t="shared" si="0"/>
        <v/>
      </c>
      <c r="G18" s="2"/>
      <c r="H18" s="2"/>
      <c r="I18" s="2"/>
      <c r="J18" s="14"/>
      <c r="X18" s="6">
        <f t="shared" si="1"/>
        <v>0</v>
      </c>
      <c r="Y18" s="3">
        <f t="shared" si="2"/>
        <v>0</v>
      </c>
    </row>
    <row r="19" spans="4:25" x14ac:dyDescent="0.25">
      <c r="D19" s="10"/>
      <c r="E19" s="6"/>
      <c r="F19" s="17" t="str">
        <f t="shared" si="0"/>
        <v/>
      </c>
      <c r="G19" s="2"/>
      <c r="H19" s="2"/>
      <c r="I19" s="2"/>
      <c r="J19" s="14"/>
      <c r="X19" s="6">
        <f t="shared" si="1"/>
        <v>0</v>
      </c>
      <c r="Y19" s="3">
        <f t="shared" si="2"/>
        <v>0</v>
      </c>
    </row>
    <row r="20" spans="4:25" x14ac:dyDescent="0.25">
      <c r="D20" s="10"/>
      <c r="E20" s="6"/>
      <c r="F20" s="17" t="str">
        <f t="shared" si="0"/>
        <v/>
      </c>
      <c r="G20" s="2"/>
      <c r="H20" s="2"/>
      <c r="I20" s="2"/>
      <c r="J20" s="14"/>
      <c r="X20" s="6">
        <f t="shared" si="1"/>
        <v>0</v>
      </c>
      <c r="Y20" s="3">
        <f t="shared" si="2"/>
        <v>0</v>
      </c>
    </row>
    <row r="21" spans="4:25" x14ac:dyDescent="0.25">
      <c r="D21" s="10"/>
      <c r="E21" s="6"/>
      <c r="F21" s="17" t="str">
        <f t="shared" si="0"/>
        <v/>
      </c>
      <c r="G21" s="2"/>
      <c r="H21" s="2"/>
      <c r="I21" s="2"/>
      <c r="J21" s="14"/>
      <c r="X21" s="6">
        <f t="shared" si="1"/>
        <v>0</v>
      </c>
      <c r="Y21" s="3">
        <f t="shared" si="2"/>
        <v>0</v>
      </c>
    </row>
    <row r="22" spans="4:25" x14ac:dyDescent="0.25">
      <c r="D22" s="10"/>
      <c r="E22" s="6"/>
      <c r="F22" s="17" t="str">
        <f t="shared" si="0"/>
        <v/>
      </c>
      <c r="G22" s="2"/>
      <c r="H22" s="2"/>
      <c r="I22" s="2"/>
      <c r="J22" s="14"/>
      <c r="X22" s="6">
        <f t="shared" si="1"/>
        <v>0</v>
      </c>
      <c r="Y22" s="3">
        <f t="shared" si="2"/>
        <v>0</v>
      </c>
    </row>
    <row r="23" spans="4:25" x14ac:dyDescent="0.25">
      <c r="D23" s="10"/>
      <c r="E23" s="6"/>
      <c r="F23" s="17" t="str">
        <f t="shared" si="0"/>
        <v/>
      </c>
      <c r="G23" s="2"/>
      <c r="H23" s="2"/>
      <c r="I23" s="2"/>
      <c r="J23" s="14"/>
      <c r="X23" s="6">
        <f t="shared" si="1"/>
        <v>0</v>
      </c>
      <c r="Y23" s="3">
        <f t="shared" si="2"/>
        <v>0</v>
      </c>
    </row>
    <row r="24" spans="4:25" x14ac:dyDescent="0.25">
      <c r="D24" s="10"/>
      <c r="E24" s="6"/>
      <c r="F24" s="17" t="str">
        <f t="shared" si="0"/>
        <v/>
      </c>
      <c r="G24" s="2"/>
      <c r="H24" s="2"/>
      <c r="I24" s="2"/>
      <c r="J24" s="14"/>
      <c r="X24" s="6">
        <f t="shared" si="1"/>
        <v>0</v>
      </c>
      <c r="Y24" s="3">
        <f t="shared" si="2"/>
        <v>0</v>
      </c>
    </row>
    <row r="25" spans="4:25" x14ac:dyDescent="0.25">
      <c r="D25" s="10"/>
      <c r="E25" s="6"/>
      <c r="F25" s="17" t="str">
        <f t="shared" si="0"/>
        <v/>
      </c>
      <c r="G25" s="2"/>
      <c r="H25" s="2"/>
      <c r="I25" s="2"/>
      <c r="J25" s="14"/>
      <c r="X25" s="6">
        <f t="shared" si="1"/>
        <v>0</v>
      </c>
      <c r="Y25" s="3">
        <f t="shared" si="2"/>
        <v>0</v>
      </c>
    </row>
    <row r="26" spans="4:25" x14ac:dyDescent="0.25">
      <c r="D26" s="10"/>
      <c r="E26" s="6"/>
      <c r="F26" s="17" t="str">
        <f t="shared" si="0"/>
        <v/>
      </c>
      <c r="G26" s="2"/>
      <c r="H26" s="2"/>
      <c r="I26" s="2"/>
      <c r="J26" s="14"/>
      <c r="X26" s="6">
        <f t="shared" si="1"/>
        <v>0</v>
      </c>
      <c r="Y26" s="3">
        <f t="shared" si="2"/>
        <v>0</v>
      </c>
    </row>
    <row r="27" spans="4:25" x14ac:dyDescent="0.25">
      <c r="D27" s="10"/>
      <c r="E27" s="6"/>
      <c r="F27" s="17" t="str">
        <f t="shared" si="0"/>
        <v/>
      </c>
      <c r="G27" s="2"/>
      <c r="H27" s="2"/>
      <c r="I27" s="2"/>
      <c r="J27" s="14"/>
      <c r="X27" s="6">
        <f t="shared" si="1"/>
        <v>0</v>
      </c>
      <c r="Y27" s="3">
        <f t="shared" si="2"/>
        <v>0</v>
      </c>
    </row>
    <row r="28" spans="4:25" x14ac:dyDescent="0.25">
      <c r="D28" s="10"/>
      <c r="E28" s="6"/>
      <c r="F28" s="17" t="str">
        <f t="shared" si="0"/>
        <v/>
      </c>
      <c r="G28" s="2"/>
      <c r="H28" s="2"/>
      <c r="I28" s="2"/>
      <c r="J28" s="14"/>
      <c r="X28" s="6">
        <f t="shared" si="1"/>
        <v>0</v>
      </c>
      <c r="Y28" s="3">
        <f t="shared" si="2"/>
        <v>0</v>
      </c>
    </row>
    <row r="29" spans="4:25" x14ac:dyDescent="0.25">
      <c r="D29" s="10"/>
      <c r="E29" s="6"/>
      <c r="F29" s="17" t="str">
        <f t="shared" si="0"/>
        <v/>
      </c>
      <c r="G29" s="2"/>
      <c r="H29" s="2"/>
      <c r="I29" s="2"/>
      <c r="J29" s="14"/>
      <c r="X29" s="6">
        <f t="shared" si="1"/>
        <v>0</v>
      </c>
      <c r="Y29" s="3">
        <f t="shared" si="2"/>
        <v>0</v>
      </c>
    </row>
    <row r="30" spans="4:25" x14ac:dyDescent="0.25">
      <c r="D30" s="10"/>
      <c r="E30" s="6"/>
      <c r="F30" s="17" t="str">
        <f t="shared" si="0"/>
        <v/>
      </c>
      <c r="G30" s="2"/>
      <c r="H30" s="2"/>
      <c r="I30" s="2"/>
      <c r="J30" s="14"/>
      <c r="X30" s="6">
        <f t="shared" si="1"/>
        <v>0</v>
      </c>
      <c r="Y30" s="3">
        <f t="shared" si="2"/>
        <v>0</v>
      </c>
    </row>
    <row r="31" spans="4:25" x14ac:dyDescent="0.25">
      <c r="D31" s="10"/>
      <c r="E31" s="6"/>
      <c r="F31" s="17" t="str">
        <f t="shared" si="0"/>
        <v/>
      </c>
      <c r="G31" s="2"/>
      <c r="H31" s="2"/>
      <c r="I31" s="2"/>
      <c r="J31" s="14"/>
      <c r="X31" s="6">
        <f t="shared" si="1"/>
        <v>0</v>
      </c>
      <c r="Y31" s="3">
        <f t="shared" si="2"/>
        <v>0</v>
      </c>
    </row>
    <row r="32" spans="4:25" x14ac:dyDescent="0.25">
      <c r="D32" s="10"/>
      <c r="E32" s="6"/>
      <c r="F32" s="17" t="str">
        <f t="shared" si="0"/>
        <v/>
      </c>
      <c r="G32" s="2"/>
      <c r="H32" s="2"/>
      <c r="I32" s="2"/>
      <c r="J32" s="14"/>
      <c r="X32" s="6">
        <f t="shared" si="1"/>
        <v>0</v>
      </c>
      <c r="Y32" s="3">
        <f t="shared" si="2"/>
        <v>0</v>
      </c>
    </row>
    <row r="33" spans="4:25" x14ac:dyDescent="0.25">
      <c r="D33" s="10"/>
      <c r="E33" s="6"/>
      <c r="F33" s="17" t="str">
        <f t="shared" si="0"/>
        <v/>
      </c>
      <c r="G33" s="2"/>
      <c r="H33" s="2"/>
      <c r="I33" s="2"/>
      <c r="J33" s="14"/>
      <c r="X33" s="6">
        <f t="shared" si="1"/>
        <v>0</v>
      </c>
      <c r="Y33" s="3">
        <f t="shared" si="2"/>
        <v>0</v>
      </c>
    </row>
    <row r="34" spans="4:25" x14ac:dyDescent="0.25">
      <c r="D34" s="10"/>
      <c r="E34" s="6"/>
      <c r="F34" s="17" t="str">
        <f t="shared" si="0"/>
        <v/>
      </c>
      <c r="G34" s="2"/>
      <c r="H34" s="2"/>
      <c r="I34" s="2"/>
      <c r="J34" s="14"/>
      <c r="X34" s="6">
        <f t="shared" si="1"/>
        <v>0</v>
      </c>
      <c r="Y34" s="3">
        <f t="shared" si="2"/>
        <v>0</v>
      </c>
    </row>
    <row r="35" spans="4:25" x14ac:dyDescent="0.25">
      <c r="D35" s="10"/>
      <c r="E35" s="6"/>
      <c r="F35" s="17" t="str">
        <f t="shared" si="0"/>
        <v/>
      </c>
      <c r="G35" s="2"/>
      <c r="H35" s="2"/>
      <c r="I35" s="2"/>
      <c r="J35" s="14"/>
      <c r="X35" s="6">
        <f t="shared" si="1"/>
        <v>0</v>
      </c>
      <c r="Y35" s="3">
        <f t="shared" si="2"/>
        <v>0</v>
      </c>
    </row>
    <row r="36" spans="4:25" x14ac:dyDescent="0.25">
      <c r="D36" s="10"/>
      <c r="E36" s="6"/>
      <c r="F36" s="17" t="str">
        <f t="shared" si="0"/>
        <v/>
      </c>
      <c r="G36" s="2"/>
      <c r="H36" s="2"/>
      <c r="I36" s="2"/>
      <c r="J36" s="14"/>
      <c r="X36" s="6">
        <f t="shared" si="1"/>
        <v>0</v>
      </c>
      <c r="Y36" s="3">
        <f t="shared" si="2"/>
        <v>0</v>
      </c>
    </row>
    <row r="37" spans="4:25" x14ac:dyDescent="0.25">
      <c r="D37" s="10"/>
      <c r="E37" s="6"/>
      <c r="F37" s="17" t="str">
        <f t="shared" si="0"/>
        <v/>
      </c>
      <c r="G37" s="2"/>
      <c r="H37" s="2"/>
      <c r="I37" s="2"/>
      <c r="J37" s="14"/>
      <c r="X37" s="6">
        <f t="shared" si="1"/>
        <v>0</v>
      </c>
      <c r="Y37" s="3">
        <f t="shared" si="2"/>
        <v>0</v>
      </c>
    </row>
    <row r="38" spans="4:25" x14ac:dyDescent="0.25">
      <c r="D38" s="10"/>
      <c r="E38" s="6"/>
      <c r="F38" s="17" t="str">
        <f t="shared" si="0"/>
        <v/>
      </c>
      <c r="G38" s="2"/>
      <c r="H38" s="2"/>
      <c r="I38" s="2"/>
      <c r="J38" s="14"/>
      <c r="X38" s="6">
        <f t="shared" si="1"/>
        <v>0</v>
      </c>
      <c r="Y38" s="3">
        <f t="shared" si="2"/>
        <v>0</v>
      </c>
    </row>
    <row r="39" spans="4:25" x14ac:dyDescent="0.25">
      <c r="D39" s="10"/>
      <c r="E39" s="6"/>
      <c r="F39" s="17" t="str">
        <f t="shared" si="0"/>
        <v/>
      </c>
      <c r="G39" s="2"/>
      <c r="H39" s="2"/>
      <c r="I39" s="2"/>
      <c r="J39" s="14"/>
      <c r="X39" s="6">
        <f t="shared" si="1"/>
        <v>0</v>
      </c>
      <c r="Y39" s="3">
        <f t="shared" si="2"/>
        <v>0</v>
      </c>
    </row>
    <row r="40" spans="4:25" x14ac:dyDescent="0.25">
      <c r="D40" s="10"/>
      <c r="E40" s="6"/>
      <c r="F40" s="17" t="str">
        <f t="shared" si="0"/>
        <v/>
      </c>
      <c r="G40" s="2"/>
      <c r="H40" s="2"/>
      <c r="I40" s="2"/>
      <c r="J40" s="14"/>
      <c r="X40" s="6">
        <f t="shared" si="1"/>
        <v>0</v>
      </c>
      <c r="Y40" s="3">
        <f t="shared" si="2"/>
        <v>0</v>
      </c>
    </row>
    <row r="41" spans="4:25" x14ac:dyDescent="0.25">
      <c r="D41" s="10"/>
      <c r="E41" s="6"/>
      <c r="F41" s="17" t="str">
        <f t="shared" si="0"/>
        <v/>
      </c>
      <c r="G41" s="2"/>
      <c r="H41" s="2"/>
      <c r="I41" s="2"/>
      <c r="J41" s="14"/>
      <c r="X41" s="6">
        <f t="shared" si="1"/>
        <v>0</v>
      </c>
      <c r="Y41" s="3">
        <f t="shared" si="2"/>
        <v>0</v>
      </c>
    </row>
    <row r="42" spans="4:25" x14ac:dyDescent="0.25">
      <c r="D42" s="10"/>
      <c r="E42" s="6"/>
      <c r="F42" s="17" t="str">
        <f t="shared" si="0"/>
        <v/>
      </c>
      <c r="G42" s="2"/>
      <c r="H42" s="2"/>
      <c r="I42" s="2"/>
      <c r="J42" s="14"/>
      <c r="X42" s="6">
        <f t="shared" si="1"/>
        <v>0</v>
      </c>
      <c r="Y42" s="3">
        <f t="shared" si="2"/>
        <v>0</v>
      </c>
    </row>
    <row r="43" spans="4:25" x14ac:dyDescent="0.25">
      <c r="D43" s="10"/>
      <c r="E43" s="6"/>
      <c r="F43" s="17" t="str">
        <f t="shared" si="0"/>
        <v/>
      </c>
      <c r="G43" s="2"/>
      <c r="H43" s="2"/>
      <c r="I43" s="2"/>
      <c r="J43" s="14"/>
      <c r="X43" s="6">
        <f t="shared" si="1"/>
        <v>0</v>
      </c>
      <c r="Y43" s="3">
        <f t="shared" si="2"/>
        <v>0</v>
      </c>
    </row>
    <row r="44" spans="4:25" x14ac:dyDescent="0.25">
      <c r="D44" s="10"/>
      <c r="E44" s="6"/>
      <c r="F44" s="17" t="str">
        <f t="shared" si="0"/>
        <v/>
      </c>
      <c r="G44" s="2"/>
      <c r="H44" s="2"/>
      <c r="I44" s="2"/>
      <c r="J44" s="14"/>
      <c r="X44" s="6">
        <f t="shared" si="1"/>
        <v>0</v>
      </c>
      <c r="Y44" s="3">
        <f t="shared" si="2"/>
        <v>0</v>
      </c>
    </row>
    <row r="45" spans="4:25" x14ac:dyDescent="0.25">
      <c r="D45" s="10"/>
      <c r="E45" s="6"/>
      <c r="F45" s="17" t="str">
        <f t="shared" si="0"/>
        <v/>
      </c>
      <c r="G45" s="2"/>
      <c r="H45" s="2"/>
      <c r="I45" s="2"/>
      <c r="J45" s="14"/>
      <c r="X45" s="6">
        <f t="shared" si="1"/>
        <v>0</v>
      </c>
      <c r="Y45" s="3">
        <f t="shared" si="2"/>
        <v>0</v>
      </c>
    </row>
    <row r="46" spans="4:25" x14ac:dyDescent="0.25">
      <c r="D46" s="10"/>
      <c r="E46" s="6"/>
      <c r="F46" s="17" t="str">
        <f t="shared" si="0"/>
        <v/>
      </c>
      <c r="G46" s="2"/>
      <c r="H46" s="2"/>
      <c r="I46" s="2"/>
      <c r="J46" s="14"/>
      <c r="X46" s="6">
        <f t="shared" si="1"/>
        <v>0</v>
      </c>
      <c r="Y46" s="3">
        <f t="shared" si="2"/>
        <v>0</v>
      </c>
    </row>
    <row r="47" spans="4:25" x14ac:dyDescent="0.25">
      <c r="D47" s="10"/>
      <c r="E47" s="6"/>
      <c r="F47" s="17" t="str">
        <f t="shared" si="0"/>
        <v/>
      </c>
      <c r="G47" s="2"/>
      <c r="H47" s="2"/>
      <c r="I47" s="2"/>
      <c r="J47" s="14"/>
      <c r="X47" s="6">
        <f t="shared" si="1"/>
        <v>0</v>
      </c>
      <c r="Y47" s="3">
        <f t="shared" si="2"/>
        <v>0</v>
      </c>
    </row>
    <row r="48" spans="4:25" x14ac:dyDescent="0.25">
      <c r="D48" s="10"/>
      <c r="E48" s="6"/>
      <c r="F48" s="17" t="str">
        <f t="shared" si="0"/>
        <v/>
      </c>
      <c r="G48" s="2"/>
      <c r="H48" s="2"/>
      <c r="I48" s="2"/>
      <c r="J48" s="14"/>
      <c r="X48" s="6">
        <f t="shared" si="1"/>
        <v>0</v>
      </c>
      <c r="Y48" s="3">
        <f t="shared" si="2"/>
        <v>0</v>
      </c>
    </row>
    <row r="49" spans="4:25" x14ac:dyDescent="0.25">
      <c r="D49" s="10"/>
      <c r="E49" s="6"/>
      <c r="F49" s="17" t="str">
        <f t="shared" si="0"/>
        <v/>
      </c>
      <c r="G49" s="2"/>
      <c r="H49" s="2"/>
      <c r="I49" s="2"/>
      <c r="J49" s="14"/>
      <c r="X49" s="6">
        <f t="shared" si="1"/>
        <v>0</v>
      </c>
      <c r="Y49" s="3">
        <f t="shared" si="2"/>
        <v>0</v>
      </c>
    </row>
    <row r="50" spans="4:25" x14ac:dyDescent="0.25">
      <c r="D50" s="10"/>
      <c r="E50" s="6"/>
      <c r="F50" s="17" t="str">
        <f t="shared" si="0"/>
        <v/>
      </c>
      <c r="G50" s="2"/>
      <c r="H50" s="2"/>
      <c r="I50" s="2"/>
      <c r="J50" s="14"/>
      <c r="X50" s="6">
        <f t="shared" si="1"/>
        <v>0</v>
      </c>
      <c r="Y50" s="3">
        <f t="shared" si="2"/>
        <v>0</v>
      </c>
    </row>
    <row r="51" spans="4:25" x14ac:dyDescent="0.25">
      <c r="D51" s="10"/>
      <c r="E51" s="6"/>
      <c r="F51" s="17" t="str">
        <f t="shared" si="0"/>
        <v/>
      </c>
      <c r="G51" s="2"/>
      <c r="H51" s="2"/>
      <c r="I51" s="2"/>
      <c r="J51" s="14"/>
      <c r="X51" s="6">
        <f t="shared" si="1"/>
        <v>0</v>
      </c>
      <c r="Y51" s="3">
        <f t="shared" si="2"/>
        <v>0</v>
      </c>
    </row>
    <row r="52" spans="4:25" x14ac:dyDescent="0.25">
      <c r="D52" s="10"/>
      <c r="E52" s="6"/>
      <c r="F52" s="17" t="str">
        <f t="shared" si="0"/>
        <v/>
      </c>
      <c r="G52" s="2"/>
      <c r="H52" s="2"/>
      <c r="I52" s="2"/>
      <c r="J52" s="9"/>
      <c r="X52" s="6">
        <f t="shared" si="1"/>
        <v>0</v>
      </c>
      <c r="Y52" s="3">
        <f t="shared" si="2"/>
        <v>0</v>
      </c>
    </row>
    <row r="53" spans="4:25" x14ac:dyDescent="0.25">
      <c r="D53" s="2" t="s">
        <v>14</v>
      </c>
      <c r="E53" s="25"/>
      <c r="F53" s="3"/>
      <c r="G53" s="3">
        <f>SUM(G3:G52)</f>
        <v>0</v>
      </c>
      <c r="H53" s="3">
        <f t="shared" ref="H53:I53" si="3">SUM(H3:H52)</f>
        <v>0.43000000000000005</v>
      </c>
      <c r="I53" s="3">
        <f t="shared" si="3"/>
        <v>0.04</v>
      </c>
    </row>
  </sheetData>
  <mergeCells count="4">
    <mergeCell ref="D1:F1"/>
    <mergeCell ref="G1:I1"/>
    <mergeCell ref="K1:Q1"/>
    <mergeCell ref="X1:Z1"/>
  </mergeCells>
  <conditionalFormatting sqref="A1:B1">
    <cfRule type="expression" dxfId="43" priority="1">
      <formula>$Z$3="+"</formula>
    </cfRule>
    <cfRule type="expression" dxfId="42" priority="2">
      <formula>$B$16=$K$3</formula>
    </cfRule>
  </conditionalFormatting>
  <conditionalFormatting sqref="P3">
    <cfRule type="expression" dxfId="41" priority="3">
      <formula>$Z$3="+"</formula>
    </cfRule>
  </conditionalFormatting>
  <conditionalFormatting sqref="Z3">
    <cfRule type="expression" dxfId="40" priority="4">
      <formula>$Z$3="+"</formula>
    </cfRule>
  </conditionalFormatting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DE005-D575-41AB-BBD1-8242CE6C9813}">
  <sheetPr>
    <tabColor rgb="FF92D050"/>
  </sheetPr>
  <dimension ref="A1:Z53"/>
  <sheetViews>
    <sheetView workbookViewId="0">
      <selection activeCell="B30" sqref="B30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4" customWidth="1"/>
    <col min="25" max="25" width="10.7109375" style="14" customWidth="1"/>
    <col min="26" max="26" width="10.7109375" customWidth="1"/>
  </cols>
  <sheetData>
    <row r="1" spans="1:26" x14ac:dyDescent="0.25">
      <c r="A1" s="5" t="s">
        <v>18</v>
      </c>
      <c r="B1" s="6" t="s">
        <v>55</v>
      </c>
      <c r="D1" s="41" t="s">
        <v>2</v>
      </c>
      <c r="E1" s="42"/>
      <c r="F1" s="43"/>
      <c r="G1" s="41" t="s">
        <v>0</v>
      </c>
      <c r="H1" s="42"/>
      <c r="I1" s="43"/>
      <c r="J1" s="16"/>
      <c r="K1" s="41" t="s">
        <v>41</v>
      </c>
      <c r="L1" s="42"/>
      <c r="M1" s="42"/>
      <c r="N1" s="42"/>
      <c r="O1" s="42"/>
      <c r="P1" s="42"/>
      <c r="Q1" s="43"/>
      <c r="X1" s="41"/>
      <c r="Y1" s="42"/>
      <c r="Z1" s="43"/>
    </row>
    <row r="2" spans="1:26" x14ac:dyDescent="0.25">
      <c r="A2" s="5" t="s">
        <v>15</v>
      </c>
      <c r="B2" s="6" t="s">
        <v>19</v>
      </c>
      <c r="D2" s="11" t="s">
        <v>45</v>
      </c>
      <c r="E2" s="11" t="s">
        <v>46</v>
      </c>
      <c r="F2" s="23" t="s">
        <v>51</v>
      </c>
      <c r="G2" s="11" t="s">
        <v>12</v>
      </c>
      <c r="H2" s="11" t="s">
        <v>13</v>
      </c>
      <c r="I2" s="11" t="s">
        <v>43</v>
      </c>
      <c r="J2" s="9"/>
      <c r="K2" s="11" t="s">
        <v>0</v>
      </c>
      <c r="L2" s="11" t="s">
        <v>1</v>
      </c>
      <c r="M2" s="11" t="s">
        <v>39</v>
      </c>
      <c r="N2" s="11" t="s">
        <v>40</v>
      </c>
      <c r="O2" s="11" t="s">
        <v>2</v>
      </c>
      <c r="P2" s="11" t="s">
        <v>49</v>
      </c>
      <c r="Q2" s="11" t="s">
        <v>51</v>
      </c>
      <c r="X2" s="11" t="s">
        <v>2</v>
      </c>
      <c r="Y2" s="11" t="s">
        <v>42</v>
      </c>
      <c r="Z2" s="11" t="s">
        <v>49</v>
      </c>
    </row>
    <row r="3" spans="1:26" x14ac:dyDescent="0.25">
      <c r="A3" s="5" t="s">
        <v>20</v>
      </c>
      <c r="B3" s="6" t="s">
        <v>35</v>
      </c>
      <c r="D3" s="10">
        <v>46201</v>
      </c>
      <c r="E3" s="10">
        <v>46201</v>
      </c>
      <c r="F3" s="17">
        <f>IF(E3&gt;0,E3-D3,"")</f>
        <v>0</v>
      </c>
      <c r="G3" s="3">
        <v>0</v>
      </c>
      <c r="H3" s="3">
        <v>0.2</v>
      </c>
      <c r="I3" s="3">
        <v>0.02</v>
      </c>
      <c r="J3" s="14"/>
      <c r="K3" s="3">
        <f>G53</f>
        <v>21.82</v>
      </c>
      <c r="L3" s="3">
        <f>H53</f>
        <v>0.57000000000000006</v>
      </c>
      <c r="M3" s="3">
        <f>I53</f>
        <v>0.06</v>
      </c>
      <c r="N3" s="7">
        <f>IF(B16=K3,XIRR(Y3:Y52,X3:X52),"")</f>
        <v>9.1536757349967968E-2</v>
      </c>
      <c r="O3" s="6">
        <f>IF(B16=K3,MAX(E:E),"")</f>
        <v>46262</v>
      </c>
      <c r="P3" s="2" t="str">
        <f ca="1">IF(Z3="+",TODAY()-B11,"")</f>
        <v/>
      </c>
      <c r="Q3" s="2">
        <f>IF(B16=K3,MAX(E:E)-B11,"")</f>
        <v>0</v>
      </c>
      <c r="T3" s="13"/>
      <c r="X3" s="6">
        <f>B9</f>
        <v>46165</v>
      </c>
      <c r="Y3" s="3">
        <f>B16*-1</f>
        <v>-21.82</v>
      </c>
      <c r="Z3" s="2" t="str">
        <f ca="1">IF(AND(TODAY()&gt;B11, K3&lt;&gt;B16), "+", "")</f>
        <v/>
      </c>
    </row>
    <row r="4" spans="1:26" x14ac:dyDescent="0.25">
      <c r="A4" s="5" t="s">
        <v>22</v>
      </c>
      <c r="B4" s="6" t="s">
        <v>23</v>
      </c>
      <c r="D4" s="10">
        <v>46231</v>
      </c>
      <c r="E4" s="10">
        <v>46231</v>
      </c>
      <c r="F4" s="17">
        <f t="shared" ref="F4:F10" si="0">IF(E4&gt;0,E4-D4,"")</f>
        <v>0</v>
      </c>
      <c r="G4" s="3">
        <v>0</v>
      </c>
      <c r="H4" s="2">
        <v>0.18</v>
      </c>
      <c r="I4" s="2">
        <v>0.02</v>
      </c>
      <c r="J4" s="9"/>
      <c r="X4" s="6">
        <f>E3</f>
        <v>46201</v>
      </c>
      <c r="Y4" s="3">
        <f>G3+H3-I3</f>
        <v>0.18000000000000002</v>
      </c>
    </row>
    <row r="5" spans="1:26" x14ac:dyDescent="0.25">
      <c r="A5" s="5"/>
      <c r="B5" s="6"/>
      <c r="D5" s="10">
        <v>46262</v>
      </c>
      <c r="E5" s="10">
        <v>46262</v>
      </c>
      <c r="F5" s="17">
        <f t="shared" si="0"/>
        <v>0</v>
      </c>
      <c r="G5" s="3">
        <v>21.82</v>
      </c>
      <c r="H5" s="3">
        <v>0.19</v>
      </c>
      <c r="I5" s="3">
        <v>0.02</v>
      </c>
      <c r="J5" s="9"/>
      <c r="X5" s="6">
        <f t="shared" ref="X5:X52" si="1">E4</f>
        <v>46231</v>
      </c>
      <c r="Y5" s="3">
        <f t="shared" ref="Y5:Y52" si="2">G4+H4-I4</f>
        <v>0.16</v>
      </c>
    </row>
    <row r="6" spans="1:26" x14ac:dyDescent="0.25">
      <c r="A6" s="5"/>
      <c r="B6" s="6"/>
      <c r="D6" s="10"/>
      <c r="E6" s="10"/>
      <c r="F6" s="17" t="str">
        <f t="shared" si="0"/>
        <v/>
      </c>
      <c r="G6" s="3"/>
      <c r="H6" s="3"/>
      <c r="I6" s="2"/>
      <c r="J6" s="9"/>
      <c r="X6" s="6">
        <f t="shared" si="1"/>
        <v>46262</v>
      </c>
      <c r="Y6" s="3">
        <f t="shared" si="2"/>
        <v>21.990000000000002</v>
      </c>
    </row>
    <row r="7" spans="1:26" x14ac:dyDescent="0.25">
      <c r="A7" s="5"/>
      <c r="B7" s="6"/>
      <c r="D7" s="10"/>
      <c r="E7" s="10"/>
      <c r="F7" s="17" t="str">
        <f t="shared" si="0"/>
        <v/>
      </c>
      <c r="G7" s="3"/>
      <c r="H7" s="2"/>
      <c r="I7" s="2"/>
      <c r="J7" s="14"/>
      <c r="X7" s="6">
        <f t="shared" si="1"/>
        <v>0</v>
      </c>
      <c r="Y7" s="3">
        <f t="shared" si="2"/>
        <v>0</v>
      </c>
    </row>
    <row r="8" spans="1:26" x14ac:dyDescent="0.25">
      <c r="A8" s="5" t="s">
        <v>16</v>
      </c>
      <c r="B8" s="6" t="str">
        <f>DATEDIF(B9,B11,"y") &amp; " m. " &amp; DATEDIF(B9,B11,"ym") &amp; " mėn. " &amp; DATEDIF(B9,B11,"md") &amp; " d."</f>
        <v>0 m. 3 mėn. 5 d.</v>
      </c>
      <c r="D8" s="10"/>
      <c r="E8" s="6"/>
      <c r="F8" s="17" t="str">
        <f t="shared" si="0"/>
        <v/>
      </c>
      <c r="G8" s="3"/>
      <c r="H8" s="3"/>
      <c r="I8" s="2"/>
      <c r="J8" s="9"/>
      <c r="X8" s="6">
        <f t="shared" si="1"/>
        <v>0</v>
      </c>
      <c r="Y8" s="3">
        <f t="shared" si="2"/>
        <v>0</v>
      </c>
    </row>
    <row r="9" spans="1:26" x14ac:dyDescent="0.25">
      <c r="A9" s="5" t="s">
        <v>8</v>
      </c>
      <c r="B9" s="6">
        <v>46165</v>
      </c>
      <c r="D9" s="10"/>
      <c r="E9" s="6"/>
      <c r="F9" s="17" t="str">
        <f t="shared" si="0"/>
        <v/>
      </c>
      <c r="G9" s="3"/>
      <c r="H9" s="3"/>
      <c r="I9" s="3"/>
      <c r="J9" s="14"/>
      <c r="X9" s="6">
        <f t="shared" si="1"/>
        <v>0</v>
      </c>
      <c r="Y9" s="3">
        <f t="shared" si="2"/>
        <v>0</v>
      </c>
    </row>
    <row r="10" spans="1:26" x14ac:dyDescent="0.25">
      <c r="A10" s="5" t="s">
        <v>24</v>
      </c>
      <c r="B10" s="6">
        <v>46164</v>
      </c>
      <c r="D10" s="10"/>
      <c r="E10" s="6"/>
      <c r="F10" s="17" t="str">
        <f t="shared" si="0"/>
        <v/>
      </c>
      <c r="G10" s="2"/>
      <c r="H10" s="2"/>
      <c r="I10" s="2"/>
      <c r="J10" s="14"/>
      <c r="X10" s="6">
        <f t="shared" si="1"/>
        <v>0</v>
      </c>
      <c r="Y10" s="3">
        <f t="shared" si="2"/>
        <v>0</v>
      </c>
    </row>
    <row r="11" spans="1:26" x14ac:dyDescent="0.25">
      <c r="A11" s="5" t="s">
        <v>44</v>
      </c>
      <c r="B11" s="6">
        <v>46262</v>
      </c>
      <c r="D11" s="10"/>
      <c r="E11" s="6"/>
      <c r="F11" s="17" t="str">
        <f t="shared" ref="F11:F52" si="3">IF(E11&gt;0,E11-D11,"")</f>
        <v/>
      </c>
      <c r="G11" s="2"/>
      <c r="H11" s="2"/>
      <c r="I11" s="2"/>
      <c r="J11" s="14"/>
      <c r="X11" s="6">
        <f t="shared" si="1"/>
        <v>0</v>
      </c>
      <c r="Y11" s="3">
        <f t="shared" si="2"/>
        <v>0</v>
      </c>
    </row>
    <row r="12" spans="1:26" x14ac:dyDescent="0.25">
      <c r="A12" s="5" t="s">
        <v>52</v>
      </c>
      <c r="B12" s="17" t="str">
        <f ca="1">IF(B16&lt;&gt;K3,(TODAY()-B11)*-1,"")</f>
        <v/>
      </c>
      <c r="D12" s="10"/>
      <c r="E12" s="6"/>
      <c r="F12" s="17" t="str">
        <f t="shared" si="3"/>
        <v/>
      </c>
      <c r="G12" s="2"/>
      <c r="H12" s="2"/>
      <c r="I12" s="2"/>
      <c r="J12" s="14"/>
      <c r="X12" s="6">
        <f t="shared" si="1"/>
        <v>0</v>
      </c>
      <c r="Y12" s="3">
        <f t="shared" si="2"/>
        <v>0</v>
      </c>
    </row>
    <row r="13" spans="1:26" x14ac:dyDescent="0.25">
      <c r="A13" s="5"/>
      <c r="B13" s="3"/>
      <c r="D13" s="10"/>
      <c r="E13" s="6"/>
      <c r="F13" s="17" t="str">
        <f t="shared" si="3"/>
        <v/>
      </c>
      <c r="G13" s="2"/>
      <c r="H13" s="2"/>
      <c r="I13" s="2"/>
      <c r="J13" s="14"/>
      <c r="N13" s="13"/>
      <c r="X13" s="6">
        <f t="shared" si="1"/>
        <v>0</v>
      </c>
      <c r="Y13" s="3">
        <f t="shared" si="2"/>
        <v>0</v>
      </c>
    </row>
    <row r="14" spans="1:26" x14ac:dyDescent="0.25">
      <c r="A14" s="1"/>
      <c r="B14" s="24"/>
      <c r="D14" s="10"/>
      <c r="E14" s="6"/>
      <c r="F14" s="17" t="str">
        <f t="shared" si="3"/>
        <v/>
      </c>
      <c r="G14" s="2"/>
      <c r="H14" s="2"/>
      <c r="I14" s="2"/>
      <c r="J14" s="14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>
        <v>0.1</v>
      </c>
      <c r="D15" s="10"/>
      <c r="E15" s="6"/>
      <c r="F15" s="17" t="str">
        <f t="shared" si="3"/>
        <v/>
      </c>
      <c r="G15" s="2"/>
      <c r="H15" s="2"/>
      <c r="I15" s="2"/>
      <c r="J15" s="14"/>
      <c r="K15" s="16"/>
      <c r="L15" s="16"/>
      <c r="M15" s="16"/>
      <c r="N15" s="16"/>
      <c r="O15" s="16"/>
      <c r="P15" s="16"/>
      <c r="Q15" s="16"/>
      <c r="X15" s="6">
        <f t="shared" si="1"/>
        <v>0</v>
      </c>
      <c r="Y15" s="3">
        <f t="shared" si="2"/>
        <v>0</v>
      </c>
    </row>
    <row r="16" spans="1:26" x14ac:dyDescent="0.25">
      <c r="A16" s="5" t="s">
        <v>53</v>
      </c>
      <c r="B16" s="3">
        <v>21.82</v>
      </c>
      <c r="D16" s="10"/>
      <c r="E16" s="6"/>
      <c r="F16" s="17" t="str">
        <f t="shared" si="3"/>
        <v/>
      </c>
      <c r="G16" s="2"/>
      <c r="H16" s="2"/>
      <c r="I16" s="2"/>
      <c r="J16" s="14"/>
      <c r="K16" s="9"/>
      <c r="L16" s="9"/>
      <c r="M16" s="9"/>
      <c r="N16" s="18"/>
      <c r="O16" s="19"/>
      <c r="P16" s="14"/>
      <c r="Q16" s="14"/>
      <c r="X16" s="6">
        <f t="shared" si="1"/>
        <v>0</v>
      </c>
      <c r="Y16" s="3">
        <f t="shared" si="2"/>
        <v>0</v>
      </c>
    </row>
    <row r="17" spans="4:25" x14ac:dyDescent="0.25">
      <c r="D17" s="10"/>
      <c r="E17" s="6"/>
      <c r="F17" s="17" t="str">
        <f t="shared" si="3"/>
        <v/>
      </c>
      <c r="G17" s="2"/>
      <c r="H17" s="2"/>
      <c r="I17" s="2"/>
      <c r="J17" s="14"/>
      <c r="X17" s="6">
        <f t="shared" si="1"/>
        <v>0</v>
      </c>
      <c r="Y17" s="3">
        <f t="shared" si="2"/>
        <v>0</v>
      </c>
    </row>
    <row r="18" spans="4:25" x14ac:dyDescent="0.25">
      <c r="D18" s="10"/>
      <c r="E18" s="6"/>
      <c r="F18" s="17" t="str">
        <f t="shared" si="3"/>
        <v/>
      </c>
      <c r="G18" s="2"/>
      <c r="H18" s="2"/>
      <c r="I18" s="2"/>
      <c r="J18" s="14"/>
      <c r="X18" s="6">
        <f t="shared" si="1"/>
        <v>0</v>
      </c>
      <c r="Y18" s="3">
        <f t="shared" si="2"/>
        <v>0</v>
      </c>
    </row>
    <row r="19" spans="4:25" x14ac:dyDescent="0.25">
      <c r="D19" s="10"/>
      <c r="E19" s="6"/>
      <c r="F19" s="17" t="str">
        <f t="shared" si="3"/>
        <v/>
      </c>
      <c r="G19" s="2"/>
      <c r="H19" s="2"/>
      <c r="I19" s="2"/>
      <c r="J19" s="14"/>
      <c r="X19" s="6">
        <f t="shared" si="1"/>
        <v>0</v>
      </c>
      <c r="Y19" s="3">
        <f t="shared" si="2"/>
        <v>0</v>
      </c>
    </row>
    <row r="20" spans="4:25" x14ac:dyDescent="0.25">
      <c r="D20" s="10"/>
      <c r="E20" s="6"/>
      <c r="F20" s="17" t="str">
        <f t="shared" si="3"/>
        <v/>
      </c>
      <c r="G20" s="2"/>
      <c r="H20" s="2"/>
      <c r="I20" s="2"/>
      <c r="J20" s="14"/>
      <c r="X20" s="6">
        <f t="shared" si="1"/>
        <v>0</v>
      </c>
      <c r="Y20" s="3">
        <f t="shared" si="2"/>
        <v>0</v>
      </c>
    </row>
    <row r="21" spans="4:25" x14ac:dyDescent="0.25">
      <c r="D21" s="10"/>
      <c r="E21" s="6"/>
      <c r="F21" s="17" t="str">
        <f t="shared" si="3"/>
        <v/>
      </c>
      <c r="G21" s="2"/>
      <c r="H21" s="2"/>
      <c r="I21" s="2"/>
      <c r="J21" s="14"/>
      <c r="X21" s="6">
        <f t="shared" si="1"/>
        <v>0</v>
      </c>
      <c r="Y21" s="3">
        <f t="shared" si="2"/>
        <v>0</v>
      </c>
    </row>
    <row r="22" spans="4:25" x14ac:dyDescent="0.25">
      <c r="D22" s="10"/>
      <c r="E22" s="6"/>
      <c r="F22" s="17" t="str">
        <f t="shared" si="3"/>
        <v/>
      </c>
      <c r="G22" s="2"/>
      <c r="H22" s="2"/>
      <c r="I22" s="2"/>
      <c r="J22" s="14"/>
      <c r="X22" s="6">
        <f t="shared" si="1"/>
        <v>0</v>
      </c>
      <c r="Y22" s="3">
        <f t="shared" si="2"/>
        <v>0</v>
      </c>
    </row>
    <row r="23" spans="4:25" x14ac:dyDescent="0.25">
      <c r="D23" s="10"/>
      <c r="E23" s="6"/>
      <c r="F23" s="17" t="str">
        <f t="shared" si="3"/>
        <v/>
      </c>
      <c r="G23" s="2"/>
      <c r="H23" s="2"/>
      <c r="I23" s="2"/>
      <c r="J23" s="14"/>
      <c r="X23" s="6">
        <f t="shared" si="1"/>
        <v>0</v>
      </c>
      <c r="Y23" s="3">
        <f t="shared" si="2"/>
        <v>0</v>
      </c>
    </row>
    <row r="24" spans="4:25" x14ac:dyDescent="0.25">
      <c r="D24" s="10"/>
      <c r="E24" s="6"/>
      <c r="F24" s="17" t="str">
        <f t="shared" si="3"/>
        <v/>
      </c>
      <c r="G24" s="2"/>
      <c r="H24" s="2"/>
      <c r="I24" s="2"/>
      <c r="J24" s="14"/>
      <c r="X24" s="6">
        <f t="shared" si="1"/>
        <v>0</v>
      </c>
      <c r="Y24" s="3">
        <f t="shared" si="2"/>
        <v>0</v>
      </c>
    </row>
    <row r="25" spans="4:25" x14ac:dyDescent="0.25">
      <c r="D25" s="10"/>
      <c r="E25" s="6"/>
      <c r="F25" s="17" t="str">
        <f t="shared" si="3"/>
        <v/>
      </c>
      <c r="G25" s="2"/>
      <c r="H25" s="2"/>
      <c r="I25" s="2"/>
      <c r="J25" s="14"/>
      <c r="X25" s="6">
        <f t="shared" si="1"/>
        <v>0</v>
      </c>
      <c r="Y25" s="3">
        <f t="shared" si="2"/>
        <v>0</v>
      </c>
    </row>
    <row r="26" spans="4:25" x14ac:dyDescent="0.25">
      <c r="D26" s="10"/>
      <c r="E26" s="6"/>
      <c r="F26" s="17" t="str">
        <f t="shared" si="3"/>
        <v/>
      </c>
      <c r="G26" s="2"/>
      <c r="H26" s="2"/>
      <c r="I26" s="2"/>
      <c r="J26" s="14"/>
      <c r="X26" s="6">
        <f t="shared" si="1"/>
        <v>0</v>
      </c>
      <c r="Y26" s="3">
        <f t="shared" si="2"/>
        <v>0</v>
      </c>
    </row>
    <row r="27" spans="4:25" x14ac:dyDescent="0.25">
      <c r="D27" s="10"/>
      <c r="E27" s="6"/>
      <c r="F27" s="17" t="str">
        <f t="shared" si="3"/>
        <v/>
      </c>
      <c r="G27" s="2"/>
      <c r="H27" s="2"/>
      <c r="I27" s="2"/>
      <c r="J27" s="14"/>
      <c r="X27" s="6">
        <f t="shared" si="1"/>
        <v>0</v>
      </c>
      <c r="Y27" s="3">
        <f t="shared" si="2"/>
        <v>0</v>
      </c>
    </row>
    <row r="28" spans="4:25" x14ac:dyDescent="0.25">
      <c r="D28" s="10"/>
      <c r="E28" s="6"/>
      <c r="F28" s="17" t="str">
        <f t="shared" si="3"/>
        <v/>
      </c>
      <c r="G28" s="2"/>
      <c r="H28" s="2"/>
      <c r="I28" s="2"/>
      <c r="J28" s="14"/>
      <c r="X28" s="6">
        <f t="shared" si="1"/>
        <v>0</v>
      </c>
      <c r="Y28" s="3">
        <f t="shared" si="2"/>
        <v>0</v>
      </c>
    </row>
    <row r="29" spans="4:25" x14ac:dyDescent="0.25">
      <c r="D29" s="10"/>
      <c r="E29" s="6"/>
      <c r="F29" s="17" t="str">
        <f t="shared" si="3"/>
        <v/>
      </c>
      <c r="G29" s="2"/>
      <c r="H29" s="2"/>
      <c r="I29" s="2"/>
      <c r="J29" s="14"/>
      <c r="X29" s="6">
        <f t="shared" si="1"/>
        <v>0</v>
      </c>
      <c r="Y29" s="3">
        <f t="shared" si="2"/>
        <v>0</v>
      </c>
    </row>
    <row r="30" spans="4:25" x14ac:dyDescent="0.25">
      <c r="D30" s="10"/>
      <c r="E30" s="6"/>
      <c r="F30" s="17" t="str">
        <f t="shared" si="3"/>
        <v/>
      </c>
      <c r="G30" s="2"/>
      <c r="H30" s="2"/>
      <c r="I30" s="2"/>
      <c r="J30" s="14"/>
      <c r="X30" s="6">
        <f t="shared" si="1"/>
        <v>0</v>
      </c>
      <c r="Y30" s="3">
        <f t="shared" si="2"/>
        <v>0</v>
      </c>
    </row>
    <row r="31" spans="4:25" x14ac:dyDescent="0.25">
      <c r="D31" s="10"/>
      <c r="E31" s="6"/>
      <c r="F31" s="17" t="str">
        <f t="shared" si="3"/>
        <v/>
      </c>
      <c r="G31" s="2"/>
      <c r="H31" s="2"/>
      <c r="I31" s="2"/>
      <c r="J31" s="14"/>
      <c r="X31" s="6">
        <f t="shared" si="1"/>
        <v>0</v>
      </c>
      <c r="Y31" s="3">
        <f t="shared" si="2"/>
        <v>0</v>
      </c>
    </row>
    <row r="32" spans="4:25" x14ac:dyDescent="0.25">
      <c r="D32" s="10"/>
      <c r="E32" s="6"/>
      <c r="F32" s="17" t="str">
        <f t="shared" si="3"/>
        <v/>
      </c>
      <c r="G32" s="2"/>
      <c r="H32" s="2"/>
      <c r="I32" s="2"/>
      <c r="J32" s="14"/>
      <c r="X32" s="6">
        <f t="shared" si="1"/>
        <v>0</v>
      </c>
      <c r="Y32" s="3">
        <f t="shared" si="2"/>
        <v>0</v>
      </c>
    </row>
    <row r="33" spans="4:25" x14ac:dyDescent="0.25">
      <c r="D33" s="10"/>
      <c r="E33" s="6"/>
      <c r="F33" s="17" t="str">
        <f t="shared" si="3"/>
        <v/>
      </c>
      <c r="G33" s="2"/>
      <c r="H33" s="2"/>
      <c r="I33" s="2"/>
      <c r="J33" s="14"/>
      <c r="X33" s="6">
        <f t="shared" si="1"/>
        <v>0</v>
      </c>
      <c r="Y33" s="3">
        <f t="shared" si="2"/>
        <v>0</v>
      </c>
    </row>
    <row r="34" spans="4:25" x14ac:dyDescent="0.25">
      <c r="D34" s="10"/>
      <c r="E34" s="6"/>
      <c r="F34" s="17" t="str">
        <f t="shared" si="3"/>
        <v/>
      </c>
      <c r="G34" s="2"/>
      <c r="H34" s="2"/>
      <c r="I34" s="2"/>
      <c r="J34" s="14"/>
      <c r="X34" s="6">
        <f t="shared" si="1"/>
        <v>0</v>
      </c>
      <c r="Y34" s="3">
        <f t="shared" si="2"/>
        <v>0</v>
      </c>
    </row>
    <row r="35" spans="4:25" x14ac:dyDescent="0.25">
      <c r="D35" s="10"/>
      <c r="E35" s="6"/>
      <c r="F35" s="17" t="str">
        <f t="shared" si="3"/>
        <v/>
      </c>
      <c r="G35" s="2"/>
      <c r="H35" s="2"/>
      <c r="I35" s="2"/>
      <c r="J35" s="14"/>
      <c r="X35" s="6">
        <f t="shared" si="1"/>
        <v>0</v>
      </c>
      <c r="Y35" s="3">
        <f t="shared" si="2"/>
        <v>0</v>
      </c>
    </row>
    <row r="36" spans="4:25" x14ac:dyDescent="0.25">
      <c r="D36" s="10"/>
      <c r="E36" s="6"/>
      <c r="F36" s="17" t="str">
        <f t="shared" si="3"/>
        <v/>
      </c>
      <c r="G36" s="2"/>
      <c r="H36" s="2"/>
      <c r="I36" s="2"/>
      <c r="J36" s="14"/>
      <c r="X36" s="6">
        <f t="shared" si="1"/>
        <v>0</v>
      </c>
      <c r="Y36" s="3">
        <f t="shared" si="2"/>
        <v>0</v>
      </c>
    </row>
    <row r="37" spans="4:25" x14ac:dyDescent="0.25">
      <c r="D37" s="10"/>
      <c r="E37" s="6"/>
      <c r="F37" s="17" t="str">
        <f t="shared" si="3"/>
        <v/>
      </c>
      <c r="G37" s="2"/>
      <c r="H37" s="2"/>
      <c r="I37" s="2"/>
      <c r="J37" s="14"/>
      <c r="X37" s="6">
        <f t="shared" si="1"/>
        <v>0</v>
      </c>
      <c r="Y37" s="3">
        <f t="shared" si="2"/>
        <v>0</v>
      </c>
    </row>
    <row r="38" spans="4:25" x14ac:dyDescent="0.25">
      <c r="D38" s="10"/>
      <c r="E38" s="6"/>
      <c r="F38" s="17" t="str">
        <f t="shared" si="3"/>
        <v/>
      </c>
      <c r="G38" s="2"/>
      <c r="H38" s="2"/>
      <c r="I38" s="2"/>
      <c r="J38" s="14"/>
      <c r="X38" s="6">
        <f t="shared" si="1"/>
        <v>0</v>
      </c>
      <c r="Y38" s="3">
        <f t="shared" si="2"/>
        <v>0</v>
      </c>
    </row>
    <row r="39" spans="4:25" x14ac:dyDescent="0.25">
      <c r="D39" s="10"/>
      <c r="E39" s="6"/>
      <c r="F39" s="17" t="str">
        <f t="shared" si="3"/>
        <v/>
      </c>
      <c r="G39" s="2"/>
      <c r="H39" s="2"/>
      <c r="I39" s="2"/>
      <c r="J39" s="14"/>
      <c r="X39" s="6">
        <f t="shared" si="1"/>
        <v>0</v>
      </c>
      <c r="Y39" s="3">
        <f t="shared" si="2"/>
        <v>0</v>
      </c>
    </row>
    <row r="40" spans="4:25" x14ac:dyDescent="0.25">
      <c r="D40" s="10"/>
      <c r="E40" s="6"/>
      <c r="F40" s="17" t="str">
        <f t="shared" si="3"/>
        <v/>
      </c>
      <c r="G40" s="2"/>
      <c r="H40" s="2"/>
      <c r="I40" s="2"/>
      <c r="J40" s="14"/>
      <c r="X40" s="6">
        <f t="shared" si="1"/>
        <v>0</v>
      </c>
      <c r="Y40" s="3">
        <f t="shared" si="2"/>
        <v>0</v>
      </c>
    </row>
    <row r="41" spans="4:25" x14ac:dyDescent="0.25">
      <c r="D41" s="10"/>
      <c r="E41" s="6"/>
      <c r="F41" s="17" t="str">
        <f t="shared" si="3"/>
        <v/>
      </c>
      <c r="G41" s="2"/>
      <c r="H41" s="2"/>
      <c r="I41" s="2"/>
      <c r="J41" s="14"/>
      <c r="X41" s="6">
        <f t="shared" si="1"/>
        <v>0</v>
      </c>
      <c r="Y41" s="3">
        <f t="shared" si="2"/>
        <v>0</v>
      </c>
    </row>
    <row r="42" spans="4:25" x14ac:dyDescent="0.25">
      <c r="D42" s="10"/>
      <c r="E42" s="6"/>
      <c r="F42" s="17" t="str">
        <f t="shared" si="3"/>
        <v/>
      </c>
      <c r="G42" s="2"/>
      <c r="H42" s="2"/>
      <c r="I42" s="2"/>
      <c r="J42" s="14"/>
      <c r="X42" s="6">
        <f t="shared" si="1"/>
        <v>0</v>
      </c>
      <c r="Y42" s="3">
        <f t="shared" si="2"/>
        <v>0</v>
      </c>
    </row>
    <row r="43" spans="4:25" x14ac:dyDescent="0.25">
      <c r="D43" s="10"/>
      <c r="E43" s="6"/>
      <c r="F43" s="17" t="str">
        <f t="shared" si="3"/>
        <v/>
      </c>
      <c r="G43" s="2"/>
      <c r="H43" s="2"/>
      <c r="I43" s="2"/>
      <c r="J43" s="14"/>
      <c r="X43" s="6">
        <f t="shared" si="1"/>
        <v>0</v>
      </c>
      <c r="Y43" s="3">
        <f t="shared" si="2"/>
        <v>0</v>
      </c>
    </row>
    <row r="44" spans="4:25" x14ac:dyDescent="0.25">
      <c r="D44" s="10"/>
      <c r="E44" s="6"/>
      <c r="F44" s="17" t="str">
        <f t="shared" si="3"/>
        <v/>
      </c>
      <c r="G44" s="2"/>
      <c r="H44" s="2"/>
      <c r="I44" s="2"/>
      <c r="J44" s="14"/>
      <c r="X44" s="6">
        <f t="shared" si="1"/>
        <v>0</v>
      </c>
      <c r="Y44" s="3">
        <f t="shared" si="2"/>
        <v>0</v>
      </c>
    </row>
    <row r="45" spans="4:25" x14ac:dyDescent="0.25">
      <c r="D45" s="10"/>
      <c r="E45" s="6"/>
      <c r="F45" s="17" t="str">
        <f t="shared" si="3"/>
        <v/>
      </c>
      <c r="G45" s="2"/>
      <c r="H45" s="2"/>
      <c r="I45" s="2"/>
      <c r="J45" s="14"/>
      <c r="X45" s="6">
        <f t="shared" si="1"/>
        <v>0</v>
      </c>
      <c r="Y45" s="3">
        <f t="shared" si="2"/>
        <v>0</v>
      </c>
    </row>
    <row r="46" spans="4:25" x14ac:dyDescent="0.25">
      <c r="D46" s="10"/>
      <c r="E46" s="6"/>
      <c r="F46" s="17" t="str">
        <f t="shared" si="3"/>
        <v/>
      </c>
      <c r="G46" s="2"/>
      <c r="H46" s="2"/>
      <c r="I46" s="2"/>
      <c r="J46" s="14"/>
      <c r="X46" s="6">
        <f t="shared" si="1"/>
        <v>0</v>
      </c>
      <c r="Y46" s="3">
        <f t="shared" si="2"/>
        <v>0</v>
      </c>
    </row>
    <row r="47" spans="4:25" x14ac:dyDescent="0.25">
      <c r="D47" s="10"/>
      <c r="E47" s="6"/>
      <c r="F47" s="17" t="str">
        <f t="shared" si="3"/>
        <v/>
      </c>
      <c r="G47" s="2"/>
      <c r="H47" s="2"/>
      <c r="I47" s="2"/>
      <c r="J47" s="14"/>
      <c r="X47" s="6">
        <f t="shared" si="1"/>
        <v>0</v>
      </c>
      <c r="Y47" s="3">
        <f t="shared" si="2"/>
        <v>0</v>
      </c>
    </row>
    <row r="48" spans="4:25" x14ac:dyDescent="0.25">
      <c r="D48" s="10"/>
      <c r="E48" s="6"/>
      <c r="F48" s="17" t="str">
        <f t="shared" si="3"/>
        <v/>
      </c>
      <c r="G48" s="2"/>
      <c r="H48" s="2"/>
      <c r="I48" s="2"/>
      <c r="J48" s="14"/>
      <c r="X48" s="6">
        <f t="shared" si="1"/>
        <v>0</v>
      </c>
      <c r="Y48" s="3">
        <f t="shared" si="2"/>
        <v>0</v>
      </c>
    </row>
    <row r="49" spans="4:25" x14ac:dyDescent="0.25">
      <c r="D49" s="10"/>
      <c r="E49" s="6"/>
      <c r="F49" s="17" t="str">
        <f t="shared" si="3"/>
        <v/>
      </c>
      <c r="G49" s="2"/>
      <c r="H49" s="2"/>
      <c r="I49" s="2"/>
      <c r="J49" s="14"/>
      <c r="X49" s="6">
        <f t="shared" si="1"/>
        <v>0</v>
      </c>
      <c r="Y49" s="3">
        <f t="shared" si="2"/>
        <v>0</v>
      </c>
    </row>
    <row r="50" spans="4:25" x14ac:dyDescent="0.25">
      <c r="D50" s="10"/>
      <c r="E50" s="6"/>
      <c r="F50" s="17" t="str">
        <f t="shared" si="3"/>
        <v/>
      </c>
      <c r="G50" s="2"/>
      <c r="H50" s="2"/>
      <c r="I50" s="2"/>
      <c r="J50" s="14"/>
      <c r="X50" s="6">
        <f t="shared" si="1"/>
        <v>0</v>
      </c>
      <c r="Y50" s="3">
        <f t="shared" si="2"/>
        <v>0</v>
      </c>
    </row>
    <row r="51" spans="4:25" x14ac:dyDescent="0.25">
      <c r="D51" s="10"/>
      <c r="E51" s="6"/>
      <c r="F51" s="17" t="str">
        <f t="shared" si="3"/>
        <v/>
      </c>
      <c r="G51" s="2"/>
      <c r="H51" s="2"/>
      <c r="I51" s="2"/>
      <c r="J51" s="14"/>
      <c r="X51" s="6">
        <f t="shared" si="1"/>
        <v>0</v>
      </c>
      <c r="Y51" s="3">
        <f t="shared" si="2"/>
        <v>0</v>
      </c>
    </row>
    <row r="52" spans="4:25" x14ac:dyDescent="0.25">
      <c r="D52" s="10"/>
      <c r="E52" s="6"/>
      <c r="F52" s="17" t="str">
        <f t="shared" si="3"/>
        <v/>
      </c>
      <c r="G52" s="2"/>
      <c r="H52" s="2"/>
      <c r="I52" s="2"/>
      <c r="J52" s="9"/>
      <c r="X52" s="6">
        <f t="shared" si="1"/>
        <v>0</v>
      </c>
      <c r="Y52" s="3">
        <f t="shared" si="2"/>
        <v>0</v>
      </c>
    </row>
    <row r="53" spans="4:25" x14ac:dyDescent="0.25">
      <c r="D53" s="2" t="s">
        <v>14</v>
      </c>
      <c r="E53" s="25"/>
      <c r="F53" s="3"/>
      <c r="G53" s="3">
        <f>SUM(G3:G52)</f>
        <v>21.82</v>
      </c>
      <c r="H53" s="3">
        <f t="shared" ref="H53:I53" si="4">SUM(H3:H52)</f>
        <v>0.57000000000000006</v>
      </c>
      <c r="I53" s="3">
        <f t="shared" si="4"/>
        <v>0.06</v>
      </c>
    </row>
  </sheetData>
  <mergeCells count="4">
    <mergeCell ref="D1:F1"/>
    <mergeCell ref="G1:I1"/>
    <mergeCell ref="K1:Q1"/>
    <mergeCell ref="X1:Z1"/>
  </mergeCells>
  <conditionalFormatting sqref="A1:B1">
    <cfRule type="expression" dxfId="39" priority="1">
      <formula>$Z$3="+"</formula>
    </cfRule>
    <cfRule type="expression" dxfId="38" priority="2">
      <formula>$B$16=$K$3</formula>
    </cfRule>
  </conditionalFormatting>
  <conditionalFormatting sqref="P3">
    <cfRule type="expression" dxfId="37" priority="3">
      <formula>$Z$3="+"</formula>
    </cfRule>
  </conditionalFormatting>
  <conditionalFormatting sqref="Z3">
    <cfRule type="expression" dxfId="36" priority="4">
      <formula>$Z$3="+"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679F3-0213-4B39-8DBC-0E51B0F9A058}">
  <dimension ref="A1:Z53"/>
  <sheetViews>
    <sheetView workbookViewId="0">
      <selection activeCell="I8" sqref="I8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4" customWidth="1"/>
    <col min="25" max="25" width="10.7109375" style="14" customWidth="1"/>
    <col min="26" max="26" width="10.7109375" customWidth="1"/>
  </cols>
  <sheetData>
    <row r="1" spans="1:26" x14ac:dyDescent="0.25">
      <c r="A1" s="5" t="s">
        <v>18</v>
      </c>
      <c r="B1" s="6" t="s">
        <v>47</v>
      </c>
      <c r="D1" s="41" t="s">
        <v>2</v>
      </c>
      <c r="E1" s="42"/>
      <c r="F1" s="43"/>
      <c r="G1" s="41" t="s">
        <v>0</v>
      </c>
      <c r="H1" s="42"/>
      <c r="I1" s="43"/>
      <c r="J1" s="16"/>
      <c r="K1" s="41" t="s">
        <v>41</v>
      </c>
      <c r="L1" s="42"/>
      <c r="M1" s="42"/>
      <c r="N1" s="42"/>
      <c r="O1" s="42"/>
      <c r="P1" s="42"/>
      <c r="Q1" s="43"/>
      <c r="X1" s="41"/>
      <c r="Y1" s="42"/>
      <c r="Z1" s="43"/>
    </row>
    <row r="2" spans="1:26" x14ac:dyDescent="0.25">
      <c r="A2" s="5" t="s">
        <v>15</v>
      </c>
      <c r="B2" s="6" t="s">
        <v>19</v>
      </c>
      <c r="D2" s="11" t="s">
        <v>45</v>
      </c>
      <c r="E2" s="11" t="s">
        <v>46</v>
      </c>
      <c r="F2" s="23" t="s">
        <v>51</v>
      </c>
      <c r="G2" s="11" t="s">
        <v>12</v>
      </c>
      <c r="H2" s="11" t="s">
        <v>13</v>
      </c>
      <c r="I2" s="11" t="s">
        <v>43</v>
      </c>
      <c r="J2" s="9"/>
      <c r="K2" s="11" t="s">
        <v>0</v>
      </c>
      <c r="L2" s="11" t="s">
        <v>1</v>
      </c>
      <c r="M2" s="11" t="s">
        <v>39</v>
      </c>
      <c r="N2" s="11" t="s">
        <v>40</v>
      </c>
      <c r="O2" s="11" t="s">
        <v>2</v>
      </c>
      <c r="P2" s="11" t="s">
        <v>49</v>
      </c>
      <c r="Q2" s="11" t="s">
        <v>51</v>
      </c>
      <c r="X2" s="11" t="s">
        <v>2</v>
      </c>
      <c r="Y2" s="11" t="s">
        <v>42</v>
      </c>
      <c r="Z2" s="11" t="s">
        <v>49</v>
      </c>
    </row>
    <row r="3" spans="1:26" x14ac:dyDescent="0.25">
      <c r="A3" s="5" t="s">
        <v>20</v>
      </c>
      <c r="B3" s="6" t="s">
        <v>35</v>
      </c>
      <c r="D3" s="10">
        <v>46170</v>
      </c>
      <c r="E3" s="10">
        <v>46170</v>
      </c>
      <c r="F3" s="17">
        <f>IF(E3&gt;0,E3-D3,"")</f>
        <v>0</v>
      </c>
      <c r="G3" s="3">
        <v>0</v>
      </c>
      <c r="H3" s="3">
        <v>0.23</v>
      </c>
      <c r="I3" s="3">
        <v>0.02</v>
      </c>
      <c r="J3" s="14"/>
      <c r="K3" s="3">
        <f>G53</f>
        <v>0</v>
      </c>
      <c r="L3" s="3">
        <f>H53</f>
        <v>1.1000000000000001</v>
      </c>
      <c r="M3" s="3">
        <f>I53</f>
        <v>0.1</v>
      </c>
      <c r="N3" s="7" t="str">
        <f>IF(B16=K3,XIRR(Y3:Y52,X3:X52),"")</f>
        <v/>
      </c>
      <c r="O3" s="6" t="str">
        <f>IF(B16=K3,MAX(E:E),"")</f>
        <v/>
      </c>
      <c r="P3" s="2" t="str">
        <f ca="1">IF(Z3="+",TODAY()-B11,"")</f>
        <v/>
      </c>
      <c r="Q3" s="2" t="str">
        <f>IF(B16=K3,MAX(E:E)-B11,"")</f>
        <v/>
      </c>
      <c r="T3" s="13"/>
      <c r="X3" s="6">
        <f>B9</f>
        <v>46133</v>
      </c>
      <c r="Y3" s="3">
        <f>B16*-1</f>
        <v>-21.56</v>
      </c>
      <c r="Z3" s="2" t="str">
        <f ca="1">IF(AND(TODAY()&gt;B11, K3&lt;&gt;B16), "+", "")</f>
        <v/>
      </c>
    </row>
    <row r="4" spans="1:26" x14ac:dyDescent="0.25">
      <c r="A4" s="5" t="s">
        <v>22</v>
      </c>
      <c r="B4" s="6" t="s">
        <v>23</v>
      </c>
      <c r="D4" s="10">
        <v>46201</v>
      </c>
      <c r="E4" s="10">
        <v>46201</v>
      </c>
      <c r="F4" s="17">
        <f>IF(E4&gt;0,E4-D4,"")</f>
        <v>0</v>
      </c>
      <c r="G4" s="3">
        <v>0</v>
      </c>
      <c r="H4" s="2">
        <v>0.22</v>
      </c>
      <c r="I4" s="2">
        <v>0.02</v>
      </c>
      <c r="J4" s="9"/>
      <c r="X4" s="6">
        <f>E3</f>
        <v>46170</v>
      </c>
      <c r="Y4" s="3">
        <f>G3+H3-I3</f>
        <v>0.21000000000000002</v>
      </c>
    </row>
    <row r="5" spans="1:26" x14ac:dyDescent="0.25">
      <c r="A5" s="5"/>
      <c r="B5" s="6"/>
      <c r="D5" s="10">
        <v>46231</v>
      </c>
      <c r="E5" s="10">
        <v>46231</v>
      </c>
      <c r="F5" s="17">
        <f t="shared" ref="F5:F52" si="0">IF(E5&gt;0,E5-D5,"")</f>
        <v>0</v>
      </c>
      <c r="G5" s="3">
        <v>0</v>
      </c>
      <c r="H5" s="3">
        <v>0.21</v>
      </c>
      <c r="I5" s="3">
        <v>0.02</v>
      </c>
      <c r="J5" s="9"/>
      <c r="X5" s="6">
        <f t="shared" ref="X5:X52" si="1">E4</f>
        <v>46201</v>
      </c>
      <c r="Y5" s="3">
        <f t="shared" ref="Y5:Y52" si="2">G4+H4-I4</f>
        <v>0.2</v>
      </c>
    </row>
    <row r="6" spans="1:26" x14ac:dyDescent="0.25">
      <c r="A6" s="5"/>
      <c r="B6" s="6"/>
      <c r="D6" s="10">
        <v>46262</v>
      </c>
      <c r="E6" s="10">
        <v>46262</v>
      </c>
      <c r="F6" s="17">
        <f t="shared" si="0"/>
        <v>0</v>
      </c>
      <c r="G6" s="3">
        <v>0</v>
      </c>
      <c r="H6" s="3">
        <v>0.22</v>
      </c>
      <c r="I6" s="2">
        <v>0.02</v>
      </c>
      <c r="J6" s="9"/>
      <c r="X6" s="6">
        <f t="shared" si="1"/>
        <v>46231</v>
      </c>
      <c r="Y6" s="3">
        <f t="shared" si="2"/>
        <v>0.19</v>
      </c>
    </row>
    <row r="7" spans="1:26" x14ac:dyDescent="0.25">
      <c r="A7" s="5"/>
      <c r="B7" s="6"/>
      <c r="D7" s="10">
        <v>46293</v>
      </c>
      <c r="E7" s="10">
        <v>46293</v>
      </c>
      <c r="F7" s="17">
        <f t="shared" si="0"/>
        <v>0</v>
      </c>
      <c r="G7" s="3">
        <v>0</v>
      </c>
      <c r="H7" s="2">
        <v>0.22</v>
      </c>
      <c r="I7" s="2">
        <v>0.02</v>
      </c>
      <c r="J7" s="14"/>
      <c r="X7" s="6">
        <f t="shared" si="1"/>
        <v>46262</v>
      </c>
      <c r="Y7" s="3">
        <f t="shared" si="2"/>
        <v>0.2</v>
      </c>
    </row>
    <row r="8" spans="1:26" x14ac:dyDescent="0.25">
      <c r="A8" s="5" t="s">
        <v>16</v>
      </c>
      <c r="B8" s="6" t="str">
        <f>DATEDIF(B9,B11,"y") &amp; " m. " &amp; DATEDIF(B9,B11,"ym") &amp; " mėn. " &amp; DATEDIF(B9,B11,"md") &amp; " d."</f>
        <v>1 m. 0 mėn. 7 d.</v>
      </c>
      <c r="D8" s="10">
        <v>46323</v>
      </c>
      <c r="E8" s="6"/>
      <c r="F8" s="17" t="str">
        <f t="shared" si="0"/>
        <v/>
      </c>
      <c r="G8" s="3"/>
      <c r="H8" s="3"/>
      <c r="I8" s="2"/>
      <c r="J8" s="9"/>
      <c r="X8" s="6">
        <f t="shared" si="1"/>
        <v>46293</v>
      </c>
      <c r="Y8" s="3">
        <f t="shared" si="2"/>
        <v>0.2</v>
      </c>
    </row>
    <row r="9" spans="1:26" x14ac:dyDescent="0.25">
      <c r="A9" s="5" t="s">
        <v>8</v>
      </c>
      <c r="B9" s="6">
        <v>46133</v>
      </c>
      <c r="D9" s="10">
        <v>46354</v>
      </c>
      <c r="E9" s="6"/>
      <c r="F9" s="17" t="str">
        <f t="shared" si="0"/>
        <v/>
      </c>
      <c r="G9" s="3"/>
      <c r="H9" s="3"/>
      <c r="I9" s="3"/>
      <c r="J9" s="14"/>
      <c r="X9" s="6">
        <f t="shared" si="1"/>
        <v>0</v>
      </c>
      <c r="Y9" s="3">
        <f t="shared" si="2"/>
        <v>0</v>
      </c>
    </row>
    <row r="10" spans="1:26" x14ac:dyDescent="0.25">
      <c r="A10" s="5" t="s">
        <v>24</v>
      </c>
      <c r="B10" s="6">
        <v>46137</v>
      </c>
      <c r="D10" s="10">
        <v>46384</v>
      </c>
      <c r="E10" s="6"/>
      <c r="F10" s="17" t="str">
        <f t="shared" si="0"/>
        <v/>
      </c>
      <c r="G10" s="2"/>
      <c r="H10" s="2"/>
      <c r="I10" s="2"/>
      <c r="J10" s="14"/>
      <c r="X10" s="6">
        <f t="shared" si="1"/>
        <v>0</v>
      </c>
      <c r="Y10" s="3">
        <f t="shared" si="2"/>
        <v>0</v>
      </c>
    </row>
    <row r="11" spans="1:26" x14ac:dyDescent="0.25">
      <c r="A11" s="5" t="s">
        <v>44</v>
      </c>
      <c r="B11" s="6">
        <v>46505</v>
      </c>
      <c r="D11" s="10">
        <v>46415</v>
      </c>
      <c r="E11" s="6"/>
      <c r="F11" s="17" t="str">
        <f t="shared" si="0"/>
        <v/>
      </c>
      <c r="G11" s="2"/>
      <c r="H11" s="2"/>
      <c r="I11" s="2"/>
      <c r="J11" s="14"/>
      <c r="X11" s="6">
        <f t="shared" si="1"/>
        <v>0</v>
      </c>
      <c r="Y11" s="3">
        <f t="shared" si="2"/>
        <v>0</v>
      </c>
    </row>
    <row r="12" spans="1:26" x14ac:dyDescent="0.25">
      <c r="A12" s="5" t="s">
        <v>52</v>
      </c>
      <c r="B12" s="17">
        <f ca="1">IF(B16&lt;&gt;K3,(TODAY()-B11)*-1,"")</f>
        <v>210</v>
      </c>
      <c r="D12" s="10">
        <v>46446</v>
      </c>
      <c r="E12" s="6"/>
      <c r="F12" s="17" t="str">
        <f t="shared" si="0"/>
        <v/>
      </c>
      <c r="G12" s="2"/>
      <c r="H12" s="2"/>
      <c r="I12" s="2"/>
      <c r="J12" s="14"/>
      <c r="X12" s="6">
        <f t="shared" si="1"/>
        <v>0</v>
      </c>
      <c r="Y12" s="3">
        <f t="shared" si="2"/>
        <v>0</v>
      </c>
    </row>
    <row r="13" spans="1:26" x14ac:dyDescent="0.25">
      <c r="A13" s="5"/>
      <c r="B13" s="3"/>
      <c r="D13" s="10">
        <v>46474</v>
      </c>
      <c r="E13" s="6"/>
      <c r="F13" s="17" t="str">
        <f t="shared" si="0"/>
        <v/>
      </c>
      <c r="G13" s="2"/>
      <c r="H13" s="2"/>
      <c r="I13" s="2"/>
      <c r="J13" s="14"/>
      <c r="N13" s="13"/>
      <c r="X13" s="6">
        <f t="shared" si="1"/>
        <v>0</v>
      </c>
      <c r="Y13" s="3">
        <f t="shared" si="2"/>
        <v>0</v>
      </c>
    </row>
    <row r="14" spans="1:26" x14ac:dyDescent="0.25">
      <c r="A14" s="1"/>
      <c r="B14" s="24"/>
      <c r="D14" s="10">
        <v>46505</v>
      </c>
      <c r="E14" s="6"/>
      <c r="F14" s="17" t="str">
        <f t="shared" si="0"/>
        <v/>
      </c>
      <c r="G14" s="2"/>
      <c r="H14" s="2"/>
      <c r="I14" s="2"/>
      <c r="J14" s="14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>
        <v>0.12</v>
      </c>
      <c r="D15" s="10"/>
      <c r="E15" s="6"/>
      <c r="F15" s="17" t="str">
        <f t="shared" si="0"/>
        <v/>
      </c>
      <c r="G15" s="2"/>
      <c r="H15" s="2"/>
      <c r="I15" s="2"/>
      <c r="J15" s="14"/>
      <c r="K15" s="16"/>
      <c r="L15" s="16"/>
      <c r="M15" s="16"/>
      <c r="N15" s="16"/>
      <c r="O15" s="16"/>
      <c r="P15" s="16"/>
      <c r="Q15" s="16"/>
      <c r="X15" s="6">
        <f t="shared" si="1"/>
        <v>0</v>
      </c>
      <c r="Y15" s="3">
        <f t="shared" si="2"/>
        <v>0</v>
      </c>
    </row>
    <row r="16" spans="1:26" x14ac:dyDescent="0.25">
      <c r="A16" s="5" t="s">
        <v>53</v>
      </c>
      <c r="B16" s="3">
        <v>21.56</v>
      </c>
      <c r="D16" s="10"/>
      <c r="E16" s="6"/>
      <c r="F16" s="17" t="str">
        <f t="shared" si="0"/>
        <v/>
      </c>
      <c r="G16" s="2"/>
      <c r="H16" s="2"/>
      <c r="I16" s="2"/>
      <c r="J16" s="14"/>
      <c r="K16" s="9"/>
      <c r="L16" s="9"/>
      <c r="M16" s="9"/>
      <c r="N16" s="18"/>
      <c r="O16" s="19"/>
      <c r="P16" s="14"/>
      <c r="Q16" s="14"/>
      <c r="X16" s="6">
        <f t="shared" si="1"/>
        <v>0</v>
      </c>
      <c r="Y16" s="3">
        <f t="shared" si="2"/>
        <v>0</v>
      </c>
    </row>
    <row r="17" spans="4:25" x14ac:dyDescent="0.25">
      <c r="D17" s="10"/>
      <c r="E17" s="6"/>
      <c r="F17" s="17" t="str">
        <f t="shared" si="0"/>
        <v/>
      </c>
      <c r="G17" s="2"/>
      <c r="H17" s="2"/>
      <c r="I17" s="2"/>
      <c r="J17" s="14"/>
      <c r="X17" s="6">
        <f t="shared" si="1"/>
        <v>0</v>
      </c>
      <c r="Y17" s="3">
        <f t="shared" si="2"/>
        <v>0</v>
      </c>
    </row>
    <row r="18" spans="4:25" x14ac:dyDescent="0.25">
      <c r="D18" s="10"/>
      <c r="E18" s="6"/>
      <c r="F18" s="17" t="str">
        <f t="shared" si="0"/>
        <v/>
      </c>
      <c r="G18" s="2"/>
      <c r="H18" s="2"/>
      <c r="I18" s="2"/>
      <c r="J18" s="14"/>
      <c r="X18" s="6">
        <f t="shared" si="1"/>
        <v>0</v>
      </c>
      <c r="Y18" s="3">
        <f t="shared" si="2"/>
        <v>0</v>
      </c>
    </row>
    <row r="19" spans="4:25" x14ac:dyDescent="0.25">
      <c r="D19" s="10"/>
      <c r="E19" s="6"/>
      <c r="F19" s="17" t="str">
        <f t="shared" si="0"/>
        <v/>
      </c>
      <c r="G19" s="2"/>
      <c r="H19" s="2"/>
      <c r="I19" s="2"/>
      <c r="J19" s="14"/>
      <c r="X19" s="6">
        <f t="shared" si="1"/>
        <v>0</v>
      </c>
      <c r="Y19" s="3">
        <f t="shared" si="2"/>
        <v>0</v>
      </c>
    </row>
    <row r="20" spans="4:25" x14ac:dyDescent="0.25">
      <c r="D20" s="10"/>
      <c r="E20" s="6"/>
      <c r="F20" s="17" t="str">
        <f t="shared" si="0"/>
        <v/>
      </c>
      <c r="G20" s="2"/>
      <c r="H20" s="2"/>
      <c r="I20" s="2"/>
      <c r="J20" s="14"/>
      <c r="X20" s="6">
        <f t="shared" si="1"/>
        <v>0</v>
      </c>
      <c r="Y20" s="3">
        <f t="shared" si="2"/>
        <v>0</v>
      </c>
    </row>
    <row r="21" spans="4:25" x14ac:dyDescent="0.25">
      <c r="D21" s="10"/>
      <c r="E21" s="6"/>
      <c r="F21" s="17" t="str">
        <f t="shared" si="0"/>
        <v/>
      </c>
      <c r="G21" s="2"/>
      <c r="H21" s="2"/>
      <c r="I21" s="2"/>
      <c r="J21" s="14"/>
      <c r="X21" s="6">
        <f t="shared" si="1"/>
        <v>0</v>
      </c>
      <c r="Y21" s="3">
        <f t="shared" si="2"/>
        <v>0</v>
      </c>
    </row>
    <row r="22" spans="4:25" x14ac:dyDescent="0.25">
      <c r="D22" s="10"/>
      <c r="E22" s="6"/>
      <c r="F22" s="17" t="str">
        <f t="shared" si="0"/>
        <v/>
      </c>
      <c r="G22" s="2"/>
      <c r="H22" s="2"/>
      <c r="I22" s="2"/>
      <c r="J22" s="14"/>
      <c r="X22" s="6">
        <f t="shared" si="1"/>
        <v>0</v>
      </c>
      <c r="Y22" s="3">
        <f t="shared" si="2"/>
        <v>0</v>
      </c>
    </row>
    <row r="23" spans="4:25" x14ac:dyDescent="0.25">
      <c r="D23" s="10"/>
      <c r="E23" s="6"/>
      <c r="F23" s="17" t="str">
        <f t="shared" si="0"/>
        <v/>
      </c>
      <c r="G23" s="2"/>
      <c r="H23" s="2"/>
      <c r="I23" s="2"/>
      <c r="J23" s="14"/>
      <c r="X23" s="6">
        <f t="shared" si="1"/>
        <v>0</v>
      </c>
      <c r="Y23" s="3">
        <f t="shared" si="2"/>
        <v>0</v>
      </c>
    </row>
    <row r="24" spans="4:25" x14ac:dyDescent="0.25">
      <c r="D24" s="10"/>
      <c r="E24" s="6"/>
      <c r="F24" s="17" t="str">
        <f t="shared" si="0"/>
        <v/>
      </c>
      <c r="G24" s="2"/>
      <c r="H24" s="2"/>
      <c r="I24" s="2"/>
      <c r="J24" s="14"/>
      <c r="X24" s="6">
        <f t="shared" si="1"/>
        <v>0</v>
      </c>
      <c r="Y24" s="3">
        <f t="shared" si="2"/>
        <v>0</v>
      </c>
    </row>
    <row r="25" spans="4:25" x14ac:dyDescent="0.25">
      <c r="D25" s="10"/>
      <c r="E25" s="6"/>
      <c r="F25" s="17" t="str">
        <f t="shared" si="0"/>
        <v/>
      </c>
      <c r="G25" s="2"/>
      <c r="H25" s="2"/>
      <c r="I25" s="2"/>
      <c r="J25" s="14"/>
      <c r="X25" s="6">
        <f t="shared" si="1"/>
        <v>0</v>
      </c>
      <c r="Y25" s="3">
        <f t="shared" si="2"/>
        <v>0</v>
      </c>
    </row>
    <row r="26" spans="4:25" x14ac:dyDescent="0.25">
      <c r="D26" s="10"/>
      <c r="E26" s="6"/>
      <c r="F26" s="17" t="str">
        <f t="shared" si="0"/>
        <v/>
      </c>
      <c r="G26" s="2"/>
      <c r="H26" s="2"/>
      <c r="I26" s="2"/>
      <c r="J26" s="14"/>
      <c r="X26" s="6">
        <f t="shared" si="1"/>
        <v>0</v>
      </c>
      <c r="Y26" s="3">
        <f t="shared" si="2"/>
        <v>0</v>
      </c>
    </row>
    <row r="27" spans="4:25" x14ac:dyDescent="0.25">
      <c r="D27" s="10"/>
      <c r="E27" s="6"/>
      <c r="F27" s="17" t="str">
        <f t="shared" si="0"/>
        <v/>
      </c>
      <c r="G27" s="2"/>
      <c r="H27" s="2"/>
      <c r="I27" s="2"/>
      <c r="J27" s="14"/>
      <c r="X27" s="6">
        <f t="shared" si="1"/>
        <v>0</v>
      </c>
      <c r="Y27" s="3">
        <f t="shared" si="2"/>
        <v>0</v>
      </c>
    </row>
    <row r="28" spans="4:25" x14ac:dyDescent="0.25">
      <c r="D28" s="10"/>
      <c r="E28" s="6"/>
      <c r="F28" s="17" t="str">
        <f t="shared" si="0"/>
        <v/>
      </c>
      <c r="G28" s="2"/>
      <c r="H28" s="2"/>
      <c r="I28" s="2"/>
      <c r="J28" s="14"/>
      <c r="X28" s="6">
        <f t="shared" si="1"/>
        <v>0</v>
      </c>
      <c r="Y28" s="3">
        <f t="shared" si="2"/>
        <v>0</v>
      </c>
    </row>
    <row r="29" spans="4:25" x14ac:dyDescent="0.25">
      <c r="D29" s="10"/>
      <c r="E29" s="6"/>
      <c r="F29" s="17" t="str">
        <f t="shared" si="0"/>
        <v/>
      </c>
      <c r="G29" s="2"/>
      <c r="H29" s="2"/>
      <c r="I29" s="2"/>
      <c r="J29" s="14"/>
      <c r="X29" s="6">
        <f t="shared" si="1"/>
        <v>0</v>
      </c>
      <c r="Y29" s="3">
        <f t="shared" si="2"/>
        <v>0</v>
      </c>
    </row>
    <row r="30" spans="4:25" x14ac:dyDescent="0.25">
      <c r="D30" s="10"/>
      <c r="E30" s="6"/>
      <c r="F30" s="17" t="str">
        <f t="shared" si="0"/>
        <v/>
      </c>
      <c r="G30" s="2"/>
      <c r="H30" s="2"/>
      <c r="I30" s="2"/>
      <c r="J30" s="14"/>
      <c r="X30" s="6">
        <f t="shared" si="1"/>
        <v>0</v>
      </c>
      <c r="Y30" s="3">
        <f t="shared" si="2"/>
        <v>0</v>
      </c>
    </row>
    <row r="31" spans="4:25" x14ac:dyDescent="0.25">
      <c r="D31" s="10"/>
      <c r="E31" s="6"/>
      <c r="F31" s="17" t="str">
        <f t="shared" si="0"/>
        <v/>
      </c>
      <c r="G31" s="2"/>
      <c r="H31" s="2"/>
      <c r="I31" s="2"/>
      <c r="J31" s="14"/>
      <c r="X31" s="6">
        <f t="shared" si="1"/>
        <v>0</v>
      </c>
      <c r="Y31" s="3">
        <f t="shared" si="2"/>
        <v>0</v>
      </c>
    </row>
    <row r="32" spans="4:25" x14ac:dyDescent="0.25">
      <c r="D32" s="10"/>
      <c r="E32" s="6"/>
      <c r="F32" s="17" t="str">
        <f t="shared" si="0"/>
        <v/>
      </c>
      <c r="G32" s="2"/>
      <c r="H32" s="2"/>
      <c r="I32" s="2"/>
      <c r="J32" s="14"/>
      <c r="X32" s="6">
        <f t="shared" si="1"/>
        <v>0</v>
      </c>
      <c r="Y32" s="3">
        <f t="shared" si="2"/>
        <v>0</v>
      </c>
    </row>
    <row r="33" spans="4:25" x14ac:dyDescent="0.25">
      <c r="D33" s="10"/>
      <c r="E33" s="6"/>
      <c r="F33" s="17" t="str">
        <f t="shared" si="0"/>
        <v/>
      </c>
      <c r="G33" s="2"/>
      <c r="H33" s="2"/>
      <c r="I33" s="2"/>
      <c r="J33" s="14"/>
      <c r="X33" s="6">
        <f t="shared" si="1"/>
        <v>0</v>
      </c>
      <c r="Y33" s="3">
        <f t="shared" si="2"/>
        <v>0</v>
      </c>
    </row>
    <row r="34" spans="4:25" x14ac:dyDescent="0.25">
      <c r="D34" s="10"/>
      <c r="E34" s="6"/>
      <c r="F34" s="17" t="str">
        <f t="shared" si="0"/>
        <v/>
      </c>
      <c r="G34" s="2"/>
      <c r="H34" s="2"/>
      <c r="I34" s="2"/>
      <c r="J34" s="14"/>
      <c r="X34" s="6">
        <f t="shared" si="1"/>
        <v>0</v>
      </c>
      <c r="Y34" s="3">
        <f t="shared" si="2"/>
        <v>0</v>
      </c>
    </row>
    <row r="35" spans="4:25" x14ac:dyDescent="0.25">
      <c r="D35" s="10"/>
      <c r="E35" s="6"/>
      <c r="F35" s="17" t="str">
        <f t="shared" si="0"/>
        <v/>
      </c>
      <c r="G35" s="2"/>
      <c r="H35" s="2"/>
      <c r="I35" s="2"/>
      <c r="J35" s="14"/>
      <c r="X35" s="6">
        <f t="shared" si="1"/>
        <v>0</v>
      </c>
      <c r="Y35" s="3">
        <f t="shared" si="2"/>
        <v>0</v>
      </c>
    </row>
    <row r="36" spans="4:25" x14ac:dyDescent="0.25">
      <c r="D36" s="10"/>
      <c r="E36" s="6"/>
      <c r="F36" s="17" t="str">
        <f t="shared" si="0"/>
        <v/>
      </c>
      <c r="G36" s="2"/>
      <c r="H36" s="2"/>
      <c r="I36" s="2"/>
      <c r="J36" s="14"/>
      <c r="X36" s="6">
        <f t="shared" si="1"/>
        <v>0</v>
      </c>
      <c r="Y36" s="3">
        <f t="shared" si="2"/>
        <v>0</v>
      </c>
    </row>
    <row r="37" spans="4:25" x14ac:dyDescent="0.25">
      <c r="D37" s="10"/>
      <c r="E37" s="6"/>
      <c r="F37" s="17" t="str">
        <f t="shared" si="0"/>
        <v/>
      </c>
      <c r="G37" s="2"/>
      <c r="H37" s="2"/>
      <c r="I37" s="2"/>
      <c r="J37" s="14"/>
      <c r="X37" s="6">
        <f t="shared" si="1"/>
        <v>0</v>
      </c>
      <c r="Y37" s="3">
        <f t="shared" si="2"/>
        <v>0</v>
      </c>
    </row>
    <row r="38" spans="4:25" x14ac:dyDescent="0.25">
      <c r="D38" s="10"/>
      <c r="E38" s="6"/>
      <c r="F38" s="17" t="str">
        <f t="shared" si="0"/>
        <v/>
      </c>
      <c r="G38" s="2"/>
      <c r="H38" s="2"/>
      <c r="I38" s="2"/>
      <c r="J38" s="14"/>
      <c r="X38" s="6">
        <f t="shared" si="1"/>
        <v>0</v>
      </c>
      <c r="Y38" s="3">
        <f t="shared" si="2"/>
        <v>0</v>
      </c>
    </row>
    <row r="39" spans="4:25" x14ac:dyDescent="0.25">
      <c r="D39" s="10"/>
      <c r="E39" s="6"/>
      <c r="F39" s="17" t="str">
        <f t="shared" si="0"/>
        <v/>
      </c>
      <c r="G39" s="2"/>
      <c r="H39" s="2"/>
      <c r="I39" s="2"/>
      <c r="J39" s="14"/>
      <c r="X39" s="6">
        <f t="shared" si="1"/>
        <v>0</v>
      </c>
      <c r="Y39" s="3">
        <f t="shared" si="2"/>
        <v>0</v>
      </c>
    </row>
    <row r="40" spans="4:25" x14ac:dyDescent="0.25">
      <c r="D40" s="10"/>
      <c r="E40" s="6"/>
      <c r="F40" s="17" t="str">
        <f t="shared" si="0"/>
        <v/>
      </c>
      <c r="G40" s="2"/>
      <c r="H40" s="2"/>
      <c r="I40" s="2"/>
      <c r="J40" s="14"/>
      <c r="X40" s="6">
        <f t="shared" si="1"/>
        <v>0</v>
      </c>
      <c r="Y40" s="3">
        <f t="shared" si="2"/>
        <v>0</v>
      </c>
    </row>
    <row r="41" spans="4:25" x14ac:dyDescent="0.25">
      <c r="D41" s="10"/>
      <c r="E41" s="6"/>
      <c r="F41" s="17" t="str">
        <f t="shared" si="0"/>
        <v/>
      </c>
      <c r="G41" s="2"/>
      <c r="H41" s="2"/>
      <c r="I41" s="2"/>
      <c r="J41" s="14"/>
      <c r="X41" s="6">
        <f t="shared" si="1"/>
        <v>0</v>
      </c>
      <c r="Y41" s="3">
        <f t="shared" si="2"/>
        <v>0</v>
      </c>
    </row>
    <row r="42" spans="4:25" x14ac:dyDescent="0.25">
      <c r="D42" s="10"/>
      <c r="E42" s="6"/>
      <c r="F42" s="17" t="str">
        <f t="shared" si="0"/>
        <v/>
      </c>
      <c r="G42" s="2"/>
      <c r="H42" s="2"/>
      <c r="I42" s="2"/>
      <c r="J42" s="14"/>
      <c r="X42" s="6">
        <f t="shared" si="1"/>
        <v>0</v>
      </c>
      <c r="Y42" s="3">
        <f t="shared" si="2"/>
        <v>0</v>
      </c>
    </row>
    <row r="43" spans="4:25" x14ac:dyDescent="0.25">
      <c r="D43" s="10"/>
      <c r="E43" s="6"/>
      <c r="F43" s="17" t="str">
        <f t="shared" si="0"/>
        <v/>
      </c>
      <c r="G43" s="2"/>
      <c r="H43" s="2"/>
      <c r="I43" s="2"/>
      <c r="J43" s="14"/>
      <c r="X43" s="6">
        <f t="shared" si="1"/>
        <v>0</v>
      </c>
      <c r="Y43" s="3">
        <f t="shared" si="2"/>
        <v>0</v>
      </c>
    </row>
    <row r="44" spans="4:25" x14ac:dyDescent="0.25">
      <c r="D44" s="10"/>
      <c r="E44" s="6"/>
      <c r="F44" s="17" t="str">
        <f t="shared" si="0"/>
        <v/>
      </c>
      <c r="G44" s="2"/>
      <c r="H44" s="2"/>
      <c r="I44" s="2"/>
      <c r="J44" s="14"/>
      <c r="X44" s="6">
        <f t="shared" si="1"/>
        <v>0</v>
      </c>
      <c r="Y44" s="3">
        <f t="shared" si="2"/>
        <v>0</v>
      </c>
    </row>
    <row r="45" spans="4:25" x14ac:dyDescent="0.25">
      <c r="D45" s="10"/>
      <c r="E45" s="6"/>
      <c r="F45" s="17" t="str">
        <f t="shared" si="0"/>
        <v/>
      </c>
      <c r="G45" s="2"/>
      <c r="H45" s="2"/>
      <c r="I45" s="2"/>
      <c r="J45" s="14"/>
      <c r="X45" s="6">
        <f t="shared" si="1"/>
        <v>0</v>
      </c>
      <c r="Y45" s="3">
        <f t="shared" si="2"/>
        <v>0</v>
      </c>
    </row>
    <row r="46" spans="4:25" x14ac:dyDescent="0.25">
      <c r="D46" s="10"/>
      <c r="E46" s="6"/>
      <c r="F46" s="17" t="str">
        <f t="shared" si="0"/>
        <v/>
      </c>
      <c r="G46" s="2"/>
      <c r="H46" s="2"/>
      <c r="I46" s="2"/>
      <c r="J46" s="14"/>
      <c r="X46" s="6">
        <f t="shared" si="1"/>
        <v>0</v>
      </c>
      <c r="Y46" s="3">
        <f t="shared" si="2"/>
        <v>0</v>
      </c>
    </row>
    <row r="47" spans="4:25" x14ac:dyDescent="0.25">
      <c r="D47" s="10"/>
      <c r="E47" s="6"/>
      <c r="F47" s="17" t="str">
        <f t="shared" si="0"/>
        <v/>
      </c>
      <c r="G47" s="2"/>
      <c r="H47" s="2"/>
      <c r="I47" s="2"/>
      <c r="J47" s="14"/>
      <c r="X47" s="6">
        <f t="shared" si="1"/>
        <v>0</v>
      </c>
      <c r="Y47" s="3">
        <f t="shared" si="2"/>
        <v>0</v>
      </c>
    </row>
    <row r="48" spans="4:25" x14ac:dyDescent="0.25">
      <c r="D48" s="10"/>
      <c r="E48" s="6"/>
      <c r="F48" s="17" t="str">
        <f t="shared" si="0"/>
        <v/>
      </c>
      <c r="G48" s="2"/>
      <c r="H48" s="2"/>
      <c r="I48" s="2"/>
      <c r="J48" s="14"/>
      <c r="X48" s="6">
        <f t="shared" si="1"/>
        <v>0</v>
      </c>
      <c r="Y48" s="3">
        <f t="shared" si="2"/>
        <v>0</v>
      </c>
    </row>
    <row r="49" spans="4:25" x14ac:dyDescent="0.25">
      <c r="D49" s="10"/>
      <c r="E49" s="6"/>
      <c r="F49" s="17" t="str">
        <f t="shared" si="0"/>
        <v/>
      </c>
      <c r="G49" s="2"/>
      <c r="H49" s="2"/>
      <c r="I49" s="2"/>
      <c r="J49" s="14"/>
      <c r="X49" s="6">
        <f t="shared" si="1"/>
        <v>0</v>
      </c>
      <c r="Y49" s="3">
        <f t="shared" si="2"/>
        <v>0</v>
      </c>
    </row>
    <row r="50" spans="4:25" x14ac:dyDescent="0.25">
      <c r="D50" s="10"/>
      <c r="E50" s="6"/>
      <c r="F50" s="17" t="str">
        <f t="shared" si="0"/>
        <v/>
      </c>
      <c r="G50" s="2"/>
      <c r="H50" s="2"/>
      <c r="I50" s="2"/>
      <c r="J50" s="14"/>
      <c r="X50" s="6">
        <f t="shared" si="1"/>
        <v>0</v>
      </c>
      <c r="Y50" s="3">
        <f t="shared" si="2"/>
        <v>0</v>
      </c>
    </row>
    <row r="51" spans="4:25" x14ac:dyDescent="0.25">
      <c r="D51" s="10"/>
      <c r="E51" s="6"/>
      <c r="F51" s="17" t="str">
        <f t="shared" si="0"/>
        <v/>
      </c>
      <c r="G51" s="2"/>
      <c r="H51" s="2"/>
      <c r="I51" s="2"/>
      <c r="J51" s="14"/>
      <c r="X51" s="6">
        <f t="shared" si="1"/>
        <v>0</v>
      </c>
      <c r="Y51" s="3">
        <f t="shared" si="2"/>
        <v>0</v>
      </c>
    </row>
    <row r="52" spans="4:25" x14ac:dyDescent="0.25">
      <c r="D52" s="10"/>
      <c r="E52" s="6"/>
      <c r="F52" s="17" t="str">
        <f t="shared" si="0"/>
        <v/>
      </c>
      <c r="G52" s="2"/>
      <c r="H52" s="2"/>
      <c r="I52" s="2"/>
      <c r="J52" s="9"/>
      <c r="X52" s="6">
        <f t="shared" si="1"/>
        <v>0</v>
      </c>
      <c r="Y52" s="3">
        <f t="shared" si="2"/>
        <v>0</v>
      </c>
    </row>
    <row r="53" spans="4:25" x14ac:dyDescent="0.25">
      <c r="D53" s="2" t="s">
        <v>14</v>
      </c>
      <c r="E53" s="25"/>
      <c r="F53" s="3"/>
      <c r="G53" s="3">
        <f>SUM(G3:G52)</f>
        <v>0</v>
      </c>
      <c r="H53" s="3">
        <f t="shared" ref="H53:I53" si="3">SUM(H3:H52)</f>
        <v>1.1000000000000001</v>
      </c>
      <c r="I53" s="3">
        <f t="shared" si="3"/>
        <v>0.1</v>
      </c>
    </row>
  </sheetData>
  <mergeCells count="4">
    <mergeCell ref="D1:F1"/>
    <mergeCell ref="G1:I1"/>
    <mergeCell ref="K1:Q1"/>
    <mergeCell ref="X1:Z1"/>
  </mergeCells>
  <conditionalFormatting sqref="A1:B1">
    <cfRule type="expression" dxfId="35" priority="1">
      <formula>$Z$3="+"</formula>
    </cfRule>
    <cfRule type="expression" dxfId="34" priority="2">
      <formula>$B$16=$K$3</formula>
    </cfRule>
  </conditionalFormatting>
  <conditionalFormatting sqref="P3">
    <cfRule type="expression" dxfId="33" priority="9">
      <formula>$Z$3="+"</formula>
    </cfRule>
  </conditionalFormatting>
  <conditionalFormatting sqref="Z3">
    <cfRule type="expression" dxfId="32" priority="10">
      <formula>$Z$3="+"</formula>
    </cfRule>
  </conditionalFormatting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72114-51C2-4C21-92BC-1004D7B25863}">
  <dimension ref="A1:Z53"/>
  <sheetViews>
    <sheetView workbookViewId="0">
      <selection activeCell="I9" sqref="I9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4" customWidth="1"/>
    <col min="25" max="25" width="10.7109375" style="14" customWidth="1"/>
    <col min="26" max="26" width="10.7109375" customWidth="1"/>
  </cols>
  <sheetData>
    <row r="1" spans="1:26" x14ac:dyDescent="0.25">
      <c r="A1" s="5" t="s">
        <v>18</v>
      </c>
      <c r="B1" s="6" t="s">
        <v>38</v>
      </c>
      <c r="D1" s="41" t="s">
        <v>2</v>
      </c>
      <c r="E1" s="42"/>
      <c r="F1" s="43"/>
      <c r="G1" s="41" t="s">
        <v>0</v>
      </c>
      <c r="H1" s="42"/>
      <c r="I1" s="43"/>
      <c r="J1" s="16"/>
      <c r="K1" s="41" t="s">
        <v>41</v>
      </c>
      <c r="L1" s="42"/>
      <c r="M1" s="42"/>
      <c r="N1" s="42"/>
      <c r="O1" s="42"/>
      <c r="P1" s="42"/>
      <c r="Q1" s="43"/>
      <c r="X1" s="41"/>
      <c r="Y1" s="42"/>
      <c r="Z1" s="43"/>
    </row>
    <row r="2" spans="1:26" x14ac:dyDescent="0.25">
      <c r="A2" s="5" t="s">
        <v>15</v>
      </c>
      <c r="B2" s="6" t="s">
        <v>19</v>
      </c>
      <c r="D2" s="11" t="s">
        <v>45</v>
      </c>
      <c r="E2" s="11" t="s">
        <v>46</v>
      </c>
      <c r="F2" s="23" t="s">
        <v>51</v>
      </c>
      <c r="G2" s="11" t="s">
        <v>12</v>
      </c>
      <c r="H2" s="11" t="s">
        <v>13</v>
      </c>
      <c r="I2" s="11" t="s">
        <v>43</v>
      </c>
      <c r="J2" s="9"/>
      <c r="K2" s="11" t="s">
        <v>0</v>
      </c>
      <c r="L2" s="11" t="s">
        <v>1</v>
      </c>
      <c r="M2" s="11" t="s">
        <v>39</v>
      </c>
      <c r="N2" s="11" t="s">
        <v>40</v>
      </c>
      <c r="O2" s="11" t="s">
        <v>2</v>
      </c>
      <c r="P2" s="11" t="s">
        <v>49</v>
      </c>
      <c r="Q2" s="11" t="s">
        <v>51</v>
      </c>
      <c r="X2" s="11" t="s">
        <v>2</v>
      </c>
      <c r="Y2" s="11" t="s">
        <v>42</v>
      </c>
      <c r="Z2" s="11" t="s">
        <v>49</v>
      </c>
    </row>
    <row r="3" spans="1:26" x14ac:dyDescent="0.25">
      <c r="A3" s="5" t="s">
        <v>20</v>
      </c>
      <c r="B3" s="6" t="s">
        <v>37</v>
      </c>
      <c r="D3" s="10">
        <v>46140</v>
      </c>
      <c r="E3" s="10">
        <v>46140</v>
      </c>
      <c r="F3" s="17">
        <f>IF(E3&gt;0,E3-D3,"")</f>
        <v>0</v>
      </c>
      <c r="G3" s="3">
        <v>0</v>
      </c>
      <c r="H3" s="3">
        <v>0.35</v>
      </c>
      <c r="I3" s="3">
        <v>0.04</v>
      </c>
      <c r="J3" s="14"/>
      <c r="K3" s="3">
        <f>G53</f>
        <v>0</v>
      </c>
      <c r="L3" s="3">
        <f>H53</f>
        <v>1.83</v>
      </c>
      <c r="M3" s="3">
        <f>I53</f>
        <v>0.19</v>
      </c>
      <c r="N3" s="7" t="str">
        <f>IF(B16=K3,XIRR(Y3:Y52,X3:X52),"")</f>
        <v/>
      </c>
      <c r="O3" s="6" t="str">
        <f>IF(B16=K3,MAX(E:E),"")</f>
        <v/>
      </c>
      <c r="P3" s="2" t="str">
        <f ca="1">IF(Z3="+",TODAY()-B11,"")</f>
        <v/>
      </c>
      <c r="Q3" s="2" t="str">
        <f>IF(B16=K3,MAX(E:E)-B11,"")</f>
        <v/>
      </c>
      <c r="T3" s="13"/>
      <c r="X3" s="6">
        <f>B9</f>
        <v>46101</v>
      </c>
      <c r="Y3" s="3">
        <f>B16*-1</f>
        <v>-22.16</v>
      </c>
      <c r="Z3" s="2" t="str">
        <f ca="1">IF(AND(TODAY()&gt;B11, K3&lt;&gt;B16), "+", "")</f>
        <v/>
      </c>
    </row>
    <row r="4" spans="1:26" x14ac:dyDescent="0.25">
      <c r="A4" s="5" t="s">
        <v>22</v>
      </c>
      <c r="B4" s="6" t="s">
        <v>23</v>
      </c>
      <c r="D4" s="10">
        <v>46170</v>
      </c>
      <c r="E4" s="10">
        <v>46170</v>
      </c>
      <c r="F4" s="17">
        <v>0</v>
      </c>
      <c r="G4" s="3">
        <v>0</v>
      </c>
      <c r="H4" s="2">
        <v>0.28999999999999998</v>
      </c>
      <c r="I4" s="2">
        <v>0.03</v>
      </c>
      <c r="J4" s="9"/>
      <c r="X4" s="6">
        <f>E3</f>
        <v>46140</v>
      </c>
      <c r="Y4" s="3">
        <f>G3+H3-I3</f>
        <v>0.31</v>
      </c>
    </row>
    <row r="5" spans="1:26" x14ac:dyDescent="0.25">
      <c r="A5" s="5"/>
      <c r="B5" s="6"/>
      <c r="D5" s="10">
        <v>46201</v>
      </c>
      <c r="E5" s="10">
        <v>46201</v>
      </c>
      <c r="F5" s="17">
        <f t="shared" ref="F5:F52" si="0">IF(E5&gt;0,E5-D5,"")</f>
        <v>0</v>
      </c>
      <c r="G5" s="3">
        <v>0</v>
      </c>
      <c r="H5" s="3">
        <v>0.3</v>
      </c>
      <c r="I5" s="3">
        <v>0.03</v>
      </c>
      <c r="J5" s="9"/>
      <c r="X5" s="6">
        <f t="shared" ref="X5:X52" si="1">E4</f>
        <v>46170</v>
      </c>
      <c r="Y5" s="3">
        <f t="shared" ref="Y5:Y52" si="2">G4+H4-I4</f>
        <v>0.26</v>
      </c>
    </row>
    <row r="6" spans="1:26" x14ac:dyDescent="0.25">
      <c r="A6" s="5"/>
      <c r="B6" s="6"/>
      <c r="D6" s="10">
        <v>46231</v>
      </c>
      <c r="E6" s="10">
        <v>46231</v>
      </c>
      <c r="F6" s="17">
        <f t="shared" si="0"/>
        <v>0</v>
      </c>
      <c r="G6" s="3">
        <v>0</v>
      </c>
      <c r="H6" s="3">
        <v>0.28999999999999998</v>
      </c>
      <c r="I6" s="2">
        <v>0.03</v>
      </c>
      <c r="J6" s="9"/>
      <c r="X6" s="6">
        <f t="shared" si="1"/>
        <v>46201</v>
      </c>
      <c r="Y6" s="3">
        <f t="shared" si="2"/>
        <v>0.27</v>
      </c>
    </row>
    <row r="7" spans="1:26" x14ac:dyDescent="0.25">
      <c r="A7" s="5"/>
      <c r="B7" s="6"/>
      <c r="D7" s="10">
        <v>46262</v>
      </c>
      <c r="E7" s="10">
        <v>46262</v>
      </c>
      <c r="F7" s="17">
        <f t="shared" si="0"/>
        <v>0</v>
      </c>
      <c r="G7" s="3">
        <v>0</v>
      </c>
      <c r="H7" s="3">
        <v>0.3</v>
      </c>
      <c r="I7" s="2">
        <v>0.03</v>
      </c>
      <c r="J7" s="14"/>
      <c r="X7" s="6">
        <f t="shared" si="1"/>
        <v>46231</v>
      </c>
      <c r="Y7" s="3">
        <f t="shared" si="2"/>
        <v>0.26</v>
      </c>
    </row>
    <row r="8" spans="1:26" x14ac:dyDescent="0.25">
      <c r="A8" s="5" t="s">
        <v>16</v>
      </c>
      <c r="B8" s="6" t="str">
        <f>DATEDIF(B9,B11,"y") &amp; " m. " &amp; DATEDIF(B9,B11,"ym") &amp; " mėn. " &amp; DATEDIF(B9,B11,"md") &amp; " d."</f>
        <v>3 m. 0 mėn. 8 d.</v>
      </c>
      <c r="D8" s="10">
        <v>46293</v>
      </c>
      <c r="E8" s="6">
        <v>46293</v>
      </c>
      <c r="F8" s="17">
        <f t="shared" si="0"/>
        <v>0</v>
      </c>
      <c r="G8" s="3">
        <v>0</v>
      </c>
      <c r="H8" s="3">
        <v>0.3</v>
      </c>
      <c r="I8" s="2">
        <v>0.03</v>
      </c>
      <c r="J8" s="9"/>
      <c r="X8" s="6">
        <f t="shared" si="1"/>
        <v>46262</v>
      </c>
      <c r="Y8" s="3">
        <f t="shared" si="2"/>
        <v>0.27</v>
      </c>
    </row>
    <row r="9" spans="1:26" x14ac:dyDescent="0.25">
      <c r="A9" s="5" t="s">
        <v>8</v>
      </c>
      <c r="B9" s="6">
        <v>46101</v>
      </c>
      <c r="D9" s="10">
        <v>46323</v>
      </c>
      <c r="E9" s="6"/>
      <c r="F9" s="17" t="str">
        <f t="shared" si="0"/>
        <v/>
      </c>
      <c r="G9" s="3"/>
      <c r="H9" s="3"/>
      <c r="I9" s="3"/>
      <c r="J9" s="14"/>
      <c r="X9" s="6">
        <f t="shared" si="1"/>
        <v>46293</v>
      </c>
      <c r="Y9" s="3">
        <f t="shared" si="2"/>
        <v>0.27</v>
      </c>
    </row>
    <row r="10" spans="1:26" x14ac:dyDescent="0.25">
      <c r="A10" s="5" t="s">
        <v>24</v>
      </c>
      <c r="B10" s="6">
        <v>46104</v>
      </c>
      <c r="D10" s="10">
        <v>46354</v>
      </c>
      <c r="E10" s="6"/>
      <c r="F10" s="17" t="str">
        <f t="shared" si="0"/>
        <v/>
      </c>
      <c r="G10" s="2"/>
      <c r="H10" s="2"/>
      <c r="I10" s="2"/>
      <c r="J10" s="14"/>
      <c r="X10" s="6">
        <f t="shared" si="1"/>
        <v>0</v>
      </c>
      <c r="Y10" s="3">
        <f t="shared" si="2"/>
        <v>0</v>
      </c>
    </row>
    <row r="11" spans="1:26" x14ac:dyDescent="0.25">
      <c r="A11" s="5" t="s">
        <v>44</v>
      </c>
      <c r="B11" s="6">
        <v>47205</v>
      </c>
      <c r="D11" s="10">
        <v>46384</v>
      </c>
      <c r="E11" s="6"/>
      <c r="F11" s="17" t="str">
        <f t="shared" si="0"/>
        <v/>
      </c>
      <c r="G11" s="2"/>
      <c r="H11" s="2"/>
      <c r="I11" s="2"/>
      <c r="J11" s="14"/>
      <c r="X11" s="6">
        <f t="shared" si="1"/>
        <v>0</v>
      </c>
      <c r="Y11" s="3">
        <f t="shared" si="2"/>
        <v>0</v>
      </c>
    </row>
    <row r="12" spans="1:26" x14ac:dyDescent="0.25">
      <c r="A12" s="5" t="s">
        <v>52</v>
      </c>
      <c r="B12" s="17">
        <f ca="1">IF(B16&lt;&gt;K3,(TODAY()-B11)*-1,"")</f>
        <v>910</v>
      </c>
      <c r="D12" s="10">
        <v>46415</v>
      </c>
      <c r="E12" s="6"/>
      <c r="F12" s="17" t="str">
        <f t="shared" si="0"/>
        <v/>
      </c>
      <c r="G12" s="2"/>
      <c r="H12" s="2"/>
      <c r="I12" s="2"/>
      <c r="J12" s="14"/>
      <c r="X12" s="6">
        <f t="shared" si="1"/>
        <v>0</v>
      </c>
      <c r="Y12" s="3">
        <f t="shared" si="2"/>
        <v>0</v>
      </c>
    </row>
    <row r="13" spans="1:26" x14ac:dyDescent="0.25">
      <c r="A13" s="5"/>
      <c r="B13" s="3"/>
      <c r="D13" s="10">
        <v>46446</v>
      </c>
      <c r="E13" s="6"/>
      <c r="F13" s="17" t="str">
        <f t="shared" si="0"/>
        <v/>
      </c>
      <c r="G13" s="2"/>
      <c r="H13" s="2"/>
      <c r="I13" s="2"/>
      <c r="J13" s="14"/>
      <c r="N13" s="13"/>
      <c r="X13" s="6">
        <f t="shared" si="1"/>
        <v>0</v>
      </c>
      <c r="Y13" s="3">
        <f t="shared" si="2"/>
        <v>0</v>
      </c>
    </row>
    <row r="14" spans="1:26" x14ac:dyDescent="0.25">
      <c r="A14" s="1"/>
      <c r="B14" s="24"/>
      <c r="D14" s="10">
        <v>46474</v>
      </c>
      <c r="E14" s="6"/>
      <c r="F14" s="17" t="str">
        <f t="shared" si="0"/>
        <v/>
      </c>
      <c r="G14" s="2"/>
      <c r="H14" s="2"/>
      <c r="I14" s="2"/>
      <c r="J14" s="14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>
        <v>0.16</v>
      </c>
      <c r="D15" s="10">
        <v>46505</v>
      </c>
      <c r="E15" s="6"/>
      <c r="F15" s="17" t="str">
        <f t="shared" si="0"/>
        <v/>
      </c>
      <c r="G15" s="2"/>
      <c r="H15" s="2"/>
      <c r="I15" s="2"/>
      <c r="J15" s="14"/>
      <c r="K15" s="16"/>
      <c r="L15" s="16"/>
      <c r="M15" s="16"/>
      <c r="N15" s="16"/>
      <c r="O15" s="16"/>
      <c r="P15" s="16"/>
      <c r="Q15" s="16"/>
      <c r="X15" s="6">
        <f t="shared" si="1"/>
        <v>0</v>
      </c>
      <c r="Y15" s="3">
        <f t="shared" si="2"/>
        <v>0</v>
      </c>
    </row>
    <row r="16" spans="1:26" x14ac:dyDescent="0.25">
      <c r="A16" s="5" t="s">
        <v>53</v>
      </c>
      <c r="B16" s="3">
        <v>22.16</v>
      </c>
      <c r="D16" s="10">
        <v>46535</v>
      </c>
      <c r="E16" s="6"/>
      <c r="F16" s="17" t="str">
        <f t="shared" si="0"/>
        <v/>
      </c>
      <c r="G16" s="2"/>
      <c r="H16" s="2"/>
      <c r="I16" s="2"/>
      <c r="J16" s="14"/>
      <c r="K16" s="9"/>
      <c r="L16" s="9"/>
      <c r="M16" s="9"/>
      <c r="N16" s="18"/>
      <c r="O16" s="19"/>
      <c r="P16" s="14"/>
      <c r="Q16" s="14"/>
      <c r="X16" s="6">
        <f t="shared" si="1"/>
        <v>0</v>
      </c>
      <c r="Y16" s="3">
        <f t="shared" si="2"/>
        <v>0</v>
      </c>
    </row>
    <row r="17" spans="4:25" x14ac:dyDescent="0.25">
      <c r="D17" s="10">
        <v>46566</v>
      </c>
      <c r="E17" s="6"/>
      <c r="F17" s="17" t="str">
        <f t="shared" si="0"/>
        <v/>
      </c>
      <c r="G17" s="2"/>
      <c r="H17" s="2"/>
      <c r="I17" s="2"/>
      <c r="J17" s="14"/>
      <c r="X17" s="6">
        <f t="shared" si="1"/>
        <v>0</v>
      </c>
      <c r="Y17" s="3">
        <f t="shared" si="2"/>
        <v>0</v>
      </c>
    </row>
    <row r="18" spans="4:25" x14ac:dyDescent="0.25">
      <c r="D18" s="10">
        <v>46596</v>
      </c>
      <c r="E18" s="6"/>
      <c r="F18" s="17" t="str">
        <f t="shared" si="0"/>
        <v/>
      </c>
      <c r="G18" s="2"/>
      <c r="H18" s="2"/>
      <c r="I18" s="2"/>
      <c r="J18" s="14"/>
      <c r="X18" s="6">
        <f t="shared" si="1"/>
        <v>0</v>
      </c>
      <c r="Y18" s="3">
        <f t="shared" si="2"/>
        <v>0</v>
      </c>
    </row>
    <row r="19" spans="4:25" x14ac:dyDescent="0.25">
      <c r="D19" s="10">
        <v>46627</v>
      </c>
      <c r="E19" s="6"/>
      <c r="F19" s="17" t="str">
        <f t="shared" si="0"/>
        <v/>
      </c>
      <c r="G19" s="2"/>
      <c r="H19" s="2"/>
      <c r="I19" s="2"/>
      <c r="J19" s="14"/>
      <c r="X19" s="6">
        <f t="shared" si="1"/>
        <v>0</v>
      </c>
      <c r="Y19" s="3">
        <f t="shared" si="2"/>
        <v>0</v>
      </c>
    </row>
    <row r="20" spans="4:25" x14ac:dyDescent="0.25">
      <c r="D20" s="10">
        <v>46658</v>
      </c>
      <c r="E20" s="6"/>
      <c r="F20" s="17" t="str">
        <f t="shared" si="0"/>
        <v/>
      </c>
      <c r="G20" s="2"/>
      <c r="H20" s="2"/>
      <c r="I20" s="2"/>
      <c r="J20" s="14"/>
      <c r="X20" s="6">
        <f t="shared" si="1"/>
        <v>0</v>
      </c>
      <c r="Y20" s="3">
        <f t="shared" si="2"/>
        <v>0</v>
      </c>
    </row>
    <row r="21" spans="4:25" x14ac:dyDescent="0.25">
      <c r="D21" s="10">
        <v>46688</v>
      </c>
      <c r="E21" s="6"/>
      <c r="F21" s="17" t="str">
        <f t="shared" si="0"/>
        <v/>
      </c>
      <c r="G21" s="2"/>
      <c r="H21" s="2"/>
      <c r="I21" s="2"/>
      <c r="J21" s="14"/>
      <c r="X21" s="6">
        <f t="shared" si="1"/>
        <v>0</v>
      </c>
      <c r="Y21" s="3">
        <f t="shared" si="2"/>
        <v>0</v>
      </c>
    </row>
    <row r="22" spans="4:25" x14ac:dyDescent="0.25">
      <c r="D22" s="10">
        <v>46719</v>
      </c>
      <c r="E22" s="6"/>
      <c r="F22" s="17" t="str">
        <f t="shared" si="0"/>
        <v/>
      </c>
      <c r="G22" s="2"/>
      <c r="H22" s="2"/>
      <c r="I22" s="2"/>
      <c r="J22" s="14"/>
      <c r="X22" s="6">
        <f t="shared" si="1"/>
        <v>0</v>
      </c>
      <c r="Y22" s="3">
        <f t="shared" si="2"/>
        <v>0</v>
      </c>
    </row>
    <row r="23" spans="4:25" x14ac:dyDescent="0.25">
      <c r="D23" s="10">
        <v>46749</v>
      </c>
      <c r="E23" s="6"/>
      <c r="F23" s="17" t="str">
        <f t="shared" si="0"/>
        <v/>
      </c>
      <c r="G23" s="2"/>
      <c r="H23" s="2"/>
      <c r="I23" s="2"/>
      <c r="J23" s="14"/>
      <c r="X23" s="6">
        <f t="shared" si="1"/>
        <v>0</v>
      </c>
      <c r="Y23" s="3">
        <f t="shared" si="2"/>
        <v>0</v>
      </c>
    </row>
    <row r="24" spans="4:25" x14ac:dyDescent="0.25">
      <c r="D24" s="10">
        <v>46780</v>
      </c>
      <c r="E24" s="6"/>
      <c r="F24" s="17" t="str">
        <f t="shared" si="0"/>
        <v/>
      </c>
      <c r="G24" s="2"/>
      <c r="H24" s="2"/>
      <c r="I24" s="2"/>
      <c r="J24" s="14"/>
      <c r="X24" s="6">
        <f t="shared" si="1"/>
        <v>0</v>
      </c>
      <c r="Y24" s="3">
        <f t="shared" si="2"/>
        <v>0</v>
      </c>
    </row>
    <row r="25" spans="4:25" x14ac:dyDescent="0.25">
      <c r="D25" s="10">
        <v>46811</v>
      </c>
      <c r="E25" s="6"/>
      <c r="F25" s="17" t="str">
        <f t="shared" si="0"/>
        <v/>
      </c>
      <c r="G25" s="2"/>
      <c r="H25" s="2"/>
      <c r="I25" s="2"/>
      <c r="J25" s="14"/>
      <c r="X25" s="6">
        <f t="shared" si="1"/>
        <v>0</v>
      </c>
      <c r="Y25" s="3">
        <f t="shared" si="2"/>
        <v>0</v>
      </c>
    </row>
    <row r="26" spans="4:25" x14ac:dyDescent="0.25">
      <c r="D26" s="10">
        <v>46840</v>
      </c>
      <c r="E26" s="6"/>
      <c r="F26" s="17" t="str">
        <f t="shared" si="0"/>
        <v/>
      </c>
      <c r="G26" s="2"/>
      <c r="H26" s="2"/>
      <c r="I26" s="2"/>
      <c r="J26" s="14"/>
      <c r="X26" s="6">
        <f t="shared" si="1"/>
        <v>0</v>
      </c>
      <c r="Y26" s="3">
        <f t="shared" si="2"/>
        <v>0</v>
      </c>
    </row>
    <row r="27" spans="4:25" x14ac:dyDescent="0.25">
      <c r="D27" s="10">
        <v>46871</v>
      </c>
      <c r="E27" s="6"/>
      <c r="F27" s="17" t="str">
        <f t="shared" si="0"/>
        <v/>
      </c>
      <c r="G27" s="2"/>
      <c r="H27" s="2"/>
      <c r="I27" s="2"/>
      <c r="J27" s="14"/>
      <c r="X27" s="6">
        <f t="shared" si="1"/>
        <v>0</v>
      </c>
      <c r="Y27" s="3">
        <f t="shared" si="2"/>
        <v>0</v>
      </c>
    </row>
    <row r="28" spans="4:25" x14ac:dyDescent="0.25">
      <c r="D28" s="10">
        <v>46901</v>
      </c>
      <c r="E28" s="6"/>
      <c r="F28" s="17" t="str">
        <f t="shared" si="0"/>
        <v/>
      </c>
      <c r="G28" s="2"/>
      <c r="H28" s="2"/>
      <c r="I28" s="2"/>
      <c r="J28" s="14"/>
      <c r="X28" s="6">
        <f t="shared" si="1"/>
        <v>0</v>
      </c>
      <c r="Y28" s="3">
        <f t="shared" si="2"/>
        <v>0</v>
      </c>
    </row>
    <row r="29" spans="4:25" x14ac:dyDescent="0.25">
      <c r="D29" s="10">
        <v>46932</v>
      </c>
      <c r="E29" s="6"/>
      <c r="F29" s="17" t="str">
        <f t="shared" si="0"/>
        <v/>
      </c>
      <c r="G29" s="2"/>
      <c r="H29" s="2"/>
      <c r="I29" s="2"/>
      <c r="J29" s="14"/>
      <c r="X29" s="6">
        <f t="shared" si="1"/>
        <v>0</v>
      </c>
      <c r="Y29" s="3">
        <f t="shared" si="2"/>
        <v>0</v>
      </c>
    </row>
    <row r="30" spans="4:25" x14ac:dyDescent="0.25">
      <c r="D30" s="10">
        <v>46962</v>
      </c>
      <c r="E30" s="6"/>
      <c r="F30" s="17" t="str">
        <f t="shared" si="0"/>
        <v/>
      </c>
      <c r="G30" s="2"/>
      <c r="H30" s="2"/>
      <c r="I30" s="2"/>
      <c r="J30" s="14"/>
      <c r="X30" s="6">
        <f t="shared" si="1"/>
        <v>0</v>
      </c>
      <c r="Y30" s="3">
        <f t="shared" si="2"/>
        <v>0</v>
      </c>
    </row>
    <row r="31" spans="4:25" x14ac:dyDescent="0.25">
      <c r="D31" s="10">
        <v>46993</v>
      </c>
      <c r="E31" s="6"/>
      <c r="F31" s="17" t="str">
        <f t="shared" si="0"/>
        <v/>
      </c>
      <c r="G31" s="2"/>
      <c r="H31" s="2"/>
      <c r="I31" s="2"/>
      <c r="J31" s="14"/>
      <c r="X31" s="6">
        <f t="shared" si="1"/>
        <v>0</v>
      </c>
      <c r="Y31" s="3">
        <f t="shared" si="2"/>
        <v>0</v>
      </c>
    </row>
    <row r="32" spans="4:25" x14ac:dyDescent="0.25">
      <c r="D32" s="10">
        <v>47024</v>
      </c>
      <c r="E32" s="6"/>
      <c r="F32" s="17" t="str">
        <f t="shared" si="0"/>
        <v/>
      </c>
      <c r="G32" s="2"/>
      <c r="H32" s="2"/>
      <c r="I32" s="2"/>
      <c r="J32" s="14"/>
      <c r="X32" s="6">
        <f t="shared" si="1"/>
        <v>0</v>
      </c>
      <c r="Y32" s="3">
        <f t="shared" si="2"/>
        <v>0</v>
      </c>
    </row>
    <row r="33" spans="4:25" x14ac:dyDescent="0.25">
      <c r="D33" s="10">
        <v>47054</v>
      </c>
      <c r="E33" s="6"/>
      <c r="F33" s="17" t="str">
        <f t="shared" si="0"/>
        <v/>
      </c>
      <c r="G33" s="2"/>
      <c r="H33" s="2"/>
      <c r="I33" s="2"/>
      <c r="J33" s="14"/>
      <c r="X33" s="6">
        <f t="shared" si="1"/>
        <v>0</v>
      </c>
      <c r="Y33" s="3">
        <f t="shared" si="2"/>
        <v>0</v>
      </c>
    </row>
    <row r="34" spans="4:25" x14ac:dyDescent="0.25">
      <c r="D34" s="10">
        <v>47085</v>
      </c>
      <c r="E34" s="6"/>
      <c r="F34" s="17" t="str">
        <f t="shared" si="0"/>
        <v/>
      </c>
      <c r="G34" s="2"/>
      <c r="H34" s="2"/>
      <c r="I34" s="2"/>
      <c r="J34" s="14"/>
      <c r="X34" s="6">
        <f t="shared" si="1"/>
        <v>0</v>
      </c>
      <c r="Y34" s="3">
        <f t="shared" si="2"/>
        <v>0</v>
      </c>
    </row>
    <row r="35" spans="4:25" x14ac:dyDescent="0.25">
      <c r="D35" s="10">
        <v>47115</v>
      </c>
      <c r="E35" s="6"/>
      <c r="F35" s="17" t="str">
        <f t="shared" si="0"/>
        <v/>
      </c>
      <c r="G35" s="2"/>
      <c r="H35" s="2"/>
      <c r="I35" s="2"/>
      <c r="J35" s="14"/>
      <c r="X35" s="6">
        <f t="shared" si="1"/>
        <v>0</v>
      </c>
      <c r="Y35" s="3">
        <f t="shared" si="2"/>
        <v>0</v>
      </c>
    </row>
    <row r="36" spans="4:25" x14ac:dyDescent="0.25">
      <c r="D36" s="10">
        <v>47146</v>
      </c>
      <c r="E36" s="6"/>
      <c r="F36" s="17" t="str">
        <f t="shared" si="0"/>
        <v/>
      </c>
      <c r="G36" s="2"/>
      <c r="H36" s="2"/>
      <c r="I36" s="2"/>
      <c r="J36" s="14"/>
      <c r="X36" s="6">
        <f t="shared" si="1"/>
        <v>0</v>
      </c>
      <c r="Y36" s="3">
        <f t="shared" si="2"/>
        <v>0</v>
      </c>
    </row>
    <row r="37" spans="4:25" x14ac:dyDescent="0.25">
      <c r="D37" s="10">
        <v>47177</v>
      </c>
      <c r="E37" s="6"/>
      <c r="F37" s="17" t="str">
        <f t="shared" si="0"/>
        <v/>
      </c>
      <c r="G37" s="2"/>
      <c r="H37" s="2"/>
      <c r="I37" s="2"/>
      <c r="J37" s="14"/>
      <c r="X37" s="6">
        <f t="shared" si="1"/>
        <v>0</v>
      </c>
      <c r="Y37" s="3">
        <f t="shared" si="2"/>
        <v>0</v>
      </c>
    </row>
    <row r="38" spans="4:25" x14ac:dyDescent="0.25">
      <c r="D38" s="10">
        <v>47205</v>
      </c>
      <c r="E38" s="6"/>
      <c r="F38" s="17" t="str">
        <f t="shared" si="0"/>
        <v/>
      </c>
      <c r="G38" s="2"/>
      <c r="H38" s="2"/>
      <c r="I38" s="2"/>
      <c r="J38" s="14"/>
      <c r="X38" s="6">
        <f t="shared" si="1"/>
        <v>0</v>
      </c>
      <c r="Y38" s="3">
        <f t="shared" si="2"/>
        <v>0</v>
      </c>
    </row>
    <row r="39" spans="4:25" x14ac:dyDescent="0.25">
      <c r="D39" s="10"/>
      <c r="E39" s="6"/>
      <c r="F39" s="17" t="str">
        <f t="shared" si="0"/>
        <v/>
      </c>
      <c r="G39" s="2"/>
      <c r="H39" s="2"/>
      <c r="I39" s="2"/>
      <c r="J39" s="14"/>
      <c r="X39" s="6">
        <f t="shared" si="1"/>
        <v>0</v>
      </c>
      <c r="Y39" s="3">
        <f t="shared" si="2"/>
        <v>0</v>
      </c>
    </row>
    <row r="40" spans="4:25" x14ac:dyDescent="0.25">
      <c r="D40" s="10"/>
      <c r="E40" s="6"/>
      <c r="F40" s="17" t="str">
        <f t="shared" si="0"/>
        <v/>
      </c>
      <c r="G40" s="2"/>
      <c r="H40" s="2"/>
      <c r="I40" s="2"/>
      <c r="J40" s="14"/>
      <c r="X40" s="6">
        <f t="shared" si="1"/>
        <v>0</v>
      </c>
      <c r="Y40" s="3">
        <f t="shared" si="2"/>
        <v>0</v>
      </c>
    </row>
    <row r="41" spans="4:25" x14ac:dyDescent="0.25">
      <c r="D41" s="10"/>
      <c r="E41" s="6"/>
      <c r="F41" s="17" t="str">
        <f t="shared" si="0"/>
        <v/>
      </c>
      <c r="G41" s="2"/>
      <c r="H41" s="2"/>
      <c r="I41" s="2"/>
      <c r="J41" s="14"/>
      <c r="X41" s="6">
        <f t="shared" si="1"/>
        <v>0</v>
      </c>
      <c r="Y41" s="3">
        <f t="shared" si="2"/>
        <v>0</v>
      </c>
    </row>
    <row r="42" spans="4:25" x14ac:dyDescent="0.25">
      <c r="D42" s="10"/>
      <c r="E42" s="6"/>
      <c r="F42" s="17" t="str">
        <f t="shared" si="0"/>
        <v/>
      </c>
      <c r="G42" s="2"/>
      <c r="H42" s="2"/>
      <c r="I42" s="2"/>
      <c r="J42" s="14"/>
      <c r="X42" s="6">
        <f t="shared" si="1"/>
        <v>0</v>
      </c>
      <c r="Y42" s="3">
        <f t="shared" si="2"/>
        <v>0</v>
      </c>
    </row>
    <row r="43" spans="4:25" x14ac:dyDescent="0.25">
      <c r="D43" s="10"/>
      <c r="E43" s="6"/>
      <c r="F43" s="17" t="str">
        <f t="shared" si="0"/>
        <v/>
      </c>
      <c r="G43" s="2"/>
      <c r="H43" s="2"/>
      <c r="I43" s="2"/>
      <c r="J43" s="14"/>
      <c r="X43" s="6">
        <f t="shared" si="1"/>
        <v>0</v>
      </c>
      <c r="Y43" s="3">
        <f t="shared" si="2"/>
        <v>0</v>
      </c>
    </row>
    <row r="44" spans="4:25" x14ac:dyDescent="0.25">
      <c r="D44" s="10"/>
      <c r="E44" s="6"/>
      <c r="F44" s="17" t="str">
        <f t="shared" si="0"/>
        <v/>
      </c>
      <c r="G44" s="2"/>
      <c r="H44" s="2"/>
      <c r="I44" s="2"/>
      <c r="J44" s="14"/>
      <c r="X44" s="6">
        <f t="shared" si="1"/>
        <v>0</v>
      </c>
      <c r="Y44" s="3">
        <f t="shared" si="2"/>
        <v>0</v>
      </c>
    </row>
    <row r="45" spans="4:25" x14ac:dyDescent="0.25">
      <c r="D45" s="10"/>
      <c r="E45" s="6"/>
      <c r="F45" s="17" t="str">
        <f t="shared" si="0"/>
        <v/>
      </c>
      <c r="G45" s="2"/>
      <c r="H45" s="2"/>
      <c r="I45" s="2"/>
      <c r="J45" s="14"/>
      <c r="X45" s="6">
        <f t="shared" si="1"/>
        <v>0</v>
      </c>
      <c r="Y45" s="3">
        <f t="shared" si="2"/>
        <v>0</v>
      </c>
    </row>
    <row r="46" spans="4:25" x14ac:dyDescent="0.25">
      <c r="D46" s="10"/>
      <c r="E46" s="6"/>
      <c r="F46" s="17" t="str">
        <f t="shared" si="0"/>
        <v/>
      </c>
      <c r="G46" s="2"/>
      <c r="H46" s="2"/>
      <c r="I46" s="2"/>
      <c r="J46" s="14"/>
      <c r="X46" s="6">
        <f t="shared" si="1"/>
        <v>0</v>
      </c>
      <c r="Y46" s="3">
        <f t="shared" si="2"/>
        <v>0</v>
      </c>
    </row>
    <row r="47" spans="4:25" x14ac:dyDescent="0.25">
      <c r="D47" s="10"/>
      <c r="E47" s="6"/>
      <c r="F47" s="17" t="str">
        <f t="shared" si="0"/>
        <v/>
      </c>
      <c r="G47" s="2"/>
      <c r="H47" s="2"/>
      <c r="I47" s="2"/>
      <c r="J47" s="14"/>
      <c r="X47" s="6">
        <f t="shared" si="1"/>
        <v>0</v>
      </c>
      <c r="Y47" s="3">
        <f t="shared" si="2"/>
        <v>0</v>
      </c>
    </row>
    <row r="48" spans="4:25" x14ac:dyDescent="0.25">
      <c r="D48" s="10"/>
      <c r="E48" s="6"/>
      <c r="F48" s="17" t="str">
        <f t="shared" si="0"/>
        <v/>
      </c>
      <c r="G48" s="2"/>
      <c r="H48" s="2"/>
      <c r="I48" s="2"/>
      <c r="J48" s="14"/>
      <c r="X48" s="6">
        <f t="shared" si="1"/>
        <v>0</v>
      </c>
      <c r="Y48" s="3">
        <f t="shared" si="2"/>
        <v>0</v>
      </c>
    </row>
    <row r="49" spans="4:25" x14ac:dyDescent="0.25">
      <c r="D49" s="10"/>
      <c r="E49" s="6"/>
      <c r="F49" s="17" t="str">
        <f t="shared" si="0"/>
        <v/>
      </c>
      <c r="G49" s="2"/>
      <c r="H49" s="2"/>
      <c r="I49" s="2"/>
      <c r="J49" s="14"/>
      <c r="X49" s="6">
        <f t="shared" si="1"/>
        <v>0</v>
      </c>
      <c r="Y49" s="3">
        <f t="shared" si="2"/>
        <v>0</v>
      </c>
    </row>
    <row r="50" spans="4:25" x14ac:dyDescent="0.25">
      <c r="D50" s="10"/>
      <c r="E50" s="6"/>
      <c r="F50" s="17" t="str">
        <f t="shared" si="0"/>
        <v/>
      </c>
      <c r="G50" s="2"/>
      <c r="H50" s="2"/>
      <c r="I50" s="2"/>
      <c r="J50" s="14"/>
      <c r="X50" s="6">
        <f t="shared" si="1"/>
        <v>0</v>
      </c>
      <c r="Y50" s="3">
        <f t="shared" si="2"/>
        <v>0</v>
      </c>
    </row>
    <row r="51" spans="4:25" x14ac:dyDescent="0.25">
      <c r="D51" s="10"/>
      <c r="E51" s="6"/>
      <c r="F51" s="17" t="str">
        <f t="shared" si="0"/>
        <v/>
      </c>
      <c r="G51" s="2"/>
      <c r="H51" s="2"/>
      <c r="I51" s="2"/>
      <c r="J51" s="14"/>
      <c r="X51" s="6">
        <f t="shared" si="1"/>
        <v>0</v>
      </c>
      <c r="Y51" s="3">
        <f t="shared" si="2"/>
        <v>0</v>
      </c>
    </row>
    <row r="52" spans="4:25" x14ac:dyDescent="0.25">
      <c r="D52" s="10"/>
      <c r="E52" s="6"/>
      <c r="F52" s="17" t="str">
        <f t="shared" si="0"/>
        <v/>
      </c>
      <c r="G52" s="2"/>
      <c r="H52" s="2"/>
      <c r="I52" s="2"/>
      <c r="J52" s="9"/>
      <c r="X52" s="6">
        <f t="shared" si="1"/>
        <v>0</v>
      </c>
      <c r="Y52" s="3">
        <f t="shared" si="2"/>
        <v>0</v>
      </c>
    </row>
    <row r="53" spans="4:25" x14ac:dyDescent="0.25">
      <c r="D53" s="2" t="s">
        <v>14</v>
      </c>
      <c r="E53" s="25"/>
      <c r="F53" s="3"/>
      <c r="G53" s="3">
        <f>SUM(G3:G52)</f>
        <v>0</v>
      </c>
      <c r="H53" s="3">
        <f t="shared" ref="H53:I53" si="3">SUM(H3:H52)</f>
        <v>1.83</v>
      </c>
      <c r="I53" s="3">
        <f t="shared" si="3"/>
        <v>0.19</v>
      </c>
    </row>
  </sheetData>
  <mergeCells count="4">
    <mergeCell ref="D1:F1"/>
    <mergeCell ref="G1:I1"/>
    <mergeCell ref="K1:Q1"/>
    <mergeCell ref="X1:Z1"/>
  </mergeCells>
  <conditionalFormatting sqref="A1:B1">
    <cfRule type="expression" dxfId="31" priority="1">
      <formula>$Z$3="+"</formula>
    </cfRule>
    <cfRule type="expression" dxfId="30" priority="2">
      <formula>$B$16=$K$3</formula>
    </cfRule>
  </conditionalFormatting>
  <conditionalFormatting sqref="P3">
    <cfRule type="expression" dxfId="29" priority="7">
      <formula>$Z$3="+"</formula>
    </cfRule>
  </conditionalFormatting>
  <conditionalFormatting sqref="Z3">
    <cfRule type="expression" dxfId="28" priority="8">
      <formula>$Z$3="+"</formula>
    </cfRule>
  </conditionalFormatting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D5263-CE33-4927-93AA-6232274D84F9}">
  <dimension ref="A1:Z53"/>
  <sheetViews>
    <sheetView workbookViewId="0">
      <selection activeCell="I10" sqref="I10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4" customWidth="1"/>
    <col min="25" max="25" width="10.7109375" style="14" customWidth="1"/>
    <col min="26" max="26" width="10.7109375" customWidth="1"/>
  </cols>
  <sheetData>
    <row r="1" spans="1:26" x14ac:dyDescent="0.25">
      <c r="A1" s="5" t="s">
        <v>18</v>
      </c>
      <c r="B1" s="6" t="s">
        <v>36</v>
      </c>
      <c r="D1" s="41" t="s">
        <v>2</v>
      </c>
      <c r="E1" s="42"/>
      <c r="F1" s="43"/>
      <c r="G1" s="41" t="s">
        <v>0</v>
      </c>
      <c r="H1" s="42"/>
      <c r="I1" s="43"/>
      <c r="J1" s="16"/>
      <c r="K1" s="41" t="s">
        <v>41</v>
      </c>
      <c r="L1" s="42"/>
      <c r="M1" s="42"/>
      <c r="N1" s="42"/>
      <c r="O1" s="42"/>
      <c r="P1" s="42"/>
      <c r="Q1" s="43"/>
      <c r="X1" s="41"/>
      <c r="Y1" s="42"/>
      <c r="Z1" s="43"/>
    </row>
    <row r="2" spans="1:26" x14ac:dyDescent="0.25">
      <c r="A2" s="5" t="s">
        <v>15</v>
      </c>
      <c r="B2" s="6" t="s">
        <v>19</v>
      </c>
      <c r="D2" s="11" t="s">
        <v>45</v>
      </c>
      <c r="E2" s="11" t="s">
        <v>46</v>
      </c>
      <c r="F2" s="23" t="s">
        <v>51</v>
      </c>
      <c r="G2" s="11" t="s">
        <v>12</v>
      </c>
      <c r="H2" s="11" t="s">
        <v>13</v>
      </c>
      <c r="I2" s="11" t="s">
        <v>43</v>
      </c>
      <c r="J2" s="9"/>
      <c r="K2" s="11" t="s">
        <v>0</v>
      </c>
      <c r="L2" s="11" t="s">
        <v>1</v>
      </c>
      <c r="M2" s="11" t="s">
        <v>39</v>
      </c>
      <c r="N2" s="11" t="s">
        <v>40</v>
      </c>
      <c r="O2" s="11" t="s">
        <v>2</v>
      </c>
      <c r="P2" s="11" t="s">
        <v>49</v>
      </c>
      <c r="Q2" s="11" t="s">
        <v>51</v>
      </c>
      <c r="X2" s="11" t="s">
        <v>2</v>
      </c>
      <c r="Y2" s="11" t="s">
        <v>42</v>
      </c>
      <c r="Z2" s="11" t="s">
        <v>49</v>
      </c>
    </row>
    <row r="3" spans="1:26" x14ac:dyDescent="0.25">
      <c r="A3" s="5" t="s">
        <v>20</v>
      </c>
      <c r="B3" s="6" t="s">
        <v>37</v>
      </c>
      <c r="D3" s="10">
        <v>46096</v>
      </c>
      <c r="E3" s="10">
        <v>46096</v>
      </c>
      <c r="F3" s="17">
        <f>IF(E3&gt;0,E3-D3,"")</f>
        <v>0</v>
      </c>
      <c r="G3" s="3">
        <v>0</v>
      </c>
      <c r="H3" s="3">
        <v>0.22</v>
      </c>
      <c r="I3" s="3">
        <v>0.02</v>
      </c>
      <c r="J3" s="14"/>
      <c r="K3" s="3">
        <f>G53</f>
        <v>0</v>
      </c>
      <c r="L3" s="3">
        <f>H53</f>
        <v>1.54</v>
      </c>
      <c r="M3" s="3">
        <f>I53</f>
        <v>0.14000000000000001</v>
      </c>
      <c r="N3" s="7" t="str">
        <f>IF(B16=K3,XIRR(Y3:Y52,X3:X52),"")</f>
        <v/>
      </c>
      <c r="O3" s="6" t="str">
        <f>IF(B16=K3,MAX(E:E),"")</f>
        <v/>
      </c>
      <c r="P3" s="2" t="str">
        <f ca="1">IF(Z3="+",TODAY()-B11,"")</f>
        <v/>
      </c>
      <c r="Q3" s="2" t="str">
        <f>IF(B16=K3,MAX(E:E)-B11,"")</f>
        <v/>
      </c>
      <c r="T3" s="13"/>
      <c r="X3" s="6">
        <f>B9</f>
        <v>46065</v>
      </c>
      <c r="Y3" s="3">
        <f>B16*-1</f>
        <v>-21.97</v>
      </c>
      <c r="Z3" s="2" t="str">
        <f ca="1">IF(AND(TODAY()&gt;B11, K3&lt;&gt;B16), "+", "")</f>
        <v/>
      </c>
    </row>
    <row r="4" spans="1:26" x14ac:dyDescent="0.25">
      <c r="A4" s="5" t="s">
        <v>22</v>
      </c>
      <c r="B4" s="6" t="s">
        <v>23</v>
      </c>
      <c r="D4" s="10">
        <v>46127</v>
      </c>
      <c r="E4" s="10">
        <v>46127</v>
      </c>
      <c r="F4" s="17">
        <f>IF(E4&gt;0,E4-D4,"")</f>
        <v>0</v>
      </c>
      <c r="G4" s="3">
        <v>0</v>
      </c>
      <c r="H4" s="2">
        <v>0.22</v>
      </c>
      <c r="I4" s="2">
        <v>0.02</v>
      </c>
      <c r="J4" s="9"/>
      <c r="X4" s="6">
        <f>E3</f>
        <v>46096</v>
      </c>
      <c r="Y4" s="3">
        <f>G3+H3-I3</f>
        <v>0.2</v>
      </c>
    </row>
    <row r="5" spans="1:26" x14ac:dyDescent="0.25">
      <c r="A5" s="5"/>
      <c r="B5" s="6"/>
      <c r="D5" s="10">
        <v>46157</v>
      </c>
      <c r="E5" s="10">
        <v>46157</v>
      </c>
      <c r="F5" s="17">
        <f t="shared" ref="F5:F52" si="0">IF(E5&gt;0,E5-D5,"")</f>
        <v>0</v>
      </c>
      <c r="G5" s="3">
        <v>0</v>
      </c>
      <c r="H5" s="3">
        <v>0.22</v>
      </c>
      <c r="I5" s="3">
        <v>0.02</v>
      </c>
      <c r="J5" s="9"/>
      <c r="X5" s="6">
        <f t="shared" ref="X5:X52" si="1">E4</f>
        <v>46127</v>
      </c>
      <c r="Y5" s="3">
        <f t="shared" ref="Y5:Y52" si="2">G4+H4-I4</f>
        <v>0.2</v>
      </c>
    </row>
    <row r="6" spans="1:26" x14ac:dyDescent="0.25">
      <c r="A6" s="5"/>
      <c r="B6" s="6"/>
      <c r="D6" s="10">
        <v>46188</v>
      </c>
      <c r="E6" s="10">
        <v>46188</v>
      </c>
      <c r="F6" s="17">
        <f t="shared" si="0"/>
        <v>0</v>
      </c>
      <c r="G6" s="3">
        <v>0</v>
      </c>
      <c r="H6" s="3">
        <v>0.22</v>
      </c>
      <c r="I6" s="2">
        <v>0.02</v>
      </c>
      <c r="J6" s="9"/>
      <c r="X6" s="6">
        <f t="shared" si="1"/>
        <v>46157</v>
      </c>
      <c r="Y6" s="3">
        <f t="shared" si="2"/>
        <v>0.2</v>
      </c>
    </row>
    <row r="7" spans="1:26" x14ac:dyDescent="0.25">
      <c r="A7" s="5"/>
      <c r="B7" s="6"/>
      <c r="D7" s="10">
        <v>46218</v>
      </c>
      <c r="E7" s="10">
        <v>46218</v>
      </c>
      <c r="F7" s="17">
        <f t="shared" si="0"/>
        <v>0</v>
      </c>
      <c r="G7" s="3">
        <v>0</v>
      </c>
      <c r="H7" s="2">
        <v>0.22</v>
      </c>
      <c r="I7" s="2">
        <v>0.02</v>
      </c>
      <c r="J7" s="14"/>
      <c r="X7" s="6">
        <f t="shared" si="1"/>
        <v>46188</v>
      </c>
      <c r="Y7" s="3">
        <f t="shared" si="2"/>
        <v>0.2</v>
      </c>
    </row>
    <row r="8" spans="1:26" x14ac:dyDescent="0.25">
      <c r="A8" s="5" t="s">
        <v>16</v>
      </c>
      <c r="B8" s="6" t="str">
        <f>DATEDIF(B9,B11,"y") &amp; " m. " &amp; DATEDIF(B9,B11,"ym") &amp; " mėn. " &amp; DATEDIF(B9,B11,"md") &amp; " d."</f>
        <v>1 m. 0 mėn. 3 d.</v>
      </c>
      <c r="D8" s="10">
        <v>46249</v>
      </c>
      <c r="E8" s="6">
        <v>46249</v>
      </c>
      <c r="F8" s="17">
        <f t="shared" si="0"/>
        <v>0</v>
      </c>
      <c r="G8" s="3">
        <v>0</v>
      </c>
      <c r="H8" s="3">
        <v>0.22</v>
      </c>
      <c r="I8" s="2">
        <v>0.02</v>
      </c>
      <c r="J8" s="9"/>
      <c r="X8" s="6">
        <f t="shared" si="1"/>
        <v>46218</v>
      </c>
      <c r="Y8" s="3">
        <f t="shared" si="2"/>
        <v>0.2</v>
      </c>
    </row>
    <row r="9" spans="1:26" x14ac:dyDescent="0.25">
      <c r="A9" s="5" t="s">
        <v>8</v>
      </c>
      <c r="B9" s="6">
        <v>46065</v>
      </c>
      <c r="D9" s="10">
        <v>46280</v>
      </c>
      <c r="E9" s="6">
        <v>46280</v>
      </c>
      <c r="F9" s="17">
        <f t="shared" si="0"/>
        <v>0</v>
      </c>
      <c r="G9" s="3">
        <v>0</v>
      </c>
      <c r="H9" s="3">
        <v>0.22</v>
      </c>
      <c r="I9" s="3">
        <v>0.02</v>
      </c>
      <c r="J9" s="14"/>
      <c r="X9" s="6">
        <f t="shared" si="1"/>
        <v>46249</v>
      </c>
      <c r="Y9" s="3">
        <f t="shared" si="2"/>
        <v>0.2</v>
      </c>
    </row>
    <row r="10" spans="1:26" x14ac:dyDescent="0.25">
      <c r="A10" s="5" t="s">
        <v>24</v>
      </c>
      <c r="B10" s="6">
        <v>46066</v>
      </c>
      <c r="D10" s="10">
        <v>46310</v>
      </c>
      <c r="E10" s="6"/>
      <c r="F10" s="17" t="str">
        <f t="shared" si="0"/>
        <v/>
      </c>
      <c r="G10" s="2"/>
      <c r="H10" s="2"/>
      <c r="I10" s="2"/>
      <c r="J10" s="14"/>
      <c r="X10" s="6">
        <f t="shared" si="1"/>
        <v>46280</v>
      </c>
      <c r="Y10" s="3">
        <f t="shared" si="2"/>
        <v>0.2</v>
      </c>
    </row>
    <row r="11" spans="1:26" x14ac:dyDescent="0.25">
      <c r="A11" s="5" t="s">
        <v>44</v>
      </c>
      <c r="B11" s="6">
        <v>46433</v>
      </c>
      <c r="D11" s="10">
        <v>46341</v>
      </c>
      <c r="E11" s="6"/>
      <c r="F11" s="17" t="str">
        <f t="shared" si="0"/>
        <v/>
      </c>
      <c r="G11" s="2"/>
      <c r="H11" s="2"/>
      <c r="I11" s="2"/>
      <c r="J11" s="14"/>
      <c r="X11" s="6">
        <f t="shared" si="1"/>
        <v>0</v>
      </c>
      <c r="Y11" s="3">
        <f t="shared" si="2"/>
        <v>0</v>
      </c>
    </row>
    <row r="12" spans="1:26" x14ac:dyDescent="0.25">
      <c r="A12" s="5" t="s">
        <v>52</v>
      </c>
      <c r="B12" s="17">
        <f ca="1">IF(B16&lt;&gt;K3,(TODAY()-B11)*-1,"")</f>
        <v>138</v>
      </c>
      <c r="D12" s="10">
        <v>46371</v>
      </c>
      <c r="E12" s="6"/>
      <c r="F12" s="17" t="str">
        <f t="shared" si="0"/>
        <v/>
      </c>
      <c r="G12" s="2"/>
      <c r="H12" s="2"/>
      <c r="I12" s="2"/>
      <c r="J12" s="14"/>
      <c r="X12" s="6">
        <f t="shared" si="1"/>
        <v>0</v>
      </c>
      <c r="Y12" s="3">
        <f t="shared" si="2"/>
        <v>0</v>
      </c>
    </row>
    <row r="13" spans="1:26" x14ac:dyDescent="0.25">
      <c r="A13" s="5"/>
      <c r="B13" s="3"/>
      <c r="D13" s="10">
        <v>46402</v>
      </c>
      <c r="E13" s="6"/>
      <c r="F13" s="17" t="str">
        <f t="shared" si="0"/>
        <v/>
      </c>
      <c r="G13" s="2"/>
      <c r="H13" s="2"/>
      <c r="I13" s="2"/>
      <c r="J13" s="14"/>
      <c r="N13" s="13"/>
      <c r="X13" s="6">
        <f t="shared" si="1"/>
        <v>0</v>
      </c>
      <c r="Y13" s="3">
        <f t="shared" si="2"/>
        <v>0</v>
      </c>
    </row>
    <row r="14" spans="1:26" x14ac:dyDescent="0.25">
      <c r="A14" s="1"/>
      <c r="B14" s="24"/>
      <c r="D14" s="10">
        <v>46433</v>
      </c>
      <c r="E14" s="6"/>
      <c r="F14" s="17" t="str">
        <f t="shared" si="0"/>
        <v/>
      </c>
      <c r="G14" s="2"/>
      <c r="H14" s="2"/>
      <c r="I14" s="2"/>
      <c r="J14" s="14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>
        <v>0.12</v>
      </c>
      <c r="D15" s="10"/>
      <c r="E15" s="6"/>
      <c r="F15" s="17" t="str">
        <f t="shared" si="0"/>
        <v/>
      </c>
      <c r="G15" s="2"/>
      <c r="H15" s="2"/>
      <c r="I15" s="2"/>
      <c r="J15" s="14"/>
      <c r="K15" s="16"/>
      <c r="L15" s="16"/>
      <c r="M15" s="16"/>
      <c r="N15" s="16"/>
      <c r="O15" s="16"/>
      <c r="P15" s="16"/>
      <c r="Q15" s="16"/>
      <c r="X15" s="6">
        <f t="shared" si="1"/>
        <v>0</v>
      </c>
      <c r="Y15" s="3">
        <f t="shared" si="2"/>
        <v>0</v>
      </c>
    </row>
    <row r="16" spans="1:26" x14ac:dyDescent="0.25">
      <c r="A16" s="5" t="s">
        <v>53</v>
      </c>
      <c r="B16" s="3">
        <v>21.97</v>
      </c>
      <c r="D16" s="10"/>
      <c r="E16" s="6"/>
      <c r="F16" s="17" t="str">
        <f t="shared" si="0"/>
        <v/>
      </c>
      <c r="G16" s="2"/>
      <c r="H16" s="2"/>
      <c r="I16" s="2"/>
      <c r="J16" s="14"/>
      <c r="K16" s="9"/>
      <c r="L16" s="9"/>
      <c r="M16" s="9"/>
      <c r="N16" s="18"/>
      <c r="O16" s="19"/>
      <c r="P16" s="14"/>
      <c r="Q16" s="14"/>
      <c r="X16" s="6">
        <f t="shared" si="1"/>
        <v>0</v>
      </c>
      <c r="Y16" s="3">
        <f t="shared" si="2"/>
        <v>0</v>
      </c>
    </row>
    <row r="17" spans="4:25" x14ac:dyDescent="0.25">
      <c r="D17" s="10"/>
      <c r="E17" s="6"/>
      <c r="F17" s="17" t="str">
        <f t="shared" si="0"/>
        <v/>
      </c>
      <c r="G17" s="2"/>
      <c r="H17" s="2"/>
      <c r="I17" s="2"/>
      <c r="J17" s="14"/>
      <c r="X17" s="6">
        <f t="shared" si="1"/>
        <v>0</v>
      </c>
      <c r="Y17" s="3">
        <f t="shared" si="2"/>
        <v>0</v>
      </c>
    </row>
    <row r="18" spans="4:25" x14ac:dyDescent="0.25">
      <c r="D18" s="10"/>
      <c r="E18" s="6"/>
      <c r="F18" s="17" t="str">
        <f t="shared" si="0"/>
        <v/>
      </c>
      <c r="G18" s="2"/>
      <c r="H18" s="2"/>
      <c r="I18" s="2"/>
      <c r="J18" s="14"/>
      <c r="X18" s="6">
        <f t="shared" si="1"/>
        <v>0</v>
      </c>
      <c r="Y18" s="3">
        <f t="shared" si="2"/>
        <v>0</v>
      </c>
    </row>
    <row r="19" spans="4:25" x14ac:dyDescent="0.25">
      <c r="D19" s="10"/>
      <c r="E19" s="6"/>
      <c r="F19" s="17" t="str">
        <f t="shared" si="0"/>
        <v/>
      </c>
      <c r="G19" s="2"/>
      <c r="H19" s="2"/>
      <c r="I19" s="2"/>
      <c r="J19" s="14"/>
      <c r="X19" s="6">
        <f t="shared" si="1"/>
        <v>0</v>
      </c>
      <c r="Y19" s="3">
        <f t="shared" si="2"/>
        <v>0</v>
      </c>
    </row>
    <row r="20" spans="4:25" x14ac:dyDescent="0.25">
      <c r="D20" s="10"/>
      <c r="E20" s="6"/>
      <c r="F20" s="17" t="str">
        <f t="shared" si="0"/>
        <v/>
      </c>
      <c r="G20" s="2"/>
      <c r="H20" s="2"/>
      <c r="I20" s="2"/>
      <c r="J20" s="14"/>
      <c r="X20" s="6">
        <f t="shared" si="1"/>
        <v>0</v>
      </c>
      <c r="Y20" s="3">
        <f t="shared" si="2"/>
        <v>0</v>
      </c>
    </row>
    <row r="21" spans="4:25" x14ac:dyDescent="0.25">
      <c r="D21" s="10"/>
      <c r="E21" s="6"/>
      <c r="F21" s="17" t="str">
        <f t="shared" si="0"/>
        <v/>
      </c>
      <c r="G21" s="2"/>
      <c r="H21" s="2"/>
      <c r="I21" s="2"/>
      <c r="J21" s="14"/>
      <c r="X21" s="6">
        <f t="shared" si="1"/>
        <v>0</v>
      </c>
      <c r="Y21" s="3">
        <f t="shared" si="2"/>
        <v>0</v>
      </c>
    </row>
    <row r="22" spans="4:25" x14ac:dyDescent="0.25">
      <c r="D22" s="10"/>
      <c r="E22" s="6"/>
      <c r="F22" s="17" t="str">
        <f t="shared" si="0"/>
        <v/>
      </c>
      <c r="G22" s="2"/>
      <c r="H22" s="2"/>
      <c r="I22" s="2"/>
      <c r="J22" s="14"/>
      <c r="X22" s="6">
        <f t="shared" si="1"/>
        <v>0</v>
      </c>
      <c r="Y22" s="3">
        <f t="shared" si="2"/>
        <v>0</v>
      </c>
    </row>
    <row r="23" spans="4:25" x14ac:dyDescent="0.25">
      <c r="D23" s="10"/>
      <c r="E23" s="6"/>
      <c r="F23" s="17" t="str">
        <f t="shared" si="0"/>
        <v/>
      </c>
      <c r="G23" s="2"/>
      <c r="H23" s="2"/>
      <c r="I23" s="2"/>
      <c r="J23" s="14"/>
      <c r="X23" s="6">
        <f t="shared" si="1"/>
        <v>0</v>
      </c>
      <c r="Y23" s="3">
        <f t="shared" si="2"/>
        <v>0</v>
      </c>
    </row>
    <row r="24" spans="4:25" x14ac:dyDescent="0.25">
      <c r="D24" s="10"/>
      <c r="E24" s="6"/>
      <c r="F24" s="17" t="str">
        <f t="shared" si="0"/>
        <v/>
      </c>
      <c r="G24" s="2"/>
      <c r="H24" s="2"/>
      <c r="I24" s="2"/>
      <c r="J24" s="14"/>
      <c r="X24" s="6">
        <f t="shared" si="1"/>
        <v>0</v>
      </c>
      <c r="Y24" s="3">
        <f t="shared" si="2"/>
        <v>0</v>
      </c>
    </row>
    <row r="25" spans="4:25" x14ac:dyDescent="0.25">
      <c r="D25" s="10"/>
      <c r="E25" s="6"/>
      <c r="F25" s="17" t="str">
        <f t="shared" si="0"/>
        <v/>
      </c>
      <c r="G25" s="2"/>
      <c r="H25" s="2"/>
      <c r="I25" s="2"/>
      <c r="J25" s="14"/>
      <c r="X25" s="6">
        <f t="shared" si="1"/>
        <v>0</v>
      </c>
      <c r="Y25" s="3">
        <f t="shared" si="2"/>
        <v>0</v>
      </c>
    </row>
    <row r="26" spans="4:25" x14ac:dyDescent="0.25">
      <c r="D26" s="10"/>
      <c r="E26" s="6"/>
      <c r="F26" s="17" t="str">
        <f t="shared" si="0"/>
        <v/>
      </c>
      <c r="G26" s="2"/>
      <c r="H26" s="2"/>
      <c r="I26" s="2"/>
      <c r="J26" s="14"/>
      <c r="X26" s="6">
        <f t="shared" si="1"/>
        <v>0</v>
      </c>
      <c r="Y26" s="3">
        <f t="shared" si="2"/>
        <v>0</v>
      </c>
    </row>
    <row r="27" spans="4:25" x14ac:dyDescent="0.25">
      <c r="D27" s="10"/>
      <c r="E27" s="6"/>
      <c r="F27" s="17" t="str">
        <f t="shared" si="0"/>
        <v/>
      </c>
      <c r="G27" s="2"/>
      <c r="H27" s="2"/>
      <c r="I27" s="2"/>
      <c r="J27" s="14"/>
      <c r="X27" s="6">
        <f t="shared" si="1"/>
        <v>0</v>
      </c>
      <c r="Y27" s="3">
        <f t="shared" si="2"/>
        <v>0</v>
      </c>
    </row>
    <row r="28" spans="4:25" x14ac:dyDescent="0.25">
      <c r="D28" s="10"/>
      <c r="E28" s="6"/>
      <c r="F28" s="17" t="str">
        <f t="shared" si="0"/>
        <v/>
      </c>
      <c r="G28" s="2"/>
      <c r="H28" s="2"/>
      <c r="I28" s="2"/>
      <c r="J28" s="14"/>
      <c r="X28" s="6">
        <f t="shared" si="1"/>
        <v>0</v>
      </c>
      <c r="Y28" s="3">
        <f t="shared" si="2"/>
        <v>0</v>
      </c>
    </row>
    <row r="29" spans="4:25" x14ac:dyDescent="0.25">
      <c r="D29" s="10"/>
      <c r="E29" s="6"/>
      <c r="F29" s="17" t="str">
        <f t="shared" si="0"/>
        <v/>
      </c>
      <c r="G29" s="2"/>
      <c r="H29" s="2"/>
      <c r="I29" s="2"/>
      <c r="J29" s="14"/>
      <c r="X29" s="6">
        <f t="shared" si="1"/>
        <v>0</v>
      </c>
      <c r="Y29" s="3">
        <f t="shared" si="2"/>
        <v>0</v>
      </c>
    </row>
    <row r="30" spans="4:25" x14ac:dyDescent="0.25">
      <c r="D30" s="10"/>
      <c r="E30" s="6"/>
      <c r="F30" s="17" t="str">
        <f t="shared" si="0"/>
        <v/>
      </c>
      <c r="G30" s="2"/>
      <c r="H30" s="2"/>
      <c r="I30" s="2"/>
      <c r="J30" s="14"/>
      <c r="X30" s="6">
        <f t="shared" si="1"/>
        <v>0</v>
      </c>
      <c r="Y30" s="3">
        <f t="shared" si="2"/>
        <v>0</v>
      </c>
    </row>
    <row r="31" spans="4:25" x14ac:dyDescent="0.25">
      <c r="D31" s="10"/>
      <c r="E31" s="6"/>
      <c r="F31" s="17" t="str">
        <f t="shared" si="0"/>
        <v/>
      </c>
      <c r="G31" s="2"/>
      <c r="H31" s="2"/>
      <c r="I31" s="2"/>
      <c r="J31" s="14"/>
      <c r="X31" s="6">
        <f t="shared" si="1"/>
        <v>0</v>
      </c>
      <c r="Y31" s="3">
        <f t="shared" si="2"/>
        <v>0</v>
      </c>
    </row>
    <row r="32" spans="4:25" x14ac:dyDescent="0.25">
      <c r="D32" s="10"/>
      <c r="E32" s="6"/>
      <c r="F32" s="17" t="str">
        <f t="shared" si="0"/>
        <v/>
      </c>
      <c r="G32" s="2"/>
      <c r="H32" s="2"/>
      <c r="I32" s="2"/>
      <c r="J32" s="14"/>
      <c r="X32" s="6">
        <f t="shared" si="1"/>
        <v>0</v>
      </c>
      <c r="Y32" s="3">
        <f t="shared" si="2"/>
        <v>0</v>
      </c>
    </row>
    <row r="33" spans="4:25" x14ac:dyDescent="0.25">
      <c r="D33" s="10"/>
      <c r="E33" s="6"/>
      <c r="F33" s="17" t="str">
        <f t="shared" si="0"/>
        <v/>
      </c>
      <c r="G33" s="2"/>
      <c r="H33" s="2"/>
      <c r="I33" s="2"/>
      <c r="J33" s="14"/>
      <c r="X33" s="6">
        <f t="shared" si="1"/>
        <v>0</v>
      </c>
      <c r="Y33" s="3">
        <f t="shared" si="2"/>
        <v>0</v>
      </c>
    </row>
    <row r="34" spans="4:25" x14ac:dyDescent="0.25">
      <c r="D34" s="10"/>
      <c r="E34" s="6"/>
      <c r="F34" s="17" t="str">
        <f t="shared" si="0"/>
        <v/>
      </c>
      <c r="G34" s="2"/>
      <c r="H34" s="2"/>
      <c r="I34" s="2"/>
      <c r="J34" s="14"/>
      <c r="X34" s="6">
        <f t="shared" si="1"/>
        <v>0</v>
      </c>
      <c r="Y34" s="3">
        <f t="shared" si="2"/>
        <v>0</v>
      </c>
    </row>
    <row r="35" spans="4:25" x14ac:dyDescent="0.25">
      <c r="D35" s="10"/>
      <c r="E35" s="6"/>
      <c r="F35" s="17" t="str">
        <f t="shared" si="0"/>
        <v/>
      </c>
      <c r="G35" s="2"/>
      <c r="H35" s="2"/>
      <c r="I35" s="2"/>
      <c r="J35" s="14"/>
      <c r="X35" s="6">
        <f t="shared" si="1"/>
        <v>0</v>
      </c>
      <c r="Y35" s="3">
        <f t="shared" si="2"/>
        <v>0</v>
      </c>
    </row>
    <row r="36" spans="4:25" x14ac:dyDescent="0.25">
      <c r="D36" s="10"/>
      <c r="E36" s="6"/>
      <c r="F36" s="17" t="str">
        <f t="shared" si="0"/>
        <v/>
      </c>
      <c r="G36" s="2"/>
      <c r="H36" s="2"/>
      <c r="I36" s="2"/>
      <c r="J36" s="14"/>
      <c r="X36" s="6">
        <f t="shared" si="1"/>
        <v>0</v>
      </c>
      <c r="Y36" s="3">
        <f t="shared" si="2"/>
        <v>0</v>
      </c>
    </row>
    <row r="37" spans="4:25" x14ac:dyDescent="0.25">
      <c r="D37" s="10"/>
      <c r="E37" s="6"/>
      <c r="F37" s="17" t="str">
        <f t="shared" si="0"/>
        <v/>
      </c>
      <c r="G37" s="2"/>
      <c r="H37" s="2"/>
      <c r="I37" s="2"/>
      <c r="J37" s="14"/>
      <c r="X37" s="6">
        <f t="shared" si="1"/>
        <v>0</v>
      </c>
      <c r="Y37" s="3">
        <f t="shared" si="2"/>
        <v>0</v>
      </c>
    </row>
    <row r="38" spans="4:25" x14ac:dyDescent="0.25">
      <c r="D38" s="10"/>
      <c r="E38" s="6"/>
      <c r="F38" s="17" t="str">
        <f t="shared" si="0"/>
        <v/>
      </c>
      <c r="G38" s="2"/>
      <c r="H38" s="2"/>
      <c r="I38" s="2"/>
      <c r="J38" s="14"/>
      <c r="X38" s="6">
        <f t="shared" si="1"/>
        <v>0</v>
      </c>
      <c r="Y38" s="3">
        <f t="shared" si="2"/>
        <v>0</v>
      </c>
    </row>
    <row r="39" spans="4:25" x14ac:dyDescent="0.25">
      <c r="D39" s="10"/>
      <c r="E39" s="6"/>
      <c r="F39" s="17" t="str">
        <f t="shared" si="0"/>
        <v/>
      </c>
      <c r="G39" s="2"/>
      <c r="H39" s="2"/>
      <c r="I39" s="2"/>
      <c r="J39" s="14"/>
      <c r="X39" s="6">
        <f t="shared" si="1"/>
        <v>0</v>
      </c>
      <c r="Y39" s="3">
        <f t="shared" si="2"/>
        <v>0</v>
      </c>
    </row>
    <row r="40" spans="4:25" x14ac:dyDescent="0.25">
      <c r="D40" s="10"/>
      <c r="E40" s="6"/>
      <c r="F40" s="17" t="str">
        <f t="shared" si="0"/>
        <v/>
      </c>
      <c r="G40" s="2"/>
      <c r="H40" s="2"/>
      <c r="I40" s="2"/>
      <c r="J40" s="14"/>
      <c r="X40" s="6">
        <f t="shared" si="1"/>
        <v>0</v>
      </c>
      <c r="Y40" s="3">
        <f t="shared" si="2"/>
        <v>0</v>
      </c>
    </row>
    <row r="41" spans="4:25" x14ac:dyDescent="0.25">
      <c r="D41" s="10"/>
      <c r="E41" s="6"/>
      <c r="F41" s="17" t="str">
        <f t="shared" si="0"/>
        <v/>
      </c>
      <c r="G41" s="2"/>
      <c r="H41" s="2"/>
      <c r="I41" s="2"/>
      <c r="J41" s="14"/>
      <c r="X41" s="6">
        <f t="shared" si="1"/>
        <v>0</v>
      </c>
      <c r="Y41" s="3">
        <f t="shared" si="2"/>
        <v>0</v>
      </c>
    </row>
    <row r="42" spans="4:25" x14ac:dyDescent="0.25">
      <c r="D42" s="10"/>
      <c r="E42" s="6"/>
      <c r="F42" s="17" t="str">
        <f t="shared" si="0"/>
        <v/>
      </c>
      <c r="G42" s="2"/>
      <c r="H42" s="2"/>
      <c r="I42" s="2"/>
      <c r="J42" s="14"/>
      <c r="X42" s="6">
        <f t="shared" si="1"/>
        <v>0</v>
      </c>
      <c r="Y42" s="3">
        <f t="shared" si="2"/>
        <v>0</v>
      </c>
    </row>
    <row r="43" spans="4:25" x14ac:dyDescent="0.25">
      <c r="D43" s="10"/>
      <c r="E43" s="6"/>
      <c r="F43" s="17" t="str">
        <f t="shared" si="0"/>
        <v/>
      </c>
      <c r="G43" s="2"/>
      <c r="H43" s="2"/>
      <c r="I43" s="2"/>
      <c r="J43" s="14"/>
      <c r="X43" s="6">
        <f t="shared" si="1"/>
        <v>0</v>
      </c>
      <c r="Y43" s="3">
        <f t="shared" si="2"/>
        <v>0</v>
      </c>
    </row>
    <row r="44" spans="4:25" x14ac:dyDescent="0.25">
      <c r="D44" s="10"/>
      <c r="E44" s="6"/>
      <c r="F44" s="17" t="str">
        <f t="shared" si="0"/>
        <v/>
      </c>
      <c r="G44" s="2"/>
      <c r="H44" s="2"/>
      <c r="I44" s="2"/>
      <c r="J44" s="14"/>
      <c r="X44" s="6">
        <f t="shared" si="1"/>
        <v>0</v>
      </c>
      <c r="Y44" s="3">
        <f t="shared" si="2"/>
        <v>0</v>
      </c>
    </row>
    <row r="45" spans="4:25" x14ac:dyDescent="0.25">
      <c r="D45" s="10"/>
      <c r="E45" s="6"/>
      <c r="F45" s="17" t="str">
        <f t="shared" si="0"/>
        <v/>
      </c>
      <c r="G45" s="2"/>
      <c r="H45" s="2"/>
      <c r="I45" s="2"/>
      <c r="J45" s="14"/>
      <c r="X45" s="6">
        <f t="shared" si="1"/>
        <v>0</v>
      </c>
      <c r="Y45" s="3">
        <f t="shared" si="2"/>
        <v>0</v>
      </c>
    </row>
    <row r="46" spans="4:25" x14ac:dyDescent="0.25">
      <c r="D46" s="10"/>
      <c r="E46" s="6"/>
      <c r="F46" s="17" t="str">
        <f t="shared" si="0"/>
        <v/>
      </c>
      <c r="G46" s="2"/>
      <c r="H46" s="2"/>
      <c r="I46" s="2"/>
      <c r="J46" s="14"/>
      <c r="X46" s="6">
        <f t="shared" si="1"/>
        <v>0</v>
      </c>
      <c r="Y46" s="3">
        <f t="shared" si="2"/>
        <v>0</v>
      </c>
    </row>
    <row r="47" spans="4:25" x14ac:dyDescent="0.25">
      <c r="D47" s="10"/>
      <c r="E47" s="6"/>
      <c r="F47" s="17" t="str">
        <f t="shared" si="0"/>
        <v/>
      </c>
      <c r="G47" s="2"/>
      <c r="H47" s="2"/>
      <c r="I47" s="2"/>
      <c r="J47" s="14"/>
      <c r="X47" s="6">
        <f t="shared" si="1"/>
        <v>0</v>
      </c>
      <c r="Y47" s="3">
        <f t="shared" si="2"/>
        <v>0</v>
      </c>
    </row>
    <row r="48" spans="4:25" x14ac:dyDescent="0.25">
      <c r="D48" s="10"/>
      <c r="E48" s="6"/>
      <c r="F48" s="17" t="str">
        <f t="shared" si="0"/>
        <v/>
      </c>
      <c r="G48" s="2"/>
      <c r="H48" s="2"/>
      <c r="I48" s="2"/>
      <c r="J48" s="14"/>
      <c r="X48" s="6">
        <f t="shared" si="1"/>
        <v>0</v>
      </c>
      <c r="Y48" s="3">
        <f t="shared" si="2"/>
        <v>0</v>
      </c>
    </row>
    <row r="49" spans="4:25" x14ac:dyDescent="0.25">
      <c r="D49" s="10"/>
      <c r="E49" s="6"/>
      <c r="F49" s="17" t="str">
        <f t="shared" si="0"/>
        <v/>
      </c>
      <c r="G49" s="2"/>
      <c r="H49" s="2"/>
      <c r="I49" s="2"/>
      <c r="J49" s="14"/>
      <c r="X49" s="6">
        <f t="shared" si="1"/>
        <v>0</v>
      </c>
      <c r="Y49" s="3">
        <f t="shared" si="2"/>
        <v>0</v>
      </c>
    </row>
    <row r="50" spans="4:25" x14ac:dyDescent="0.25">
      <c r="D50" s="10"/>
      <c r="E50" s="6"/>
      <c r="F50" s="17" t="str">
        <f t="shared" si="0"/>
        <v/>
      </c>
      <c r="G50" s="2"/>
      <c r="H50" s="2"/>
      <c r="I50" s="2"/>
      <c r="J50" s="14"/>
      <c r="X50" s="6">
        <f t="shared" si="1"/>
        <v>0</v>
      </c>
      <c r="Y50" s="3">
        <f t="shared" si="2"/>
        <v>0</v>
      </c>
    </row>
    <row r="51" spans="4:25" x14ac:dyDescent="0.25">
      <c r="D51" s="10"/>
      <c r="E51" s="6"/>
      <c r="F51" s="17" t="str">
        <f t="shared" si="0"/>
        <v/>
      </c>
      <c r="G51" s="2"/>
      <c r="H51" s="2"/>
      <c r="I51" s="2"/>
      <c r="J51" s="14"/>
      <c r="X51" s="6">
        <f t="shared" si="1"/>
        <v>0</v>
      </c>
      <c r="Y51" s="3">
        <f t="shared" si="2"/>
        <v>0</v>
      </c>
    </row>
    <row r="52" spans="4:25" x14ac:dyDescent="0.25">
      <c r="D52" s="10"/>
      <c r="E52" s="6"/>
      <c r="F52" s="17" t="str">
        <f t="shared" si="0"/>
        <v/>
      </c>
      <c r="G52" s="2"/>
      <c r="H52" s="2"/>
      <c r="I52" s="2"/>
      <c r="J52" s="9"/>
      <c r="X52" s="6">
        <f t="shared" si="1"/>
        <v>0</v>
      </c>
      <c r="Y52" s="3">
        <f t="shared" si="2"/>
        <v>0</v>
      </c>
    </row>
    <row r="53" spans="4:25" x14ac:dyDescent="0.25">
      <c r="D53" s="2" t="s">
        <v>14</v>
      </c>
      <c r="E53" s="25"/>
      <c r="F53" s="3"/>
      <c r="G53" s="3">
        <f>SUM(G3:G52)</f>
        <v>0</v>
      </c>
      <c r="H53" s="3">
        <f t="shared" ref="H53:I53" si="3">SUM(H3:H52)</f>
        <v>1.54</v>
      </c>
      <c r="I53" s="3">
        <f t="shared" si="3"/>
        <v>0.14000000000000001</v>
      </c>
    </row>
  </sheetData>
  <mergeCells count="4">
    <mergeCell ref="D1:F1"/>
    <mergeCell ref="G1:I1"/>
    <mergeCell ref="K1:Q1"/>
    <mergeCell ref="X1:Z1"/>
  </mergeCells>
  <conditionalFormatting sqref="A1:B1">
    <cfRule type="expression" dxfId="27" priority="1">
      <formula>$Z$3="+"</formula>
    </cfRule>
    <cfRule type="expression" dxfId="26" priority="2">
      <formula>$B$16=$K$3</formula>
    </cfRule>
  </conditionalFormatting>
  <conditionalFormatting sqref="P3">
    <cfRule type="expression" dxfId="25" priority="7">
      <formula>$Z$3="+"</formula>
    </cfRule>
  </conditionalFormatting>
  <conditionalFormatting sqref="Z3">
    <cfRule type="expression" dxfId="24" priority="8">
      <formula>$Z$3="+"</formula>
    </cfRule>
  </conditionalFormatting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61398-82DC-4A18-83BA-B3E07706D6C6}">
  <dimension ref="A1:Z53"/>
  <sheetViews>
    <sheetView workbookViewId="0">
      <selection activeCell="I10" sqref="I10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4" customWidth="1"/>
    <col min="25" max="25" width="10.7109375" style="14" customWidth="1"/>
    <col min="26" max="26" width="10.7109375" customWidth="1"/>
  </cols>
  <sheetData>
    <row r="1" spans="1:26" x14ac:dyDescent="0.25">
      <c r="A1" s="5" t="s">
        <v>18</v>
      </c>
      <c r="B1" s="6" t="s">
        <v>34</v>
      </c>
      <c r="D1" s="41" t="s">
        <v>2</v>
      </c>
      <c r="E1" s="42"/>
      <c r="F1" s="43"/>
      <c r="G1" s="41" t="s">
        <v>0</v>
      </c>
      <c r="H1" s="42"/>
      <c r="I1" s="43"/>
      <c r="J1" s="16"/>
      <c r="K1" s="41" t="s">
        <v>41</v>
      </c>
      <c r="L1" s="42"/>
      <c r="M1" s="42"/>
      <c r="N1" s="42"/>
      <c r="O1" s="42"/>
      <c r="P1" s="42"/>
      <c r="Q1" s="43"/>
      <c r="X1" s="41"/>
      <c r="Y1" s="42"/>
      <c r="Z1" s="43"/>
    </row>
    <row r="2" spans="1:26" x14ac:dyDescent="0.25">
      <c r="A2" s="5" t="s">
        <v>15</v>
      </c>
      <c r="B2" s="6" t="s">
        <v>19</v>
      </c>
      <c r="D2" s="11" t="s">
        <v>45</v>
      </c>
      <c r="E2" s="11" t="s">
        <v>46</v>
      </c>
      <c r="F2" s="23" t="s">
        <v>51</v>
      </c>
      <c r="G2" s="11" t="s">
        <v>12</v>
      </c>
      <c r="H2" s="11" t="s">
        <v>13</v>
      </c>
      <c r="I2" s="11" t="s">
        <v>43</v>
      </c>
      <c r="J2" s="9"/>
      <c r="K2" s="11" t="s">
        <v>0</v>
      </c>
      <c r="L2" s="11" t="s">
        <v>1</v>
      </c>
      <c r="M2" s="11" t="s">
        <v>39</v>
      </c>
      <c r="N2" s="11" t="s">
        <v>40</v>
      </c>
      <c r="O2" s="11" t="s">
        <v>2</v>
      </c>
      <c r="P2" s="11" t="s">
        <v>49</v>
      </c>
      <c r="Q2" s="11" t="s">
        <v>51</v>
      </c>
      <c r="X2" s="11" t="s">
        <v>2</v>
      </c>
      <c r="Y2" s="11" t="s">
        <v>42</v>
      </c>
      <c r="Z2" s="11" t="s">
        <v>49</v>
      </c>
    </row>
    <row r="3" spans="1:26" x14ac:dyDescent="0.25">
      <c r="A3" s="5" t="s">
        <v>20</v>
      </c>
      <c r="B3" s="6" t="s">
        <v>35</v>
      </c>
      <c r="D3" s="10">
        <v>46096</v>
      </c>
      <c r="E3" s="10">
        <v>46096</v>
      </c>
      <c r="F3" s="17">
        <f>IF(E3&gt;0,E3-D3,"")</f>
        <v>0</v>
      </c>
      <c r="G3" s="3">
        <v>0</v>
      </c>
      <c r="H3" s="3">
        <v>0.3</v>
      </c>
      <c r="I3" s="3">
        <v>0.03</v>
      </c>
      <c r="J3" s="14"/>
      <c r="K3" s="3">
        <f>G53</f>
        <v>0</v>
      </c>
      <c r="L3" s="3">
        <f>H53</f>
        <v>1.3599999999999999</v>
      </c>
      <c r="M3" s="3">
        <f>I53</f>
        <v>0.15</v>
      </c>
      <c r="N3" s="7" t="str">
        <f>IF(B16=K3,XIRR(Y3:Y52,X3:X52),"")</f>
        <v/>
      </c>
      <c r="O3" s="6" t="str">
        <f>IF(B16=K3,MAX(E:E),"")</f>
        <v/>
      </c>
      <c r="P3" s="2" t="str">
        <f ca="1">IF(Z3="+",TODAY()-B11,"")</f>
        <v/>
      </c>
      <c r="Q3" s="2" t="str">
        <f>IF(B16=K3,MAX(E:E)-B11,"")</f>
        <v/>
      </c>
      <c r="T3" s="13"/>
      <c r="X3" s="6">
        <f>B9</f>
        <v>46042</v>
      </c>
      <c r="Y3" s="3">
        <f>B16*-1</f>
        <v>-21.2</v>
      </c>
      <c r="Z3" s="2" t="str">
        <f ca="1">IF(AND(TODAY()&gt;B11, K3&lt;&gt;B16), "+", "")</f>
        <v/>
      </c>
    </row>
    <row r="4" spans="1:26" x14ac:dyDescent="0.25">
      <c r="A4" s="5" t="s">
        <v>22</v>
      </c>
      <c r="B4" s="6" t="s">
        <v>23</v>
      </c>
      <c r="D4" s="10">
        <v>46127</v>
      </c>
      <c r="E4" s="10">
        <v>46127</v>
      </c>
      <c r="F4" s="17">
        <f>IF(E4&gt;0,E4-D4,"")</f>
        <v>0</v>
      </c>
      <c r="G4" s="3">
        <v>0</v>
      </c>
      <c r="H4" s="2">
        <v>0.18</v>
      </c>
      <c r="I4" s="2">
        <v>0.02</v>
      </c>
      <c r="J4" s="9"/>
      <c r="X4" s="6">
        <f>E3</f>
        <v>46096</v>
      </c>
      <c r="Y4" s="3">
        <f>G3+H3-I3</f>
        <v>0.27</v>
      </c>
    </row>
    <row r="5" spans="1:26" x14ac:dyDescent="0.25">
      <c r="A5" s="5"/>
      <c r="B5" s="6"/>
      <c r="D5" s="10">
        <v>46157</v>
      </c>
      <c r="E5" s="10">
        <v>46157</v>
      </c>
      <c r="F5" s="17">
        <f t="shared" ref="F5:F52" si="0">IF(E5&gt;0,E5-D5,"")</f>
        <v>0</v>
      </c>
      <c r="G5" s="3">
        <v>0</v>
      </c>
      <c r="H5" s="3">
        <v>0.17</v>
      </c>
      <c r="I5" s="3">
        <v>0.02</v>
      </c>
      <c r="J5" s="9"/>
      <c r="X5" s="6">
        <f t="shared" ref="X5:X52" si="1">E4</f>
        <v>46127</v>
      </c>
      <c r="Y5" s="3">
        <f t="shared" ref="Y5:Y52" si="2">G4+H4-I4</f>
        <v>0.16</v>
      </c>
    </row>
    <row r="6" spans="1:26" x14ac:dyDescent="0.25">
      <c r="A6" s="5"/>
      <c r="B6" s="6"/>
      <c r="D6" s="10">
        <v>46188</v>
      </c>
      <c r="E6" s="10">
        <v>46188</v>
      </c>
      <c r="F6" s="17">
        <f t="shared" si="0"/>
        <v>0</v>
      </c>
      <c r="G6" s="3">
        <v>0</v>
      </c>
      <c r="H6" s="3">
        <v>0.18</v>
      </c>
      <c r="I6" s="2">
        <v>0.02</v>
      </c>
      <c r="J6" s="9"/>
      <c r="X6" s="6">
        <f t="shared" si="1"/>
        <v>46157</v>
      </c>
      <c r="Y6" s="3">
        <f t="shared" si="2"/>
        <v>0.15000000000000002</v>
      </c>
    </row>
    <row r="7" spans="1:26" x14ac:dyDescent="0.25">
      <c r="A7" s="5"/>
      <c r="B7" s="6"/>
      <c r="D7" s="10">
        <v>46218</v>
      </c>
      <c r="E7" s="10">
        <v>46218</v>
      </c>
      <c r="F7" s="17">
        <f t="shared" si="0"/>
        <v>0</v>
      </c>
      <c r="G7" s="3">
        <v>0</v>
      </c>
      <c r="H7" s="2">
        <v>0.17</v>
      </c>
      <c r="I7" s="2">
        <v>0.02</v>
      </c>
      <c r="J7" s="14"/>
      <c r="X7" s="6">
        <f t="shared" si="1"/>
        <v>46188</v>
      </c>
      <c r="Y7" s="3">
        <f t="shared" si="2"/>
        <v>0.16</v>
      </c>
    </row>
    <row r="8" spans="1:26" x14ac:dyDescent="0.25">
      <c r="A8" s="5" t="s">
        <v>16</v>
      </c>
      <c r="B8" s="6" t="str">
        <f>DATEDIF(B9,B11,"y") &amp; " m. " &amp; DATEDIF(B9,B11,"ym") &amp; " mėn. " &amp; DATEDIF(B9,B11,"md") &amp; " d."</f>
        <v>1 m. 0 mėn. 26 d.</v>
      </c>
      <c r="D8" s="10">
        <v>46249</v>
      </c>
      <c r="E8" s="6">
        <v>46249</v>
      </c>
      <c r="F8" s="17">
        <f t="shared" si="0"/>
        <v>0</v>
      </c>
      <c r="G8" s="3">
        <v>0</v>
      </c>
      <c r="H8" s="3">
        <v>0.18</v>
      </c>
      <c r="I8" s="2">
        <v>0.02</v>
      </c>
      <c r="J8" s="9"/>
      <c r="X8" s="6">
        <f t="shared" si="1"/>
        <v>46218</v>
      </c>
      <c r="Y8" s="3">
        <f t="shared" si="2"/>
        <v>0.15000000000000002</v>
      </c>
    </row>
    <row r="9" spans="1:26" x14ac:dyDescent="0.25">
      <c r="A9" s="5" t="s">
        <v>8</v>
      </c>
      <c r="B9" s="6">
        <v>46042</v>
      </c>
      <c r="D9" s="10">
        <v>46280</v>
      </c>
      <c r="E9" s="6">
        <v>46280</v>
      </c>
      <c r="F9" s="17">
        <f t="shared" si="0"/>
        <v>0</v>
      </c>
      <c r="G9" s="3">
        <v>0</v>
      </c>
      <c r="H9" s="3">
        <v>0.18</v>
      </c>
      <c r="I9" s="3">
        <v>0.02</v>
      </c>
      <c r="J9" s="14"/>
      <c r="X9" s="6">
        <f t="shared" si="1"/>
        <v>46249</v>
      </c>
      <c r="Y9" s="3">
        <f t="shared" si="2"/>
        <v>0.16</v>
      </c>
    </row>
    <row r="10" spans="1:26" x14ac:dyDescent="0.25">
      <c r="A10" s="5" t="s">
        <v>24</v>
      </c>
      <c r="B10" s="6">
        <v>46045</v>
      </c>
      <c r="D10" s="10">
        <v>46310</v>
      </c>
      <c r="E10" s="6"/>
      <c r="F10" s="17" t="str">
        <f t="shared" si="0"/>
        <v/>
      </c>
      <c r="G10" s="2"/>
      <c r="H10" s="2"/>
      <c r="I10" s="2"/>
      <c r="J10" s="14"/>
      <c r="X10" s="6">
        <f t="shared" si="1"/>
        <v>46280</v>
      </c>
      <c r="Y10" s="3">
        <f t="shared" si="2"/>
        <v>0.16</v>
      </c>
    </row>
    <row r="11" spans="1:26" x14ac:dyDescent="0.25">
      <c r="A11" s="5" t="s">
        <v>44</v>
      </c>
      <c r="B11" s="6">
        <v>46433</v>
      </c>
      <c r="D11" s="10">
        <v>46341</v>
      </c>
      <c r="E11" s="6"/>
      <c r="F11" s="17" t="str">
        <f t="shared" si="0"/>
        <v/>
      </c>
      <c r="G11" s="2"/>
      <c r="H11" s="2"/>
      <c r="I11" s="2"/>
      <c r="J11" s="14"/>
      <c r="X11" s="6">
        <f t="shared" si="1"/>
        <v>0</v>
      </c>
      <c r="Y11" s="3">
        <f t="shared" si="2"/>
        <v>0</v>
      </c>
    </row>
    <row r="12" spans="1:26" x14ac:dyDescent="0.25">
      <c r="A12" s="5" t="s">
        <v>52</v>
      </c>
      <c r="B12" s="17">
        <f ca="1">IF(B16&lt;&gt;K3,(TODAY()-B11)*-1,"")</f>
        <v>138</v>
      </c>
      <c r="D12" s="10">
        <v>46371</v>
      </c>
      <c r="E12" s="6"/>
      <c r="F12" s="17" t="str">
        <f t="shared" si="0"/>
        <v/>
      </c>
      <c r="G12" s="2"/>
      <c r="H12" s="2"/>
      <c r="I12" s="2"/>
      <c r="J12" s="14"/>
      <c r="X12" s="6">
        <f t="shared" si="1"/>
        <v>0</v>
      </c>
      <c r="Y12" s="3">
        <f t="shared" si="2"/>
        <v>0</v>
      </c>
    </row>
    <row r="13" spans="1:26" x14ac:dyDescent="0.25">
      <c r="A13" s="5"/>
      <c r="B13" s="3"/>
      <c r="D13" s="10">
        <v>46402</v>
      </c>
      <c r="E13" s="6"/>
      <c r="F13" s="17" t="str">
        <f t="shared" si="0"/>
        <v/>
      </c>
      <c r="G13" s="2"/>
      <c r="H13" s="2"/>
      <c r="I13" s="2"/>
      <c r="J13" s="14"/>
      <c r="N13" s="13"/>
      <c r="X13" s="6">
        <f t="shared" si="1"/>
        <v>0</v>
      </c>
      <c r="Y13" s="3">
        <f t="shared" si="2"/>
        <v>0</v>
      </c>
    </row>
    <row r="14" spans="1:26" x14ac:dyDescent="0.25">
      <c r="A14" s="1"/>
      <c r="B14" s="24"/>
      <c r="D14" s="10">
        <v>46433</v>
      </c>
      <c r="E14" s="6"/>
      <c r="F14" s="17" t="str">
        <f t="shared" si="0"/>
        <v/>
      </c>
      <c r="G14" s="2"/>
      <c r="H14" s="2"/>
      <c r="I14" s="2"/>
      <c r="J14" s="14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>
        <v>0.1</v>
      </c>
      <c r="D15" s="10"/>
      <c r="E15" s="6"/>
      <c r="F15" s="17" t="str">
        <f t="shared" si="0"/>
        <v/>
      </c>
      <c r="G15" s="2"/>
      <c r="H15" s="2"/>
      <c r="I15" s="2"/>
      <c r="J15" s="14"/>
      <c r="K15" s="16"/>
      <c r="L15" s="16"/>
      <c r="M15" s="16"/>
      <c r="N15" s="16"/>
      <c r="O15" s="16"/>
      <c r="P15" s="16"/>
      <c r="Q15" s="16"/>
      <c r="X15" s="6">
        <f t="shared" si="1"/>
        <v>0</v>
      </c>
      <c r="Y15" s="3">
        <f t="shared" si="2"/>
        <v>0</v>
      </c>
    </row>
    <row r="16" spans="1:26" x14ac:dyDescent="0.25">
      <c r="A16" s="5" t="s">
        <v>53</v>
      </c>
      <c r="B16" s="3">
        <v>21.2</v>
      </c>
      <c r="D16" s="10"/>
      <c r="E16" s="6"/>
      <c r="F16" s="17" t="str">
        <f t="shared" si="0"/>
        <v/>
      </c>
      <c r="G16" s="2"/>
      <c r="H16" s="2"/>
      <c r="I16" s="2"/>
      <c r="J16" s="14"/>
      <c r="K16" s="9"/>
      <c r="L16" s="9"/>
      <c r="M16" s="9"/>
      <c r="N16" s="18"/>
      <c r="O16" s="19"/>
      <c r="P16" s="14"/>
      <c r="Q16" s="14"/>
      <c r="X16" s="6">
        <f t="shared" si="1"/>
        <v>0</v>
      </c>
      <c r="Y16" s="3">
        <f t="shared" si="2"/>
        <v>0</v>
      </c>
    </row>
    <row r="17" spans="4:25" x14ac:dyDescent="0.25">
      <c r="D17" s="10"/>
      <c r="E17" s="6"/>
      <c r="F17" s="17" t="str">
        <f t="shared" si="0"/>
        <v/>
      </c>
      <c r="G17" s="2"/>
      <c r="H17" s="2"/>
      <c r="I17" s="2"/>
      <c r="J17" s="14"/>
      <c r="X17" s="6">
        <f t="shared" si="1"/>
        <v>0</v>
      </c>
      <c r="Y17" s="3">
        <f t="shared" si="2"/>
        <v>0</v>
      </c>
    </row>
    <row r="18" spans="4:25" x14ac:dyDescent="0.25">
      <c r="D18" s="10"/>
      <c r="E18" s="6"/>
      <c r="F18" s="17" t="str">
        <f t="shared" si="0"/>
        <v/>
      </c>
      <c r="G18" s="2"/>
      <c r="H18" s="2"/>
      <c r="I18" s="2"/>
      <c r="J18" s="14"/>
      <c r="X18" s="6">
        <f t="shared" si="1"/>
        <v>0</v>
      </c>
      <c r="Y18" s="3">
        <f t="shared" si="2"/>
        <v>0</v>
      </c>
    </row>
    <row r="19" spans="4:25" x14ac:dyDescent="0.25">
      <c r="D19" s="10"/>
      <c r="E19" s="6"/>
      <c r="F19" s="17" t="str">
        <f t="shared" si="0"/>
        <v/>
      </c>
      <c r="G19" s="2"/>
      <c r="H19" s="2"/>
      <c r="I19" s="2"/>
      <c r="J19" s="14"/>
      <c r="X19" s="6">
        <f t="shared" si="1"/>
        <v>0</v>
      </c>
      <c r="Y19" s="3">
        <f t="shared" si="2"/>
        <v>0</v>
      </c>
    </row>
    <row r="20" spans="4:25" x14ac:dyDescent="0.25">
      <c r="D20" s="10"/>
      <c r="E20" s="6"/>
      <c r="F20" s="17" t="str">
        <f t="shared" si="0"/>
        <v/>
      </c>
      <c r="G20" s="2"/>
      <c r="H20" s="2"/>
      <c r="I20" s="2"/>
      <c r="J20" s="14"/>
      <c r="X20" s="6">
        <f t="shared" si="1"/>
        <v>0</v>
      </c>
      <c r="Y20" s="3">
        <f t="shared" si="2"/>
        <v>0</v>
      </c>
    </row>
    <row r="21" spans="4:25" x14ac:dyDescent="0.25">
      <c r="D21" s="10"/>
      <c r="E21" s="6"/>
      <c r="F21" s="17" t="str">
        <f t="shared" si="0"/>
        <v/>
      </c>
      <c r="G21" s="2"/>
      <c r="H21" s="2"/>
      <c r="I21" s="2"/>
      <c r="J21" s="14"/>
      <c r="X21" s="6">
        <f t="shared" si="1"/>
        <v>0</v>
      </c>
      <c r="Y21" s="3">
        <f t="shared" si="2"/>
        <v>0</v>
      </c>
    </row>
    <row r="22" spans="4:25" x14ac:dyDescent="0.25">
      <c r="D22" s="10"/>
      <c r="E22" s="6"/>
      <c r="F22" s="17" t="str">
        <f t="shared" si="0"/>
        <v/>
      </c>
      <c r="G22" s="2"/>
      <c r="H22" s="2"/>
      <c r="I22" s="2"/>
      <c r="J22" s="14"/>
      <c r="X22" s="6">
        <f t="shared" si="1"/>
        <v>0</v>
      </c>
      <c r="Y22" s="3">
        <f t="shared" si="2"/>
        <v>0</v>
      </c>
    </row>
    <row r="23" spans="4:25" x14ac:dyDescent="0.25">
      <c r="D23" s="10"/>
      <c r="E23" s="6"/>
      <c r="F23" s="17" t="str">
        <f t="shared" si="0"/>
        <v/>
      </c>
      <c r="G23" s="2"/>
      <c r="H23" s="2"/>
      <c r="I23" s="2"/>
      <c r="J23" s="14"/>
      <c r="X23" s="6">
        <f t="shared" si="1"/>
        <v>0</v>
      </c>
      <c r="Y23" s="3">
        <f t="shared" si="2"/>
        <v>0</v>
      </c>
    </row>
    <row r="24" spans="4:25" x14ac:dyDescent="0.25">
      <c r="D24" s="10"/>
      <c r="E24" s="6"/>
      <c r="F24" s="17" t="str">
        <f t="shared" si="0"/>
        <v/>
      </c>
      <c r="G24" s="2"/>
      <c r="H24" s="2"/>
      <c r="I24" s="2"/>
      <c r="J24" s="14"/>
      <c r="X24" s="6">
        <f t="shared" si="1"/>
        <v>0</v>
      </c>
      <c r="Y24" s="3">
        <f t="shared" si="2"/>
        <v>0</v>
      </c>
    </row>
    <row r="25" spans="4:25" x14ac:dyDescent="0.25">
      <c r="D25" s="10"/>
      <c r="E25" s="6"/>
      <c r="F25" s="17" t="str">
        <f t="shared" si="0"/>
        <v/>
      </c>
      <c r="G25" s="2"/>
      <c r="H25" s="2"/>
      <c r="I25" s="2"/>
      <c r="J25" s="14"/>
      <c r="X25" s="6">
        <f t="shared" si="1"/>
        <v>0</v>
      </c>
      <c r="Y25" s="3">
        <f t="shared" si="2"/>
        <v>0</v>
      </c>
    </row>
    <row r="26" spans="4:25" x14ac:dyDescent="0.25">
      <c r="D26" s="10"/>
      <c r="E26" s="6"/>
      <c r="F26" s="17" t="str">
        <f t="shared" si="0"/>
        <v/>
      </c>
      <c r="G26" s="2"/>
      <c r="H26" s="2"/>
      <c r="I26" s="2"/>
      <c r="J26" s="14"/>
      <c r="X26" s="6">
        <f t="shared" si="1"/>
        <v>0</v>
      </c>
      <c r="Y26" s="3">
        <f t="shared" si="2"/>
        <v>0</v>
      </c>
    </row>
    <row r="27" spans="4:25" x14ac:dyDescent="0.25">
      <c r="D27" s="10"/>
      <c r="E27" s="6"/>
      <c r="F27" s="17" t="str">
        <f t="shared" si="0"/>
        <v/>
      </c>
      <c r="G27" s="2"/>
      <c r="H27" s="2"/>
      <c r="I27" s="2"/>
      <c r="J27" s="14"/>
      <c r="X27" s="6">
        <f t="shared" si="1"/>
        <v>0</v>
      </c>
      <c r="Y27" s="3">
        <f t="shared" si="2"/>
        <v>0</v>
      </c>
    </row>
    <row r="28" spans="4:25" x14ac:dyDescent="0.25">
      <c r="D28" s="10"/>
      <c r="E28" s="6"/>
      <c r="F28" s="17" t="str">
        <f t="shared" si="0"/>
        <v/>
      </c>
      <c r="G28" s="2"/>
      <c r="H28" s="2"/>
      <c r="I28" s="2"/>
      <c r="J28" s="14"/>
      <c r="X28" s="6">
        <f t="shared" si="1"/>
        <v>0</v>
      </c>
      <c r="Y28" s="3">
        <f t="shared" si="2"/>
        <v>0</v>
      </c>
    </row>
    <row r="29" spans="4:25" x14ac:dyDescent="0.25">
      <c r="D29" s="10"/>
      <c r="E29" s="6"/>
      <c r="F29" s="17" t="str">
        <f t="shared" si="0"/>
        <v/>
      </c>
      <c r="G29" s="2"/>
      <c r="H29" s="2"/>
      <c r="I29" s="2"/>
      <c r="J29" s="14"/>
      <c r="X29" s="6">
        <f t="shared" si="1"/>
        <v>0</v>
      </c>
      <c r="Y29" s="3">
        <f t="shared" si="2"/>
        <v>0</v>
      </c>
    </row>
    <row r="30" spans="4:25" x14ac:dyDescent="0.25">
      <c r="D30" s="10"/>
      <c r="E30" s="6"/>
      <c r="F30" s="17" t="str">
        <f t="shared" si="0"/>
        <v/>
      </c>
      <c r="G30" s="2"/>
      <c r="H30" s="2"/>
      <c r="I30" s="2"/>
      <c r="J30" s="14"/>
      <c r="X30" s="6">
        <f t="shared" si="1"/>
        <v>0</v>
      </c>
      <c r="Y30" s="3">
        <f t="shared" si="2"/>
        <v>0</v>
      </c>
    </row>
    <row r="31" spans="4:25" x14ac:dyDescent="0.25">
      <c r="D31" s="10"/>
      <c r="E31" s="6"/>
      <c r="F31" s="17" t="str">
        <f t="shared" si="0"/>
        <v/>
      </c>
      <c r="G31" s="2"/>
      <c r="H31" s="2"/>
      <c r="I31" s="2"/>
      <c r="J31" s="14"/>
      <c r="X31" s="6">
        <f t="shared" si="1"/>
        <v>0</v>
      </c>
      <c r="Y31" s="3">
        <f t="shared" si="2"/>
        <v>0</v>
      </c>
    </row>
    <row r="32" spans="4:25" x14ac:dyDescent="0.25">
      <c r="D32" s="10"/>
      <c r="E32" s="6"/>
      <c r="F32" s="17" t="str">
        <f t="shared" si="0"/>
        <v/>
      </c>
      <c r="G32" s="2"/>
      <c r="H32" s="2"/>
      <c r="I32" s="2"/>
      <c r="J32" s="14"/>
      <c r="X32" s="6">
        <f t="shared" si="1"/>
        <v>0</v>
      </c>
      <c r="Y32" s="3">
        <f t="shared" si="2"/>
        <v>0</v>
      </c>
    </row>
    <row r="33" spans="4:25" x14ac:dyDescent="0.25">
      <c r="D33" s="10"/>
      <c r="E33" s="6"/>
      <c r="F33" s="17" t="str">
        <f t="shared" si="0"/>
        <v/>
      </c>
      <c r="G33" s="2"/>
      <c r="H33" s="2"/>
      <c r="I33" s="2"/>
      <c r="J33" s="14"/>
      <c r="X33" s="6">
        <f t="shared" si="1"/>
        <v>0</v>
      </c>
      <c r="Y33" s="3">
        <f t="shared" si="2"/>
        <v>0</v>
      </c>
    </row>
    <row r="34" spans="4:25" x14ac:dyDescent="0.25">
      <c r="D34" s="10"/>
      <c r="E34" s="6"/>
      <c r="F34" s="17" t="str">
        <f t="shared" si="0"/>
        <v/>
      </c>
      <c r="G34" s="2"/>
      <c r="H34" s="2"/>
      <c r="I34" s="2"/>
      <c r="J34" s="14"/>
      <c r="X34" s="6">
        <f t="shared" si="1"/>
        <v>0</v>
      </c>
      <c r="Y34" s="3">
        <f t="shared" si="2"/>
        <v>0</v>
      </c>
    </row>
    <row r="35" spans="4:25" x14ac:dyDescent="0.25">
      <c r="D35" s="10"/>
      <c r="E35" s="6"/>
      <c r="F35" s="17" t="str">
        <f t="shared" si="0"/>
        <v/>
      </c>
      <c r="G35" s="2"/>
      <c r="H35" s="2"/>
      <c r="I35" s="2"/>
      <c r="J35" s="14"/>
      <c r="X35" s="6">
        <f t="shared" si="1"/>
        <v>0</v>
      </c>
      <c r="Y35" s="3">
        <f t="shared" si="2"/>
        <v>0</v>
      </c>
    </row>
    <row r="36" spans="4:25" x14ac:dyDescent="0.25">
      <c r="D36" s="10"/>
      <c r="E36" s="6"/>
      <c r="F36" s="17" t="str">
        <f t="shared" si="0"/>
        <v/>
      </c>
      <c r="G36" s="2"/>
      <c r="H36" s="2"/>
      <c r="I36" s="2"/>
      <c r="J36" s="14"/>
      <c r="X36" s="6">
        <f t="shared" si="1"/>
        <v>0</v>
      </c>
      <c r="Y36" s="3">
        <f t="shared" si="2"/>
        <v>0</v>
      </c>
    </row>
    <row r="37" spans="4:25" x14ac:dyDescent="0.25">
      <c r="D37" s="10"/>
      <c r="E37" s="6"/>
      <c r="F37" s="17" t="str">
        <f t="shared" si="0"/>
        <v/>
      </c>
      <c r="G37" s="2"/>
      <c r="H37" s="2"/>
      <c r="I37" s="2"/>
      <c r="J37" s="14"/>
      <c r="X37" s="6">
        <f t="shared" si="1"/>
        <v>0</v>
      </c>
      <c r="Y37" s="3">
        <f t="shared" si="2"/>
        <v>0</v>
      </c>
    </row>
    <row r="38" spans="4:25" x14ac:dyDescent="0.25">
      <c r="D38" s="10"/>
      <c r="E38" s="6"/>
      <c r="F38" s="17" t="str">
        <f t="shared" si="0"/>
        <v/>
      </c>
      <c r="G38" s="2"/>
      <c r="H38" s="2"/>
      <c r="I38" s="2"/>
      <c r="J38" s="14"/>
      <c r="X38" s="6">
        <f t="shared" si="1"/>
        <v>0</v>
      </c>
      <c r="Y38" s="3">
        <f t="shared" si="2"/>
        <v>0</v>
      </c>
    </row>
    <row r="39" spans="4:25" x14ac:dyDescent="0.25">
      <c r="D39" s="10"/>
      <c r="E39" s="6"/>
      <c r="F39" s="17" t="str">
        <f t="shared" si="0"/>
        <v/>
      </c>
      <c r="G39" s="2"/>
      <c r="H39" s="2"/>
      <c r="I39" s="2"/>
      <c r="J39" s="14"/>
      <c r="X39" s="6">
        <f t="shared" si="1"/>
        <v>0</v>
      </c>
      <c r="Y39" s="3">
        <f t="shared" si="2"/>
        <v>0</v>
      </c>
    </row>
    <row r="40" spans="4:25" x14ac:dyDescent="0.25">
      <c r="D40" s="10"/>
      <c r="E40" s="6"/>
      <c r="F40" s="17" t="str">
        <f t="shared" si="0"/>
        <v/>
      </c>
      <c r="G40" s="2"/>
      <c r="H40" s="2"/>
      <c r="I40" s="2"/>
      <c r="J40" s="14"/>
      <c r="X40" s="6">
        <f t="shared" si="1"/>
        <v>0</v>
      </c>
      <c r="Y40" s="3">
        <f t="shared" si="2"/>
        <v>0</v>
      </c>
    </row>
    <row r="41" spans="4:25" x14ac:dyDescent="0.25">
      <c r="D41" s="10"/>
      <c r="E41" s="6"/>
      <c r="F41" s="17" t="str">
        <f t="shared" si="0"/>
        <v/>
      </c>
      <c r="G41" s="2"/>
      <c r="H41" s="2"/>
      <c r="I41" s="2"/>
      <c r="J41" s="14"/>
      <c r="X41" s="6">
        <f t="shared" si="1"/>
        <v>0</v>
      </c>
      <c r="Y41" s="3">
        <f t="shared" si="2"/>
        <v>0</v>
      </c>
    </row>
    <row r="42" spans="4:25" x14ac:dyDescent="0.25">
      <c r="D42" s="10"/>
      <c r="E42" s="6"/>
      <c r="F42" s="17" t="str">
        <f t="shared" si="0"/>
        <v/>
      </c>
      <c r="G42" s="2"/>
      <c r="H42" s="2"/>
      <c r="I42" s="2"/>
      <c r="J42" s="14"/>
      <c r="X42" s="6">
        <f t="shared" si="1"/>
        <v>0</v>
      </c>
      <c r="Y42" s="3">
        <f t="shared" si="2"/>
        <v>0</v>
      </c>
    </row>
    <row r="43" spans="4:25" x14ac:dyDescent="0.25">
      <c r="D43" s="10"/>
      <c r="E43" s="6"/>
      <c r="F43" s="17" t="str">
        <f t="shared" si="0"/>
        <v/>
      </c>
      <c r="G43" s="2"/>
      <c r="H43" s="2"/>
      <c r="I43" s="2"/>
      <c r="J43" s="14"/>
      <c r="X43" s="6">
        <f t="shared" si="1"/>
        <v>0</v>
      </c>
      <c r="Y43" s="3">
        <f t="shared" si="2"/>
        <v>0</v>
      </c>
    </row>
    <row r="44" spans="4:25" x14ac:dyDescent="0.25">
      <c r="D44" s="10"/>
      <c r="E44" s="6"/>
      <c r="F44" s="17" t="str">
        <f t="shared" si="0"/>
        <v/>
      </c>
      <c r="G44" s="2"/>
      <c r="H44" s="2"/>
      <c r="I44" s="2"/>
      <c r="J44" s="14"/>
      <c r="X44" s="6">
        <f t="shared" si="1"/>
        <v>0</v>
      </c>
      <c r="Y44" s="3">
        <f t="shared" si="2"/>
        <v>0</v>
      </c>
    </row>
    <row r="45" spans="4:25" x14ac:dyDescent="0.25">
      <c r="D45" s="10"/>
      <c r="E45" s="6"/>
      <c r="F45" s="17" t="str">
        <f t="shared" si="0"/>
        <v/>
      </c>
      <c r="G45" s="2"/>
      <c r="H45" s="2"/>
      <c r="I45" s="2"/>
      <c r="J45" s="14"/>
      <c r="X45" s="6">
        <f t="shared" si="1"/>
        <v>0</v>
      </c>
      <c r="Y45" s="3">
        <f t="shared" si="2"/>
        <v>0</v>
      </c>
    </row>
    <row r="46" spans="4:25" x14ac:dyDescent="0.25">
      <c r="D46" s="10"/>
      <c r="E46" s="6"/>
      <c r="F46" s="17" t="str">
        <f t="shared" si="0"/>
        <v/>
      </c>
      <c r="G46" s="2"/>
      <c r="H46" s="2"/>
      <c r="I46" s="2"/>
      <c r="J46" s="14"/>
      <c r="X46" s="6">
        <f t="shared" si="1"/>
        <v>0</v>
      </c>
      <c r="Y46" s="3">
        <f t="shared" si="2"/>
        <v>0</v>
      </c>
    </row>
    <row r="47" spans="4:25" x14ac:dyDescent="0.25">
      <c r="D47" s="10"/>
      <c r="E47" s="6"/>
      <c r="F47" s="17" t="str">
        <f t="shared" si="0"/>
        <v/>
      </c>
      <c r="G47" s="2"/>
      <c r="H47" s="2"/>
      <c r="I47" s="2"/>
      <c r="J47" s="14"/>
      <c r="X47" s="6">
        <f t="shared" si="1"/>
        <v>0</v>
      </c>
      <c r="Y47" s="3">
        <f t="shared" si="2"/>
        <v>0</v>
      </c>
    </row>
    <row r="48" spans="4:25" x14ac:dyDescent="0.25">
      <c r="D48" s="10"/>
      <c r="E48" s="6"/>
      <c r="F48" s="17" t="str">
        <f t="shared" si="0"/>
        <v/>
      </c>
      <c r="G48" s="2"/>
      <c r="H48" s="2"/>
      <c r="I48" s="2"/>
      <c r="J48" s="14"/>
      <c r="X48" s="6">
        <f t="shared" si="1"/>
        <v>0</v>
      </c>
      <c r="Y48" s="3">
        <f t="shared" si="2"/>
        <v>0</v>
      </c>
    </row>
    <row r="49" spans="4:25" x14ac:dyDescent="0.25">
      <c r="D49" s="10"/>
      <c r="E49" s="6"/>
      <c r="F49" s="17" t="str">
        <f t="shared" si="0"/>
        <v/>
      </c>
      <c r="G49" s="2"/>
      <c r="H49" s="2"/>
      <c r="I49" s="2"/>
      <c r="J49" s="14"/>
      <c r="X49" s="6">
        <f t="shared" si="1"/>
        <v>0</v>
      </c>
      <c r="Y49" s="3">
        <f t="shared" si="2"/>
        <v>0</v>
      </c>
    </row>
    <row r="50" spans="4:25" x14ac:dyDescent="0.25">
      <c r="D50" s="10"/>
      <c r="E50" s="6"/>
      <c r="F50" s="17" t="str">
        <f t="shared" si="0"/>
        <v/>
      </c>
      <c r="G50" s="2"/>
      <c r="H50" s="2"/>
      <c r="I50" s="2"/>
      <c r="J50" s="14"/>
      <c r="X50" s="6">
        <f t="shared" si="1"/>
        <v>0</v>
      </c>
      <c r="Y50" s="3">
        <f t="shared" si="2"/>
        <v>0</v>
      </c>
    </row>
    <row r="51" spans="4:25" x14ac:dyDescent="0.25">
      <c r="D51" s="10"/>
      <c r="E51" s="6"/>
      <c r="F51" s="17" t="str">
        <f t="shared" si="0"/>
        <v/>
      </c>
      <c r="G51" s="2"/>
      <c r="H51" s="2"/>
      <c r="I51" s="2"/>
      <c r="J51" s="14"/>
      <c r="X51" s="6">
        <f t="shared" si="1"/>
        <v>0</v>
      </c>
      <c r="Y51" s="3">
        <f t="shared" si="2"/>
        <v>0</v>
      </c>
    </row>
    <row r="52" spans="4:25" x14ac:dyDescent="0.25">
      <c r="D52" s="10"/>
      <c r="E52" s="6"/>
      <c r="F52" s="17" t="str">
        <f t="shared" si="0"/>
        <v/>
      </c>
      <c r="G52" s="2"/>
      <c r="H52" s="2"/>
      <c r="I52" s="2"/>
      <c r="J52" s="9"/>
      <c r="X52" s="6">
        <f t="shared" si="1"/>
        <v>0</v>
      </c>
      <c r="Y52" s="3">
        <f t="shared" si="2"/>
        <v>0</v>
      </c>
    </row>
    <row r="53" spans="4:25" x14ac:dyDescent="0.25">
      <c r="D53" s="2" t="s">
        <v>14</v>
      </c>
      <c r="E53" s="25"/>
      <c r="F53" s="3"/>
      <c r="G53" s="3">
        <f>SUM(G3:G52)</f>
        <v>0</v>
      </c>
      <c r="H53" s="3">
        <f t="shared" ref="H53:I53" si="3">SUM(H3:H52)</f>
        <v>1.3599999999999999</v>
      </c>
      <c r="I53" s="3">
        <f t="shared" si="3"/>
        <v>0.15</v>
      </c>
    </row>
  </sheetData>
  <mergeCells count="4">
    <mergeCell ref="D1:F1"/>
    <mergeCell ref="G1:I1"/>
    <mergeCell ref="K1:Q1"/>
    <mergeCell ref="X1:Z1"/>
  </mergeCells>
  <conditionalFormatting sqref="A1:B1">
    <cfRule type="expression" dxfId="23" priority="1">
      <formula>$Z$3="+"</formula>
    </cfRule>
    <cfRule type="expression" dxfId="22" priority="2">
      <formula>$B$16=$K$3</formula>
    </cfRule>
  </conditionalFormatting>
  <conditionalFormatting sqref="P3">
    <cfRule type="expression" dxfId="21" priority="7">
      <formula>$Z$3="+"</formula>
    </cfRule>
  </conditionalFormatting>
  <conditionalFormatting sqref="Z3">
    <cfRule type="expression" dxfId="20" priority="8">
      <formula>$Z$3="+"</formula>
    </cfRule>
  </conditionalFormatting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9BB0F-4DAC-47C2-A73D-F62E2AA7D40E}">
  <dimension ref="A1:Z53"/>
  <sheetViews>
    <sheetView workbookViewId="0">
      <selection activeCell="I12" sqref="I12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4" customWidth="1"/>
    <col min="25" max="25" width="10.7109375" style="14" customWidth="1"/>
    <col min="26" max="26" width="10.7109375" customWidth="1"/>
  </cols>
  <sheetData>
    <row r="1" spans="1:26" x14ac:dyDescent="0.25">
      <c r="A1" s="5" t="s">
        <v>18</v>
      </c>
      <c r="B1" s="6" t="s">
        <v>32</v>
      </c>
      <c r="D1" s="41" t="s">
        <v>2</v>
      </c>
      <c r="E1" s="42"/>
      <c r="F1" s="43"/>
      <c r="G1" s="41" t="s">
        <v>0</v>
      </c>
      <c r="H1" s="42"/>
      <c r="I1" s="43"/>
      <c r="J1" s="16"/>
      <c r="K1" s="41" t="s">
        <v>41</v>
      </c>
      <c r="L1" s="42"/>
      <c r="M1" s="42"/>
      <c r="N1" s="42"/>
      <c r="O1" s="42"/>
      <c r="P1" s="42"/>
      <c r="Q1" s="43"/>
      <c r="X1" s="41"/>
      <c r="Y1" s="42"/>
      <c r="Z1" s="43"/>
    </row>
    <row r="2" spans="1:26" x14ac:dyDescent="0.25">
      <c r="A2" s="5" t="s">
        <v>15</v>
      </c>
      <c r="B2" s="6" t="s">
        <v>19</v>
      </c>
      <c r="D2" s="11" t="s">
        <v>45</v>
      </c>
      <c r="E2" s="11" t="s">
        <v>46</v>
      </c>
      <c r="F2" s="23" t="s">
        <v>51</v>
      </c>
      <c r="G2" s="11" t="s">
        <v>12</v>
      </c>
      <c r="H2" s="11" t="s">
        <v>13</v>
      </c>
      <c r="I2" s="11" t="s">
        <v>43</v>
      </c>
      <c r="J2" s="9"/>
      <c r="K2" s="11" t="s">
        <v>0</v>
      </c>
      <c r="L2" s="11" t="s">
        <v>1</v>
      </c>
      <c r="M2" s="11" t="s">
        <v>39</v>
      </c>
      <c r="N2" s="11" t="s">
        <v>40</v>
      </c>
      <c r="O2" s="11" t="s">
        <v>2</v>
      </c>
      <c r="P2" s="11" t="s">
        <v>49</v>
      </c>
      <c r="Q2" s="11" t="s">
        <v>51</v>
      </c>
      <c r="X2" s="11" t="s">
        <v>2</v>
      </c>
      <c r="Y2" s="11" t="s">
        <v>42</v>
      </c>
      <c r="Z2" s="11" t="s">
        <v>49</v>
      </c>
    </row>
    <row r="3" spans="1:26" x14ac:dyDescent="0.25">
      <c r="A3" s="5" t="s">
        <v>20</v>
      </c>
      <c r="B3" s="6" t="s">
        <v>33</v>
      </c>
      <c r="D3" s="10">
        <v>46041</v>
      </c>
      <c r="E3" s="10">
        <v>46041</v>
      </c>
      <c r="F3" s="17">
        <f>IF(E3&gt;0,E3-D3,"")</f>
        <v>0</v>
      </c>
      <c r="G3" s="3">
        <v>0</v>
      </c>
      <c r="H3" s="3">
        <v>0.2</v>
      </c>
      <c r="I3" s="3">
        <v>0.02</v>
      </c>
      <c r="J3" s="14"/>
      <c r="K3" s="3">
        <f>G53</f>
        <v>0</v>
      </c>
      <c r="L3" s="3">
        <f>H53</f>
        <v>1.7599999999999998</v>
      </c>
      <c r="M3" s="3">
        <f>I53</f>
        <v>0.18</v>
      </c>
      <c r="N3" s="7" t="str">
        <f>IF(B16=K3,XIRR(Y3:Y52,X3:X52),"")</f>
        <v/>
      </c>
      <c r="O3" s="6" t="str">
        <f>IF(B16=K3,MAX(E:E),"")</f>
        <v/>
      </c>
      <c r="P3" s="2" t="str">
        <f ca="1">IF(Z3="+",TODAY()-B11,"")</f>
        <v/>
      </c>
      <c r="Q3" s="2" t="str">
        <f>IF(B16=K3,MAX(E:E)-B11,"")</f>
        <v/>
      </c>
      <c r="T3" s="13"/>
      <c r="X3" s="6">
        <f>B9</f>
        <v>46007</v>
      </c>
      <c r="Y3" s="3">
        <f>B16*-1</f>
        <v>-21.49</v>
      </c>
      <c r="Z3" s="2" t="str">
        <f ca="1">IF(AND(TODAY()&gt;B11, K3&lt;&gt;B16), "+", "")</f>
        <v/>
      </c>
    </row>
    <row r="4" spans="1:26" x14ac:dyDescent="0.25">
      <c r="A4" s="5" t="s">
        <v>22</v>
      </c>
      <c r="B4" s="6" t="s">
        <v>23</v>
      </c>
      <c r="D4" s="10">
        <v>46072</v>
      </c>
      <c r="E4" s="10">
        <v>46072</v>
      </c>
      <c r="F4" s="17">
        <f>IF(E4&gt;0,E4-D4,"")</f>
        <v>0</v>
      </c>
      <c r="G4" s="3">
        <v>0</v>
      </c>
      <c r="H4" s="3">
        <v>0.2</v>
      </c>
      <c r="I4" s="2">
        <v>0.02</v>
      </c>
      <c r="J4" s="9"/>
      <c r="X4" s="6">
        <f>E3</f>
        <v>46041</v>
      </c>
      <c r="Y4" s="3">
        <f>G3+H3-I3</f>
        <v>0.18000000000000002</v>
      </c>
    </row>
    <row r="5" spans="1:26" x14ac:dyDescent="0.25">
      <c r="A5" s="5"/>
      <c r="B5" s="6"/>
      <c r="D5" s="10">
        <v>46100</v>
      </c>
      <c r="E5" s="10">
        <v>46100</v>
      </c>
      <c r="F5" s="17">
        <f t="shared" ref="F5:F52" si="0">IF(E5&gt;0,E5-D5,"")</f>
        <v>0</v>
      </c>
      <c r="G5" s="3">
        <v>0</v>
      </c>
      <c r="H5" s="3">
        <v>0.18</v>
      </c>
      <c r="I5" s="3">
        <v>0.02</v>
      </c>
      <c r="J5" s="9"/>
      <c r="X5" s="6">
        <f t="shared" ref="X5:X52" si="1">E4</f>
        <v>46072</v>
      </c>
      <c r="Y5" s="3">
        <f t="shared" ref="Y5:Y52" si="2">G4+H4-I4</f>
        <v>0.18000000000000002</v>
      </c>
    </row>
    <row r="6" spans="1:26" x14ac:dyDescent="0.25">
      <c r="A6" s="5"/>
      <c r="B6" s="6"/>
      <c r="D6" s="10">
        <v>46131</v>
      </c>
      <c r="E6" s="10">
        <v>46131</v>
      </c>
      <c r="F6" s="17">
        <f t="shared" si="0"/>
        <v>0</v>
      </c>
      <c r="G6" s="3">
        <v>0</v>
      </c>
      <c r="H6" s="3">
        <v>0.2</v>
      </c>
      <c r="I6" s="2">
        <v>0.02</v>
      </c>
      <c r="J6" s="9"/>
      <c r="X6" s="6">
        <f t="shared" si="1"/>
        <v>46100</v>
      </c>
      <c r="Y6" s="3">
        <f t="shared" si="2"/>
        <v>0.16</v>
      </c>
    </row>
    <row r="7" spans="1:26" x14ac:dyDescent="0.25">
      <c r="A7" s="5"/>
      <c r="B7" s="6"/>
      <c r="D7" s="10">
        <v>46161</v>
      </c>
      <c r="E7" s="10">
        <v>46161</v>
      </c>
      <c r="F7" s="17">
        <f t="shared" si="0"/>
        <v>0</v>
      </c>
      <c r="G7" s="3">
        <v>0</v>
      </c>
      <c r="H7" s="2">
        <v>0.19</v>
      </c>
      <c r="I7" s="2">
        <v>0.02</v>
      </c>
      <c r="J7" s="14"/>
      <c r="X7" s="6">
        <f t="shared" si="1"/>
        <v>46131</v>
      </c>
      <c r="Y7" s="3">
        <f t="shared" si="2"/>
        <v>0.18000000000000002</v>
      </c>
    </row>
    <row r="8" spans="1:26" x14ac:dyDescent="0.25">
      <c r="A8" s="5" t="s">
        <v>16</v>
      </c>
      <c r="B8" s="6" t="str">
        <f>DATEDIF(B9,B11,"y") &amp; " m. " &amp; DATEDIF(B9,B11,"ym") &amp; " mėn. " &amp; DATEDIF(B9,B11,"md") &amp; " d."</f>
        <v>1 m. 0 mėn. 3 d.</v>
      </c>
      <c r="D8" s="10">
        <v>46192</v>
      </c>
      <c r="E8" s="6">
        <v>46192</v>
      </c>
      <c r="F8" s="17">
        <f t="shared" si="0"/>
        <v>0</v>
      </c>
      <c r="G8" s="3">
        <v>0</v>
      </c>
      <c r="H8" s="3">
        <v>0.2</v>
      </c>
      <c r="I8" s="2">
        <v>0.02</v>
      </c>
      <c r="J8" s="9"/>
      <c r="X8" s="6">
        <f t="shared" si="1"/>
        <v>46161</v>
      </c>
      <c r="Y8" s="3">
        <f t="shared" si="2"/>
        <v>0.17</v>
      </c>
    </row>
    <row r="9" spans="1:26" x14ac:dyDescent="0.25">
      <c r="A9" s="5" t="s">
        <v>8</v>
      </c>
      <c r="B9" s="6">
        <v>46007</v>
      </c>
      <c r="D9" s="10">
        <v>46222</v>
      </c>
      <c r="E9" s="6">
        <v>46222</v>
      </c>
      <c r="F9" s="17">
        <f t="shared" si="0"/>
        <v>0</v>
      </c>
      <c r="G9" s="3">
        <v>0</v>
      </c>
      <c r="H9" s="3">
        <v>0.19</v>
      </c>
      <c r="I9" s="3">
        <v>0.02</v>
      </c>
      <c r="J9" s="14"/>
      <c r="X9" s="6">
        <f t="shared" si="1"/>
        <v>46192</v>
      </c>
      <c r="Y9" s="3">
        <f t="shared" si="2"/>
        <v>0.18000000000000002</v>
      </c>
    </row>
    <row r="10" spans="1:26" x14ac:dyDescent="0.25">
      <c r="A10" s="5" t="s">
        <v>24</v>
      </c>
      <c r="B10" s="6">
        <v>46010</v>
      </c>
      <c r="D10" s="10">
        <v>46253</v>
      </c>
      <c r="E10" s="6">
        <v>46253</v>
      </c>
      <c r="F10" s="17">
        <f t="shared" si="0"/>
        <v>0</v>
      </c>
      <c r="G10" s="3">
        <v>0</v>
      </c>
      <c r="H10" s="3">
        <v>0.2</v>
      </c>
      <c r="I10" s="2">
        <v>0.02</v>
      </c>
      <c r="J10" s="14"/>
      <c r="X10" s="6">
        <f t="shared" si="1"/>
        <v>46222</v>
      </c>
      <c r="Y10" s="3">
        <f t="shared" si="2"/>
        <v>0.17</v>
      </c>
    </row>
    <row r="11" spans="1:26" x14ac:dyDescent="0.25">
      <c r="A11" s="5" t="s">
        <v>44</v>
      </c>
      <c r="B11" s="6">
        <v>46375</v>
      </c>
      <c r="D11" s="10">
        <v>46284</v>
      </c>
      <c r="E11" s="6">
        <v>46284</v>
      </c>
      <c r="F11" s="17">
        <f t="shared" si="0"/>
        <v>0</v>
      </c>
      <c r="G11" s="3">
        <v>0</v>
      </c>
      <c r="H11" s="2">
        <v>0.2</v>
      </c>
      <c r="I11" s="2">
        <v>0.02</v>
      </c>
      <c r="J11" s="14"/>
      <c r="X11" s="6">
        <f t="shared" si="1"/>
        <v>46253</v>
      </c>
      <c r="Y11" s="3">
        <f t="shared" si="2"/>
        <v>0.18000000000000002</v>
      </c>
    </row>
    <row r="12" spans="1:26" x14ac:dyDescent="0.25">
      <c r="A12" s="5" t="s">
        <v>52</v>
      </c>
      <c r="B12" s="17">
        <f ca="1">IF(B16&lt;&gt;K3,(TODAY()-B11)*-1,"")</f>
        <v>80</v>
      </c>
      <c r="D12" s="10">
        <v>46314</v>
      </c>
      <c r="E12" s="6"/>
      <c r="F12" s="17" t="str">
        <f t="shared" si="0"/>
        <v/>
      </c>
      <c r="G12" s="2"/>
      <c r="H12" s="2"/>
      <c r="I12" s="2"/>
      <c r="J12" s="14"/>
      <c r="X12" s="6">
        <f t="shared" si="1"/>
        <v>46284</v>
      </c>
      <c r="Y12" s="3">
        <f t="shared" si="2"/>
        <v>0.18000000000000002</v>
      </c>
    </row>
    <row r="13" spans="1:26" x14ac:dyDescent="0.25">
      <c r="A13" s="5"/>
      <c r="B13" s="3"/>
      <c r="D13" s="10">
        <v>46345</v>
      </c>
      <c r="E13" s="6"/>
      <c r="F13" s="17" t="str">
        <f t="shared" si="0"/>
        <v/>
      </c>
      <c r="G13" s="2"/>
      <c r="H13" s="2"/>
      <c r="I13" s="2"/>
      <c r="J13" s="14"/>
      <c r="N13" s="13"/>
      <c r="X13" s="6">
        <f t="shared" si="1"/>
        <v>0</v>
      </c>
      <c r="Y13" s="3">
        <f t="shared" si="2"/>
        <v>0</v>
      </c>
    </row>
    <row r="14" spans="1:26" x14ac:dyDescent="0.25">
      <c r="A14" s="1"/>
      <c r="B14" s="24"/>
      <c r="D14" s="10">
        <v>46375</v>
      </c>
      <c r="E14" s="6"/>
      <c r="F14" s="17" t="str">
        <f t="shared" si="0"/>
        <v/>
      </c>
      <c r="G14" s="2"/>
      <c r="H14" s="2"/>
      <c r="I14" s="2"/>
      <c r="J14" s="14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>
        <v>0.11</v>
      </c>
      <c r="D15" s="10"/>
      <c r="E15" s="6"/>
      <c r="F15" s="17" t="str">
        <f t="shared" si="0"/>
        <v/>
      </c>
      <c r="G15" s="2"/>
      <c r="H15" s="2"/>
      <c r="I15" s="2"/>
      <c r="J15" s="14"/>
      <c r="K15" s="16"/>
      <c r="L15" s="16"/>
      <c r="M15" s="16"/>
      <c r="N15" s="16"/>
      <c r="O15" s="16"/>
      <c r="P15" s="16"/>
      <c r="Q15" s="16"/>
      <c r="X15" s="6">
        <f t="shared" si="1"/>
        <v>0</v>
      </c>
      <c r="Y15" s="3">
        <f t="shared" si="2"/>
        <v>0</v>
      </c>
    </row>
    <row r="16" spans="1:26" x14ac:dyDescent="0.25">
      <c r="A16" s="5" t="s">
        <v>53</v>
      </c>
      <c r="B16" s="3">
        <v>21.49</v>
      </c>
      <c r="D16" s="10"/>
      <c r="E16" s="6"/>
      <c r="F16" s="17" t="str">
        <f t="shared" si="0"/>
        <v/>
      </c>
      <c r="G16" s="2"/>
      <c r="H16" s="2"/>
      <c r="I16" s="2"/>
      <c r="J16" s="14"/>
      <c r="K16" s="9"/>
      <c r="L16" s="9"/>
      <c r="M16" s="9"/>
      <c r="N16" s="18"/>
      <c r="O16" s="19"/>
      <c r="P16" s="14"/>
      <c r="Q16" s="14"/>
      <c r="X16" s="6">
        <f t="shared" si="1"/>
        <v>0</v>
      </c>
      <c r="Y16" s="3">
        <f t="shared" si="2"/>
        <v>0</v>
      </c>
    </row>
    <row r="17" spans="4:25" x14ac:dyDescent="0.25">
      <c r="D17" s="10"/>
      <c r="E17" s="6"/>
      <c r="F17" s="17" t="str">
        <f t="shared" si="0"/>
        <v/>
      </c>
      <c r="G17" s="2"/>
      <c r="H17" s="2"/>
      <c r="I17" s="2"/>
      <c r="J17" s="14"/>
      <c r="X17" s="6">
        <f t="shared" si="1"/>
        <v>0</v>
      </c>
      <c r="Y17" s="3">
        <f t="shared" si="2"/>
        <v>0</v>
      </c>
    </row>
    <row r="18" spans="4:25" x14ac:dyDescent="0.25">
      <c r="D18" s="10"/>
      <c r="E18" s="6"/>
      <c r="F18" s="17" t="str">
        <f t="shared" si="0"/>
        <v/>
      </c>
      <c r="G18" s="2"/>
      <c r="H18" s="2"/>
      <c r="I18" s="2"/>
      <c r="J18" s="14"/>
      <c r="X18" s="6">
        <f t="shared" si="1"/>
        <v>0</v>
      </c>
      <c r="Y18" s="3">
        <f t="shared" si="2"/>
        <v>0</v>
      </c>
    </row>
    <row r="19" spans="4:25" x14ac:dyDescent="0.25">
      <c r="D19" s="10"/>
      <c r="E19" s="6"/>
      <c r="F19" s="17" t="str">
        <f t="shared" si="0"/>
        <v/>
      </c>
      <c r="G19" s="2"/>
      <c r="H19" s="2"/>
      <c r="I19" s="2"/>
      <c r="J19" s="14"/>
      <c r="X19" s="6">
        <f t="shared" si="1"/>
        <v>0</v>
      </c>
      <c r="Y19" s="3">
        <f t="shared" si="2"/>
        <v>0</v>
      </c>
    </row>
    <row r="20" spans="4:25" x14ac:dyDescent="0.25">
      <c r="D20" s="10"/>
      <c r="E20" s="6"/>
      <c r="F20" s="17" t="str">
        <f t="shared" si="0"/>
        <v/>
      </c>
      <c r="G20" s="2"/>
      <c r="H20" s="2"/>
      <c r="I20" s="2"/>
      <c r="J20" s="14"/>
      <c r="X20" s="6">
        <f t="shared" si="1"/>
        <v>0</v>
      </c>
      <c r="Y20" s="3">
        <f t="shared" si="2"/>
        <v>0</v>
      </c>
    </row>
    <row r="21" spans="4:25" x14ac:dyDescent="0.25">
      <c r="D21" s="10"/>
      <c r="E21" s="6"/>
      <c r="F21" s="17" t="str">
        <f t="shared" si="0"/>
        <v/>
      </c>
      <c r="G21" s="2"/>
      <c r="H21" s="2"/>
      <c r="I21" s="2"/>
      <c r="J21" s="14"/>
      <c r="X21" s="6">
        <f t="shared" si="1"/>
        <v>0</v>
      </c>
      <c r="Y21" s="3">
        <f t="shared" si="2"/>
        <v>0</v>
      </c>
    </row>
    <row r="22" spans="4:25" x14ac:dyDescent="0.25">
      <c r="D22" s="10"/>
      <c r="E22" s="6"/>
      <c r="F22" s="17" t="str">
        <f t="shared" si="0"/>
        <v/>
      </c>
      <c r="G22" s="2"/>
      <c r="H22" s="2"/>
      <c r="I22" s="2"/>
      <c r="J22" s="14"/>
      <c r="X22" s="6">
        <f t="shared" si="1"/>
        <v>0</v>
      </c>
      <c r="Y22" s="3">
        <f t="shared" si="2"/>
        <v>0</v>
      </c>
    </row>
    <row r="23" spans="4:25" x14ac:dyDescent="0.25">
      <c r="D23" s="10"/>
      <c r="E23" s="6"/>
      <c r="F23" s="17" t="str">
        <f t="shared" si="0"/>
        <v/>
      </c>
      <c r="G23" s="2"/>
      <c r="H23" s="2"/>
      <c r="I23" s="2"/>
      <c r="J23" s="14"/>
      <c r="X23" s="6">
        <f t="shared" si="1"/>
        <v>0</v>
      </c>
      <c r="Y23" s="3">
        <f t="shared" si="2"/>
        <v>0</v>
      </c>
    </row>
    <row r="24" spans="4:25" x14ac:dyDescent="0.25">
      <c r="D24" s="10"/>
      <c r="E24" s="6"/>
      <c r="F24" s="17" t="str">
        <f t="shared" si="0"/>
        <v/>
      </c>
      <c r="G24" s="2"/>
      <c r="H24" s="2"/>
      <c r="I24" s="2"/>
      <c r="J24" s="14"/>
      <c r="X24" s="6">
        <f t="shared" si="1"/>
        <v>0</v>
      </c>
      <c r="Y24" s="3">
        <f t="shared" si="2"/>
        <v>0</v>
      </c>
    </row>
    <row r="25" spans="4:25" x14ac:dyDescent="0.25">
      <c r="D25" s="10"/>
      <c r="E25" s="6"/>
      <c r="F25" s="17" t="str">
        <f t="shared" si="0"/>
        <v/>
      </c>
      <c r="G25" s="2"/>
      <c r="H25" s="2"/>
      <c r="I25" s="2"/>
      <c r="J25" s="14"/>
      <c r="X25" s="6">
        <f t="shared" si="1"/>
        <v>0</v>
      </c>
      <c r="Y25" s="3">
        <f t="shared" si="2"/>
        <v>0</v>
      </c>
    </row>
    <row r="26" spans="4:25" x14ac:dyDescent="0.25">
      <c r="D26" s="10"/>
      <c r="E26" s="6"/>
      <c r="F26" s="17" t="str">
        <f t="shared" si="0"/>
        <v/>
      </c>
      <c r="G26" s="2"/>
      <c r="H26" s="2"/>
      <c r="I26" s="2"/>
      <c r="J26" s="14"/>
      <c r="X26" s="6">
        <f t="shared" si="1"/>
        <v>0</v>
      </c>
      <c r="Y26" s="3">
        <f t="shared" si="2"/>
        <v>0</v>
      </c>
    </row>
    <row r="27" spans="4:25" x14ac:dyDescent="0.25">
      <c r="D27" s="10"/>
      <c r="E27" s="6"/>
      <c r="F27" s="17" t="str">
        <f t="shared" si="0"/>
        <v/>
      </c>
      <c r="G27" s="2"/>
      <c r="H27" s="2"/>
      <c r="I27" s="2"/>
      <c r="J27" s="14"/>
      <c r="X27" s="6">
        <f t="shared" si="1"/>
        <v>0</v>
      </c>
      <c r="Y27" s="3">
        <f t="shared" si="2"/>
        <v>0</v>
      </c>
    </row>
    <row r="28" spans="4:25" x14ac:dyDescent="0.25">
      <c r="D28" s="10"/>
      <c r="E28" s="6"/>
      <c r="F28" s="17" t="str">
        <f t="shared" si="0"/>
        <v/>
      </c>
      <c r="G28" s="2"/>
      <c r="H28" s="2"/>
      <c r="I28" s="2"/>
      <c r="J28" s="14"/>
      <c r="X28" s="6">
        <f t="shared" si="1"/>
        <v>0</v>
      </c>
      <c r="Y28" s="3">
        <f t="shared" si="2"/>
        <v>0</v>
      </c>
    </row>
    <row r="29" spans="4:25" x14ac:dyDescent="0.25">
      <c r="D29" s="10"/>
      <c r="E29" s="6"/>
      <c r="F29" s="17" t="str">
        <f t="shared" si="0"/>
        <v/>
      </c>
      <c r="G29" s="2"/>
      <c r="H29" s="2"/>
      <c r="I29" s="2"/>
      <c r="J29" s="14"/>
      <c r="X29" s="6">
        <f t="shared" si="1"/>
        <v>0</v>
      </c>
      <c r="Y29" s="3">
        <f t="shared" si="2"/>
        <v>0</v>
      </c>
    </row>
    <row r="30" spans="4:25" x14ac:dyDescent="0.25">
      <c r="D30" s="10"/>
      <c r="E30" s="6"/>
      <c r="F30" s="17" t="str">
        <f t="shared" si="0"/>
        <v/>
      </c>
      <c r="G30" s="2"/>
      <c r="H30" s="2"/>
      <c r="I30" s="2"/>
      <c r="J30" s="14"/>
      <c r="X30" s="6">
        <f t="shared" si="1"/>
        <v>0</v>
      </c>
      <c r="Y30" s="3">
        <f t="shared" si="2"/>
        <v>0</v>
      </c>
    </row>
    <row r="31" spans="4:25" x14ac:dyDescent="0.25">
      <c r="D31" s="10"/>
      <c r="E31" s="6"/>
      <c r="F31" s="17" t="str">
        <f t="shared" si="0"/>
        <v/>
      </c>
      <c r="G31" s="2"/>
      <c r="H31" s="2"/>
      <c r="I31" s="2"/>
      <c r="J31" s="14"/>
      <c r="X31" s="6">
        <f t="shared" si="1"/>
        <v>0</v>
      </c>
      <c r="Y31" s="3">
        <f t="shared" si="2"/>
        <v>0</v>
      </c>
    </row>
    <row r="32" spans="4:25" x14ac:dyDescent="0.25">
      <c r="D32" s="10"/>
      <c r="E32" s="6"/>
      <c r="F32" s="17" t="str">
        <f t="shared" si="0"/>
        <v/>
      </c>
      <c r="G32" s="2"/>
      <c r="H32" s="2"/>
      <c r="I32" s="2"/>
      <c r="J32" s="14"/>
      <c r="X32" s="6">
        <f t="shared" si="1"/>
        <v>0</v>
      </c>
      <c r="Y32" s="3">
        <f t="shared" si="2"/>
        <v>0</v>
      </c>
    </row>
    <row r="33" spans="4:25" x14ac:dyDescent="0.25">
      <c r="D33" s="10"/>
      <c r="E33" s="6"/>
      <c r="F33" s="17" t="str">
        <f t="shared" si="0"/>
        <v/>
      </c>
      <c r="G33" s="2"/>
      <c r="H33" s="2"/>
      <c r="I33" s="2"/>
      <c r="J33" s="14"/>
      <c r="X33" s="6">
        <f t="shared" si="1"/>
        <v>0</v>
      </c>
      <c r="Y33" s="3">
        <f t="shared" si="2"/>
        <v>0</v>
      </c>
    </row>
    <row r="34" spans="4:25" x14ac:dyDescent="0.25">
      <c r="D34" s="10"/>
      <c r="E34" s="6"/>
      <c r="F34" s="17" t="str">
        <f t="shared" si="0"/>
        <v/>
      </c>
      <c r="G34" s="2"/>
      <c r="H34" s="2"/>
      <c r="I34" s="2"/>
      <c r="J34" s="14"/>
      <c r="X34" s="6">
        <f t="shared" si="1"/>
        <v>0</v>
      </c>
      <c r="Y34" s="3">
        <f t="shared" si="2"/>
        <v>0</v>
      </c>
    </row>
    <row r="35" spans="4:25" x14ac:dyDescent="0.25">
      <c r="D35" s="10"/>
      <c r="E35" s="6"/>
      <c r="F35" s="17" t="str">
        <f t="shared" si="0"/>
        <v/>
      </c>
      <c r="G35" s="2"/>
      <c r="H35" s="2"/>
      <c r="I35" s="2"/>
      <c r="J35" s="14"/>
      <c r="X35" s="6">
        <f t="shared" si="1"/>
        <v>0</v>
      </c>
      <c r="Y35" s="3">
        <f t="shared" si="2"/>
        <v>0</v>
      </c>
    </row>
    <row r="36" spans="4:25" x14ac:dyDescent="0.25">
      <c r="D36" s="10"/>
      <c r="E36" s="6"/>
      <c r="F36" s="17" t="str">
        <f t="shared" si="0"/>
        <v/>
      </c>
      <c r="G36" s="2"/>
      <c r="H36" s="2"/>
      <c r="I36" s="2"/>
      <c r="J36" s="14"/>
      <c r="X36" s="6">
        <f t="shared" si="1"/>
        <v>0</v>
      </c>
      <c r="Y36" s="3">
        <f t="shared" si="2"/>
        <v>0</v>
      </c>
    </row>
    <row r="37" spans="4:25" x14ac:dyDescent="0.25">
      <c r="D37" s="10"/>
      <c r="E37" s="6"/>
      <c r="F37" s="17" t="str">
        <f t="shared" si="0"/>
        <v/>
      </c>
      <c r="G37" s="2"/>
      <c r="H37" s="2"/>
      <c r="I37" s="2"/>
      <c r="J37" s="14"/>
      <c r="X37" s="6">
        <f t="shared" si="1"/>
        <v>0</v>
      </c>
      <c r="Y37" s="3">
        <f t="shared" si="2"/>
        <v>0</v>
      </c>
    </row>
    <row r="38" spans="4:25" x14ac:dyDescent="0.25">
      <c r="D38" s="10"/>
      <c r="E38" s="6"/>
      <c r="F38" s="17" t="str">
        <f t="shared" si="0"/>
        <v/>
      </c>
      <c r="G38" s="2"/>
      <c r="H38" s="2"/>
      <c r="I38" s="2"/>
      <c r="J38" s="14"/>
      <c r="X38" s="6">
        <f t="shared" si="1"/>
        <v>0</v>
      </c>
      <c r="Y38" s="3">
        <f t="shared" si="2"/>
        <v>0</v>
      </c>
    </row>
    <row r="39" spans="4:25" x14ac:dyDescent="0.25">
      <c r="D39" s="10"/>
      <c r="E39" s="6"/>
      <c r="F39" s="17" t="str">
        <f t="shared" si="0"/>
        <v/>
      </c>
      <c r="G39" s="2"/>
      <c r="H39" s="2"/>
      <c r="I39" s="2"/>
      <c r="J39" s="14"/>
      <c r="X39" s="6">
        <f t="shared" si="1"/>
        <v>0</v>
      </c>
      <c r="Y39" s="3">
        <f t="shared" si="2"/>
        <v>0</v>
      </c>
    </row>
    <row r="40" spans="4:25" x14ac:dyDescent="0.25">
      <c r="D40" s="10"/>
      <c r="E40" s="6"/>
      <c r="F40" s="17" t="str">
        <f t="shared" si="0"/>
        <v/>
      </c>
      <c r="G40" s="2"/>
      <c r="H40" s="2"/>
      <c r="I40" s="2"/>
      <c r="J40" s="14"/>
      <c r="X40" s="6">
        <f t="shared" si="1"/>
        <v>0</v>
      </c>
      <c r="Y40" s="3">
        <f t="shared" si="2"/>
        <v>0</v>
      </c>
    </row>
    <row r="41" spans="4:25" x14ac:dyDescent="0.25">
      <c r="D41" s="10"/>
      <c r="E41" s="6"/>
      <c r="F41" s="17" t="str">
        <f t="shared" si="0"/>
        <v/>
      </c>
      <c r="G41" s="2"/>
      <c r="H41" s="2"/>
      <c r="I41" s="2"/>
      <c r="J41" s="14"/>
      <c r="X41" s="6">
        <f t="shared" si="1"/>
        <v>0</v>
      </c>
      <c r="Y41" s="3">
        <f t="shared" si="2"/>
        <v>0</v>
      </c>
    </row>
    <row r="42" spans="4:25" x14ac:dyDescent="0.25">
      <c r="D42" s="10"/>
      <c r="E42" s="6"/>
      <c r="F42" s="17" t="str">
        <f t="shared" si="0"/>
        <v/>
      </c>
      <c r="G42" s="2"/>
      <c r="H42" s="2"/>
      <c r="I42" s="2"/>
      <c r="J42" s="14"/>
      <c r="X42" s="6">
        <f t="shared" si="1"/>
        <v>0</v>
      </c>
      <c r="Y42" s="3">
        <f t="shared" si="2"/>
        <v>0</v>
      </c>
    </row>
    <row r="43" spans="4:25" x14ac:dyDescent="0.25">
      <c r="D43" s="10"/>
      <c r="E43" s="6"/>
      <c r="F43" s="17" t="str">
        <f t="shared" si="0"/>
        <v/>
      </c>
      <c r="G43" s="2"/>
      <c r="H43" s="2"/>
      <c r="I43" s="2"/>
      <c r="J43" s="14"/>
      <c r="X43" s="6">
        <f t="shared" si="1"/>
        <v>0</v>
      </c>
      <c r="Y43" s="3">
        <f t="shared" si="2"/>
        <v>0</v>
      </c>
    </row>
    <row r="44" spans="4:25" x14ac:dyDescent="0.25">
      <c r="D44" s="10"/>
      <c r="E44" s="6"/>
      <c r="F44" s="17" t="str">
        <f t="shared" si="0"/>
        <v/>
      </c>
      <c r="G44" s="2"/>
      <c r="H44" s="2"/>
      <c r="I44" s="2"/>
      <c r="J44" s="14"/>
      <c r="X44" s="6">
        <f t="shared" si="1"/>
        <v>0</v>
      </c>
      <c r="Y44" s="3">
        <f t="shared" si="2"/>
        <v>0</v>
      </c>
    </row>
    <row r="45" spans="4:25" x14ac:dyDescent="0.25">
      <c r="D45" s="10"/>
      <c r="E45" s="6"/>
      <c r="F45" s="17" t="str">
        <f t="shared" si="0"/>
        <v/>
      </c>
      <c r="G45" s="2"/>
      <c r="H45" s="2"/>
      <c r="I45" s="2"/>
      <c r="J45" s="14"/>
      <c r="X45" s="6">
        <f t="shared" si="1"/>
        <v>0</v>
      </c>
      <c r="Y45" s="3">
        <f t="shared" si="2"/>
        <v>0</v>
      </c>
    </row>
    <row r="46" spans="4:25" x14ac:dyDescent="0.25">
      <c r="D46" s="10"/>
      <c r="E46" s="6"/>
      <c r="F46" s="17" t="str">
        <f t="shared" si="0"/>
        <v/>
      </c>
      <c r="G46" s="2"/>
      <c r="H46" s="2"/>
      <c r="I46" s="2"/>
      <c r="J46" s="14"/>
      <c r="X46" s="6">
        <f t="shared" si="1"/>
        <v>0</v>
      </c>
      <c r="Y46" s="3">
        <f t="shared" si="2"/>
        <v>0</v>
      </c>
    </row>
    <row r="47" spans="4:25" x14ac:dyDescent="0.25">
      <c r="D47" s="10"/>
      <c r="E47" s="6"/>
      <c r="F47" s="17" t="str">
        <f t="shared" si="0"/>
        <v/>
      </c>
      <c r="G47" s="2"/>
      <c r="H47" s="2"/>
      <c r="I47" s="2"/>
      <c r="J47" s="14"/>
      <c r="X47" s="6">
        <f t="shared" si="1"/>
        <v>0</v>
      </c>
      <c r="Y47" s="3">
        <f t="shared" si="2"/>
        <v>0</v>
      </c>
    </row>
    <row r="48" spans="4:25" x14ac:dyDescent="0.25">
      <c r="D48" s="10"/>
      <c r="E48" s="6"/>
      <c r="F48" s="17" t="str">
        <f t="shared" si="0"/>
        <v/>
      </c>
      <c r="G48" s="2"/>
      <c r="H48" s="2"/>
      <c r="I48" s="2"/>
      <c r="J48" s="14"/>
      <c r="X48" s="6">
        <f t="shared" si="1"/>
        <v>0</v>
      </c>
      <c r="Y48" s="3">
        <f t="shared" si="2"/>
        <v>0</v>
      </c>
    </row>
    <row r="49" spans="4:25" x14ac:dyDescent="0.25">
      <c r="D49" s="10"/>
      <c r="E49" s="6"/>
      <c r="F49" s="17" t="str">
        <f t="shared" si="0"/>
        <v/>
      </c>
      <c r="G49" s="2"/>
      <c r="H49" s="2"/>
      <c r="I49" s="2"/>
      <c r="J49" s="14"/>
      <c r="X49" s="6">
        <f t="shared" si="1"/>
        <v>0</v>
      </c>
      <c r="Y49" s="3">
        <f t="shared" si="2"/>
        <v>0</v>
      </c>
    </row>
    <row r="50" spans="4:25" x14ac:dyDescent="0.25">
      <c r="D50" s="10"/>
      <c r="E50" s="6"/>
      <c r="F50" s="17" t="str">
        <f t="shared" si="0"/>
        <v/>
      </c>
      <c r="G50" s="2"/>
      <c r="H50" s="2"/>
      <c r="I50" s="2"/>
      <c r="J50" s="14"/>
      <c r="X50" s="6">
        <f t="shared" si="1"/>
        <v>0</v>
      </c>
      <c r="Y50" s="3">
        <f t="shared" si="2"/>
        <v>0</v>
      </c>
    </row>
    <row r="51" spans="4:25" x14ac:dyDescent="0.25">
      <c r="D51" s="10"/>
      <c r="E51" s="6"/>
      <c r="F51" s="17" t="str">
        <f t="shared" si="0"/>
        <v/>
      </c>
      <c r="G51" s="2"/>
      <c r="H51" s="2"/>
      <c r="I51" s="2"/>
      <c r="J51" s="14"/>
      <c r="X51" s="6">
        <f t="shared" si="1"/>
        <v>0</v>
      </c>
      <c r="Y51" s="3">
        <f t="shared" si="2"/>
        <v>0</v>
      </c>
    </row>
    <row r="52" spans="4:25" x14ac:dyDescent="0.25">
      <c r="D52" s="10"/>
      <c r="E52" s="6"/>
      <c r="F52" s="17" t="str">
        <f t="shared" si="0"/>
        <v/>
      </c>
      <c r="G52" s="2"/>
      <c r="H52" s="2"/>
      <c r="I52" s="2"/>
      <c r="J52" s="9"/>
      <c r="X52" s="6">
        <f t="shared" si="1"/>
        <v>0</v>
      </c>
      <c r="Y52" s="3">
        <f t="shared" si="2"/>
        <v>0</v>
      </c>
    </row>
    <row r="53" spans="4:25" x14ac:dyDescent="0.25">
      <c r="D53" s="2" t="s">
        <v>14</v>
      </c>
      <c r="E53" s="25"/>
      <c r="F53" s="3"/>
      <c r="G53" s="3">
        <f>SUM(G3:G52)</f>
        <v>0</v>
      </c>
      <c r="H53" s="3">
        <f t="shared" ref="H53:I53" si="3">SUM(H3:H52)</f>
        <v>1.7599999999999998</v>
      </c>
      <c r="I53" s="3">
        <f t="shared" si="3"/>
        <v>0.18</v>
      </c>
    </row>
  </sheetData>
  <mergeCells count="4">
    <mergeCell ref="D1:F1"/>
    <mergeCell ref="G1:I1"/>
    <mergeCell ref="K1:Q1"/>
    <mergeCell ref="X1:Z1"/>
  </mergeCells>
  <conditionalFormatting sqref="A1:B1">
    <cfRule type="expression" dxfId="19" priority="1">
      <formula>$Z$3="+"</formula>
    </cfRule>
    <cfRule type="expression" dxfId="18" priority="2">
      <formula>$B$16=$K$3</formula>
    </cfRule>
  </conditionalFormatting>
  <conditionalFormatting sqref="P3">
    <cfRule type="expression" dxfId="17" priority="7">
      <formula>$Z$3="+"</formula>
    </cfRule>
  </conditionalFormatting>
  <conditionalFormatting sqref="Z3">
    <cfRule type="expression" dxfId="16" priority="8">
      <formula>$Z$3="+"</formula>
    </cfRule>
  </conditionalFormatting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D5732-D270-469F-AE8D-DB41E9FD857B}">
  <dimension ref="A1:Z53"/>
  <sheetViews>
    <sheetView workbookViewId="0">
      <selection activeCell="G12" sqref="G12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4" customWidth="1"/>
    <col min="25" max="25" width="10.7109375" style="14" customWidth="1"/>
    <col min="26" max="26" width="10.7109375" customWidth="1"/>
  </cols>
  <sheetData>
    <row r="1" spans="1:26" x14ac:dyDescent="0.25">
      <c r="A1" s="5" t="s">
        <v>18</v>
      </c>
      <c r="B1" s="6" t="s">
        <v>27</v>
      </c>
      <c r="D1" s="41" t="s">
        <v>2</v>
      </c>
      <c r="E1" s="42"/>
      <c r="F1" s="43"/>
      <c r="G1" s="41" t="s">
        <v>0</v>
      </c>
      <c r="H1" s="42"/>
      <c r="I1" s="43"/>
      <c r="J1" s="16"/>
      <c r="K1" s="41" t="s">
        <v>41</v>
      </c>
      <c r="L1" s="42"/>
      <c r="M1" s="42"/>
      <c r="N1" s="42"/>
      <c r="O1" s="42"/>
      <c r="P1" s="42"/>
      <c r="Q1" s="43"/>
      <c r="X1" s="41"/>
      <c r="Y1" s="42"/>
      <c r="Z1" s="43"/>
    </row>
    <row r="2" spans="1:26" x14ac:dyDescent="0.25">
      <c r="A2" s="5" t="s">
        <v>15</v>
      </c>
      <c r="B2" s="6" t="s">
        <v>19</v>
      </c>
      <c r="D2" s="11" t="s">
        <v>45</v>
      </c>
      <c r="E2" s="11" t="s">
        <v>46</v>
      </c>
      <c r="F2" s="23" t="s">
        <v>51</v>
      </c>
      <c r="G2" s="11" t="s">
        <v>12</v>
      </c>
      <c r="H2" s="11" t="s">
        <v>13</v>
      </c>
      <c r="I2" s="11" t="s">
        <v>43</v>
      </c>
      <c r="J2" s="9"/>
      <c r="K2" s="11" t="s">
        <v>0</v>
      </c>
      <c r="L2" s="11" t="s">
        <v>1</v>
      </c>
      <c r="M2" s="11" t="s">
        <v>39</v>
      </c>
      <c r="N2" s="11" t="s">
        <v>40</v>
      </c>
      <c r="O2" s="11" t="s">
        <v>2</v>
      </c>
      <c r="P2" s="11" t="s">
        <v>49</v>
      </c>
      <c r="Q2" s="11" t="s">
        <v>51</v>
      </c>
      <c r="X2" s="11" t="s">
        <v>2</v>
      </c>
      <c r="Y2" s="11" t="s">
        <v>42</v>
      </c>
      <c r="Z2" s="11" t="s">
        <v>49</v>
      </c>
    </row>
    <row r="3" spans="1:26" x14ac:dyDescent="0.25">
      <c r="A3" s="5" t="s">
        <v>20</v>
      </c>
      <c r="B3" s="6" t="s">
        <v>28</v>
      </c>
      <c r="D3" s="10">
        <v>46005</v>
      </c>
      <c r="E3" s="10">
        <v>46005</v>
      </c>
      <c r="F3" s="17">
        <f>IF(E3&gt;0,E3-D3,"")</f>
        <v>0</v>
      </c>
      <c r="G3" s="3">
        <v>0</v>
      </c>
      <c r="H3" s="3">
        <v>0.45</v>
      </c>
      <c r="I3" s="3">
        <v>0.05</v>
      </c>
      <c r="J3" s="14"/>
      <c r="K3" s="3">
        <f>G53</f>
        <v>0</v>
      </c>
      <c r="L3" s="3">
        <f>H53</f>
        <v>4.59</v>
      </c>
      <c r="M3" s="3">
        <f>I53</f>
        <v>0.49</v>
      </c>
      <c r="N3" s="7" t="str">
        <f>IF(B16=K3,XIRR(Y3:Y52,X3:X52),"")</f>
        <v/>
      </c>
      <c r="O3" s="6" t="str">
        <f>IF(B16=K3,MAX(E:E),"")</f>
        <v/>
      </c>
      <c r="P3" s="2" t="str">
        <f ca="1">IF(Z3="+",TODAY()-B11,"")</f>
        <v/>
      </c>
      <c r="Q3" s="2" t="str">
        <f>IF(B16=K3,MAX(E:E)-B11,"")</f>
        <v/>
      </c>
      <c r="T3" s="13"/>
      <c r="X3" s="6">
        <f>B9</f>
        <v>45972</v>
      </c>
      <c r="Y3" s="3">
        <f>B16*-1</f>
        <v>-50</v>
      </c>
      <c r="Z3" s="2" t="str">
        <f ca="1">IF(AND(TODAY()&gt;B11, K3&lt;&gt;B16), "+", "")</f>
        <v/>
      </c>
    </row>
    <row r="4" spans="1:26" x14ac:dyDescent="0.25">
      <c r="A4" s="5" t="s">
        <v>22</v>
      </c>
      <c r="B4" s="6" t="s">
        <v>23</v>
      </c>
      <c r="D4" s="10">
        <v>46036</v>
      </c>
      <c r="E4" s="10">
        <v>46036</v>
      </c>
      <c r="F4" s="17">
        <f>IF(E4&gt;0,E4-D4,"")</f>
        <v>0</v>
      </c>
      <c r="G4" s="3">
        <v>0</v>
      </c>
      <c r="H4" s="3">
        <v>0.47</v>
      </c>
      <c r="I4" s="3">
        <v>0.05</v>
      </c>
      <c r="J4" s="9"/>
      <c r="X4" s="6">
        <f>E3</f>
        <v>46005</v>
      </c>
      <c r="Y4" s="3">
        <f>G3+H3-I3</f>
        <v>0.4</v>
      </c>
    </row>
    <row r="5" spans="1:26" x14ac:dyDescent="0.25">
      <c r="A5" s="5"/>
      <c r="B5" s="6"/>
      <c r="D5" s="10">
        <v>46067</v>
      </c>
      <c r="E5" s="10">
        <v>46067</v>
      </c>
      <c r="F5" s="17">
        <f t="shared" ref="F5:F52" si="0">IF(E5&gt;0,E5-D5,"")</f>
        <v>0</v>
      </c>
      <c r="G5" s="3">
        <v>0</v>
      </c>
      <c r="H5" s="2">
        <v>0.47</v>
      </c>
      <c r="I5" s="2">
        <v>0.05</v>
      </c>
      <c r="J5" s="9"/>
      <c r="X5" s="6">
        <f t="shared" ref="X5:X52" si="1">E4</f>
        <v>46036</v>
      </c>
      <c r="Y5" s="3">
        <f t="shared" ref="Y5:Y52" si="2">G4+H4-I4</f>
        <v>0.42</v>
      </c>
    </row>
    <row r="6" spans="1:26" x14ac:dyDescent="0.25">
      <c r="A6" s="5"/>
      <c r="B6" s="6"/>
      <c r="D6" s="10">
        <v>46095</v>
      </c>
      <c r="E6" s="10">
        <v>46095</v>
      </c>
      <c r="F6" s="17">
        <f t="shared" si="0"/>
        <v>0</v>
      </c>
      <c r="G6" s="3">
        <v>0</v>
      </c>
      <c r="H6" s="3">
        <v>0.42</v>
      </c>
      <c r="I6" s="3">
        <v>0.04</v>
      </c>
      <c r="J6" s="9"/>
      <c r="X6" s="6">
        <f t="shared" si="1"/>
        <v>46067</v>
      </c>
      <c r="Y6" s="3">
        <f t="shared" si="2"/>
        <v>0.42</v>
      </c>
    </row>
    <row r="7" spans="1:26" x14ac:dyDescent="0.25">
      <c r="A7" s="5"/>
      <c r="B7" s="6"/>
      <c r="D7" s="10">
        <v>46126</v>
      </c>
      <c r="E7" s="10">
        <v>46126</v>
      </c>
      <c r="F7" s="17">
        <f t="shared" si="0"/>
        <v>0</v>
      </c>
      <c r="G7" s="3">
        <v>0</v>
      </c>
      <c r="H7" s="2">
        <v>0.47</v>
      </c>
      <c r="I7" s="2">
        <v>0.05</v>
      </c>
      <c r="J7" s="14"/>
      <c r="X7" s="6">
        <f t="shared" si="1"/>
        <v>46095</v>
      </c>
      <c r="Y7" s="3">
        <f t="shared" si="2"/>
        <v>0.38</v>
      </c>
    </row>
    <row r="8" spans="1:26" x14ac:dyDescent="0.25">
      <c r="A8" s="5" t="s">
        <v>16</v>
      </c>
      <c r="B8" s="6" t="str">
        <f>DATEDIF(B9,B11,"y") &amp; " m. " &amp; DATEDIF(B9,B11,"ym") &amp; " mėn. " &amp; DATEDIF(B9,B11,"md") &amp; " d."</f>
        <v>1 m. 0 mėn. 3 d.</v>
      </c>
      <c r="D8" s="10">
        <v>46156</v>
      </c>
      <c r="E8" s="6">
        <v>46156</v>
      </c>
      <c r="F8" s="17">
        <f t="shared" si="0"/>
        <v>0</v>
      </c>
      <c r="G8" s="3">
        <v>0</v>
      </c>
      <c r="H8" s="3">
        <v>0.45</v>
      </c>
      <c r="I8" s="2">
        <v>0.05</v>
      </c>
      <c r="J8" s="9"/>
      <c r="X8" s="6">
        <f t="shared" si="1"/>
        <v>46126</v>
      </c>
      <c r="Y8" s="3">
        <f t="shared" si="2"/>
        <v>0.42</v>
      </c>
    </row>
    <row r="9" spans="1:26" x14ac:dyDescent="0.25">
      <c r="A9" s="5" t="s">
        <v>8</v>
      </c>
      <c r="B9" s="6">
        <v>45972</v>
      </c>
      <c r="D9" s="10">
        <v>46187</v>
      </c>
      <c r="E9" s="6">
        <v>46187</v>
      </c>
      <c r="F9" s="17">
        <f t="shared" si="0"/>
        <v>0</v>
      </c>
      <c r="G9" s="3">
        <v>0</v>
      </c>
      <c r="H9" s="3">
        <v>0.47</v>
      </c>
      <c r="I9" s="3">
        <v>0.05</v>
      </c>
      <c r="J9" s="14"/>
      <c r="X9" s="6">
        <f t="shared" si="1"/>
        <v>46156</v>
      </c>
      <c r="Y9" s="3">
        <f t="shared" si="2"/>
        <v>0.4</v>
      </c>
    </row>
    <row r="10" spans="1:26" x14ac:dyDescent="0.25">
      <c r="A10" s="5" t="s">
        <v>24</v>
      </c>
      <c r="B10" s="6">
        <v>45975</v>
      </c>
      <c r="D10" s="10">
        <v>46217</v>
      </c>
      <c r="E10" s="6">
        <v>46217</v>
      </c>
      <c r="F10" s="17">
        <f t="shared" si="0"/>
        <v>0</v>
      </c>
      <c r="G10" s="3">
        <v>0</v>
      </c>
      <c r="H10" s="2">
        <v>0.45</v>
      </c>
      <c r="I10" s="2">
        <v>0.05</v>
      </c>
      <c r="J10" s="14"/>
      <c r="X10" s="6">
        <f t="shared" si="1"/>
        <v>46187</v>
      </c>
      <c r="Y10" s="3">
        <f t="shared" si="2"/>
        <v>0.42</v>
      </c>
    </row>
    <row r="11" spans="1:26" x14ac:dyDescent="0.25">
      <c r="A11" s="5" t="s">
        <v>44</v>
      </c>
      <c r="B11" s="6">
        <v>46340</v>
      </c>
      <c r="D11" s="10">
        <v>46248</v>
      </c>
      <c r="E11" s="6">
        <v>46248</v>
      </c>
      <c r="F11" s="17">
        <f t="shared" si="0"/>
        <v>0</v>
      </c>
      <c r="G11" s="3">
        <v>0</v>
      </c>
      <c r="H11" s="2">
        <v>0.47</v>
      </c>
      <c r="I11" s="2">
        <v>0.05</v>
      </c>
      <c r="J11" s="14"/>
      <c r="X11" s="6">
        <f t="shared" si="1"/>
        <v>46217</v>
      </c>
      <c r="Y11" s="3">
        <f t="shared" si="2"/>
        <v>0.4</v>
      </c>
    </row>
    <row r="12" spans="1:26" x14ac:dyDescent="0.25">
      <c r="A12" s="5" t="s">
        <v>52</v>
      </c>
      <c r="B12" s="17">
        <f ca="1">IF(B16&lt;&gt;K3,(TODAY()-B11)*-1,"")</f>
        <v>45</v>
      </c>
      <c r="D12" s="10">
        <v>46279</v>
      </c>
      <c r="E12" s="6">
        <v>46279</v>
      </c>
      <c r="F12" s="17">
        <f t="shared" si="0"/>
        <v>0</v>
      </c>
      <c r="G12" s="3">
        <v>0</v>
      </c>
      <c r="H12" s="2">
        <v>0.47</v>
      </c>
      <c r="I12" s="2">
        <v>0.05</v>
      </c>
      <c r="J12" s="14"/>
      <c r="X12" s="6">
        <f t="shared" si="1"/>
        <v>46248</v>
      </c>
      <c r="Y12" s="3">
        <f t="shared" si="2"/>
        <v>0.42</v>
      </c>
    </row>
    <row r="13" spans="1:26" x14ac:dyDescent="0.25">
      <c r="A13" s="5"/>
      <c r="B13" s="3"/>
      <c r="D13" s="10">
        <v>46309</v>
      </c>
      <c r="E13" s="6"/>
      <c r="F13" s="17" t="str">
        <f t="shared" si="0"/>
        <v/>
      </c>
      <c r="G13" s="2"/>
      <c r="H13" s="2"/>
      <c r="I13" s="2"/>
      <c r="J13" s="14"/>
      <c r="N13" s="13"/>
      <c r="X13" s="6">
        <f t="shared" si="1"/>
        <v>46279</v>
      </c>
      <c r="Y13" s="3">
        <f t="shared" si="2"/>
        <v>0.42</v>
      </c>
    </row>
    <row r="14" spans="1:26" x14ac:dyDescent="0.25">
      <c r="A14" s="1"/>
      <c r="B14" s="24"/>
      <c r="D14" s="10">
        <v>46340</v>
      </c>
      <c r="E14" s="6"/>
      <c r="F14" s="17" t="str">
        <f t="shared" si="0"/>
        <v/>
      </c>
      <c r="G14" s="2"/>
      <c r="H14" s="2"/>
      <c r="I14" s="2"/>
      <c r="J14" s="14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>
        <v>0.11</v>
      </c>
      <c r="D15" s="10"/>
      <c r="E15" s="6"/>
      <c r="F15" s="17" t="str">
        <f t="shared" si="0"/>
        <v/>
      </c>
      <c r="G15" s="2"/>
      <c r="H15" s="2"/>
      <c r="I15" s="2"/>
      <c r="J15" s="14"/>
      <c r="K15" s="16"/>
      <c r="L15" s="16"/>
      <c r="M15" s="16"/>
      <c r="N15" s="16"/>
      <c r="O15" s="16"/>
      <c r="P15" s="16"/>
      <c r="Q15" s="16"/>
      <c r="X15" s="6">
        <f t="shared" si="1"/>
        <v>0</v>
      </c>
      <c r="Y15" s="3">
        <f t="shared" si="2"/>
        <v>0</v>
      </c>
    </row>
    <row r="16" spans="1:26" x14ac:dyDescent="0.25">
      <c r="A16" s="5" t="s">
        <v>53</v>
      </c>
      <c r="B16" s="3">
        <v>50</v>
      </c>
      <c r="D16" s="10"/>
      <c r="E16" s="6"/>
      <c r="F16" s="17" t="str">
        <f t="shared" si="0"/>
        <v/>
      </c>
      <c r="G16" s="2"/>
      <c r="H16" s="2"/>
      <c r="I16" s="2"/>
      <c r="J16" s="14"/>
      <c r="K16" s="9"/>
      <c r="L16" s="9"/>
      <c r="M16" s="9"/>
      <c r="N16" s="18"/>
      <c r="O16" s="19"/>
      <c r="P16" s="14"/>
      <c r="Q16" s="14"/>
      <c r="X16" s="6">
        <f t="shared" si="1"/>
        <v>0</v>
      </c>
      <c r="Y16" s="3">
        <f t="shared" si="2"/>
        <v>0</v>
      </c>
    </row>
    <row r="17" spans="4:25" x14ac:dyDescent="0.25">
      <c r="D17" s="10"/>
      <c r="E17" s="6"/>
      <c r="F17" s="17" t="str">
        <f t="shared" si="0"/>
        <v/>
      </c>
      <c r="G17" s="2"/>
      <c r="H17" s="2"/>
      <c r="I17" s="2"/>
      <c r="J17" s="14"/>
      <c r="X17" s="6">
        <f t="shared" si="1"/>
        <v>0</v>
      </c>
      <c r="Y17" s="3">
        <f t="shared" si="2"/>
        <v>0</v>
      </c>
    </row>
    <row r="18" spans="4:25" x14ac:dyDescent="0.25">
      <c r="D18" s="10"/>
      <c r="E18" s="6"/>
      <c r="F18" s="17" t="str">
        <f t="shared" si="0"/>
        <v/>
      </c>
      <c r="G18" s="2"/>
      <c r="H18" s="2"/>
      <c r="I18" s="2"/>
      <c r="J18" s="14"/>
      <c r="X18" s="6">
        <f t="shared" si="1"/>
        <v>0</v>
      </c>
      <c r="Y18" s="3">
        <f t="shared" si="2"/>
        <v>0</v>
      </c>
    </row>
    <row r="19" spans="4:25" x14ac:dyDescent="0.25">
      <c r="D19" s="10"/>
      <c r="E19" s="6"/>
      <c r="F19" s="17" t="str">
        <f t="shared" si="0"/>
        <v/>
      </c>
      <c r="G19" s="2"/>
      <c r="H19" s="2"/>
      <c r="I19" s="2"/>
      <c r="J19" s="14"/>
      <c r="X19" s="6">
        <f t="shared" si="1"/>
        <v>0</v>
      </c>
      <c r="Y19" s="3">
        <f t="shared" si="2"/>
        <v>0</v>
      </c>
    </row>
    <row r="20" spans="4:25" x14ac:dyDescent="0.25">
      <c r="D20" s="10"/>
      <c r="E20" s="6"/>
      <c r="F20" s="17" t="str">
        <f t="shared" si="0"/>
        <v/>
      </c>
      <c r="G20" s="2"/>
      <c r="H20" s="2"/>
      <c r="I20" s="2"/>
      <c r="J20" s="14"/>
      <c r="X20" s="6">
        <f t="shared" si="1"/>
        <v>0</v>
      </c>
      <c r="Y20" s="3">
        <f t="shared" si="2"/>
        <v>0</v>
      </c>
    </row>
    <row r="21" spans="4:25" x14ac:dyDescent="0.25">
      <c r="D21" s="10"/>
      <c r="E21" s="6"/>
      <c r="F21" s="17" t="str">
        <f t="shared" si="0"/>
        <v/>
      </c>
      <c r="G21" s="2"/>
      <c r="H21" s="2"/>
      <c r="I21" s="2"/>
      <c r="J21" s="14"/>
      <c r="X21" s="6">
        <f t="shared" si="1"/>
        <v>0</v>
      </c>
      <c r="Y21" s="3">
        <f t="shared" si="2"/>
        <v>0</v>
      </c>
    </row>
    <row r="22" spans="4:25" x14ac:dyDescent="0.25">
      <c r="D22" s="10"/>
      <c r="E22" s="6"/>
      <c r="F22" s="17" t="str">
        <f t="shared" si="0"/>
        <v/>
      </c>
      <c r="G22" s="2"/>
      <c r="H22" s="2"/>
      <c r="I22" s="2"/>
      <c r="J22" s="14"/>
      <c r="X22" s="6">
        <f t="shared" si="1"/>
        <v>0</v>
      </c>
      <c r="Y22" s="3">
        <f t="shared" si="2"/>
        <v>0</v>
      </c>
    </row>
    <row r="23" spans="4:25" x14ac:dyDescent="0.25">
      <c r="D23" s="10"/>
      <c r="E23" s="6"/>
      <c r="F23" s="17" t="str">
        <f t="shared" si="0"/>
        <v/>
      </c>
      <c r="G23" s="2"/>
      <c r="H23" s="2"/>
      <c r="I23" s="2"/>
      <c r="J23" s="14"/>
      <c r="X23" s="6">
        <f t="shared" si="1"/>
        <v>0</v>
      </c>
      <c r="Y23" s="3">
        <f t="shared" si="2"/>
        <v>0</v>
      </c>
    </row>
    <row r="24" spans="4:25" x14ac:dyDescent="0.25">
      <c r="D24" s="10"/>
      <c r="E24" s="6"/>
      <c r="F24" s="17" t="str">
        <f t="shared" si="0"/>
        <v/>
      </c>
      <c r="G24" s="2"/>
      <c r="H24" s="2"/>
      <c r="I24" s="2"/>
      <c r="J24" s="14"/>
      <c r="X24" s="6">
        <f t="shared" si="1"/>
        <v>0</v>
      </c>
      <c r="Y24" s="3">
        <f t="shared" si="2"/>
        <v>0</v>
      </c>
    </row>
    <row r="25" spans="4:25" x14ac:dyDescent="0.25">
      <c r="D25" s="10"/>
      <c r="E25" s="6"/>
      <c r="F25" s="17" t="str">
        <f t="shared" si="0"/>
        <v/>
      </c>
      <c r="G25" s="2"/>
      <c r="H25" s="2"/>
      <c r="I25" s="2"/>
      <c r="J25" s="14"/>
      <c r="X25" s="6">
        <f t="shared" si="1"/>
        <v>0</v>
      </c>
      <c r="Y25" s="3">
        <f t="shared" si="2"/>
        <v>0</v>
      </c>
    </row>
    <row r="26" spans="4:25" x14ac:dyDescent="0.25">
      <c r="D26" s="10"/>
      <c r="E26" s="6"/>
      <c r="F26" s="17" t="str">
        <f t="shared" si="0"/>
        <v/>
      </c>
      <c r="G26" s="2"/>
      <c r="H26" s="2"/>
      <c r="I26" s="2"/>
      <c r="J26" s="14"/>
      <c r="X26" s="6">
        <f t="shared" si="1"/>
        <v>0</v>
      </c>
      <c r="Y26" s="3">
        <f t="shared" si="2"/>
        <v>0</v>
      </c>
    </row>
    <row r="27" spans="4:25" x14ac:dyDescent="0.25">
      <c r="D27" s="10"/>
      <c r="E27" s="6"/>
      <c r="F27" s="17" t="str">
        <f t="shared" si="0"/>
        <v/>
      </c>
      <c r="G27" s="2"/>
      <c r="H27" s="2"/>
      <c r="I27" s="2"/>
      <c r="J27" s="14"/>
      <c r="X27" s="6">
        <f t="shared" si="1"/>
        <v>0</v>
      </c>
      <c r="Y27" s="3">
        <f t="shared" si="2"/>
        <v>0</v>
      </c>
    </row>
    <row r="28" spans="4:25" x14ac:dyDescent="0.25">
      <c r="D28" s="10"/>
      <c r="E28" s="6"/>
      <c r="F28" s="17" t="str">
        <f t="shared" si="0"/>
        <v/>
      </c>
      <c r="G28" s="2"/>
      <c r="H28" s="2"/>
      <c r="I28" s="2"/>
      <c r="J28" s="14"/>
      <c r="X28" s="6">
        <f t="shared" si="1"/>
        <v>0</v>
      </c>
      <c r="Y28" s="3">
        <f t="shared" si="2"/>
        <v>0</v>
      </c>
    </row>
    <row r="29" spans="4:25" x14ac:dyDescent="0.25">
      <c r="D29" s="10"/>
      <c r="E29" s="6"/>
      <c r="F29" s="17" t="str">
        <f t="shared" si="0"/>
        <v/>
      </c>
      <c r="G29" s="2"/>
      <c r="H29" s="2"/>
      <c r="I29" s="2"/>
      <c r="J29" s="14"/>
      <c r="X29" s="6">
        <f t="shared" si="1"/>
        <v>0</v>
      </c>
      <c r="Y29" s="3">
        <f t="shared" si="2"/>
        <v>0</v>
      </c>
    </row>
    <row r="30" spans="4:25" x14ac:dyDescent="0.25">
      <c r="D30" s="10"/>
      <c r="E30" s="6"/>
      <c r="F30" s="17" t="str">
        <f t="shared" si="0"/>
        <v/>
      </c>
      <c r="G30" s="2"/>
      <c r="H30" s="2"/>
      <c r="I30" s="2"/>
      <c r="J30" s="14"/>
      <c r="X30" s="6">
        <f t="shared" si="1"/>
        <v>0</v>
      </c>
      <c r="Y30" s="3">
        <f t="shared" si="2"/>
        <v>0</v>
      </c>
    </row>
    <row r="31" spans="4:25" x14ac:dyDescent="0.25">
      <c r="D31" s="10"/>
      <c r="E31" s="6"/>
      <c r="F31" s="17" t="str">
        <f t="shared" si="0"/>
        <v/>
      </c>
      <c r="G31" s="2"/>
      <c r="H31" s="2"/>
      <c r="I31" s="2"/>
      <c r="J31" s="14"/>
      <c r="X31" s="6">
        <f t="shared" si="1"/>
        <v>0</v>
      </c>
      <c r="Y31" s="3">
        <f t="shared" si="2"/>
        <v>0</v>
      </c>
    </row>
    <row r="32" spans="4:25" x14ac:dyDescent="0.25">
      <c r="D32" s="10"/>
      <c r="E32" s="6"/>
      <c r="F32" s="17" t="str">
        <f t="shared" si="0"/>
        <v/>
      </c>
      <c r="G32" s="2"/>
      <c r="H32" s="2"/>
      <c r="I32" s="2"/>
      <c r="J32" s="14"/>
      <c r="X32" s="6">
        <f t="shared" si="1"/>
        <v>0</v>
      </c>
      <c r="Y32" s="3">
        <f t="shared" si="2"/>
        <v>0</v>
      </c>
    </row>
    <row r="33" spans="4:25" x14ac:dyDescent="0.25">
      <c r="D33" s="10"/>
      <c r="E33" s="6"/>
      <c r="F33" s="17" t="str">
        <f t="shared" si="0"/>
        <v/>
      </c>
      <c r="G33" s="2"/>
      <c r="H33" s="2"/>
      <c r="I33" s="2"/>
      <c r="J33" s="14"/>
      <c r="X33" s="6">
        <f t="shared" si="1"/>
        <v>0</v>
      </c>
      <c r="Y33" s="3">
        <f t="shared" si="2"/>
        <v>0</v>
      </c>
    </row>
    <row r="34" spans="4:25" x14ac:dyDescent="0.25">
      <c r="D34" s="10"/>
      <c r="E34" s="6"/>
      <c r="F34" s="17" t="str">
        <f t="shared" si="0"/>
        <v/>
      </c>
      <c r="G34" s="2"/>
      <c r="H34" s="2"/>
      <c r="I34" s="2"/>
      <c r="J34" s="14"/>
      <c r="X34" s="6">
        <f t="shared" si="1"/>
        <v>0</v>
      </c>
      <c r="Y34" s="3">
        <f t="shared" si="2"/>
        <v>0</v>
      </c>
    </row>
    <row r="35" spans="4:25" x14ac:dyDescent="0.25">
      <c r="D35" s="10"/>
      <c r="E35" s="6"/>
      <c r="F35" s="17" t="str">
        <f t="shared" si="0"/>
        <v/>
      </c>
      <c r="G35" s="2"/>
      <c r="H35" s="2"/>
      <c r="I35" s="2"/>
      <c r="J35" s="14"/>
      <c r="X35" s="6">
        <f t="shared" si="1"/>
        <v>0</v>
      </c>
      <c r="Y35" s="3">
        <f t="shared" si="2"/>
        <v>0</v>
      </c>
    </row>
    <row r="36" spans="4:25" x14ac:dyDescent="0.25">
      <c r="D36" s="10"/>
      <c r="E36" s="6"/>
      <c r="F36" s="17" t="str">
        <f t="shared" si="0"/>
        <v/>
      </c>
      <c r="G36" s="2"/>
      <c r="H36" s="2"/>
      <c r="I36" s="2"/>
      <c r="J36" s="14"/>
      <c r="X36" s="6">
        <f t="shared" si="1"/>
        <v>0</v>
      </c>
      <c r="Y36" s="3">
        <f t="shared" si="2"/>
        <v>0</v>
      </c>
    </row>
    <row r="37" spans="4:25" x14ac:dyDescent="0.25">
      <c r="D37" s="10"/>
      <c r="E37" s="6"/>
      <c r="F37" s="17" t="str">
        <f t="shared" si="0"/>
        <v/>
      </c>
      <c r="G37" s="2"/>
      <c r="H37" s="2"/>
      <c r="I37" s="2"/>
      <c r="J37" s="14"/>
      <c r="X37" s="6">
        <f t="shared" si="1"/>
        <v>0</v>
      </c>
      <c r="Y37" s="3">
        <f t="shared" si="2"/>
        <v>0</v>
      </c>
    </row>
    <row r="38" spans="4:25" x14ac:dyDescent="0.25">
      <c r="D38" s="10"/>
      <c r="E38" s="6"/>
      <c r="F38" s="17" t="str">
        <f t="shared" si="0"/>
        <v/>
      </c>
      <c r="G38" s="2"/>
      <c r="H38" s="2"/>
      <c r="I38" s="2"/>
      <c r="J38" s="14"/>
      <c r="X38" s="6">
        <f t="shared" si="1"/>
        <v>0</v>
      </c>
      <c r="Y38" s="3">
        <f t="shared" si="2"/>
        <v>0</v>
      </c>
    </row>
    <row r="39" spans="4:25" x14ac:dyDescent="0.25">
      <c r="D39" s="10"/>
      <c r="E39" s="6"/>
      <c r="F39" s="17" t="str">
        <f t="shared" si="0"/>
        <v/>
      </c>
      <c r="G39" s="2"/>
      <c r="H39" s="2"/>
      <c r="I39" s="2"/>
      <c r="J39" s="14"/>
      <c r="X39" s="6">
        <f t="shared" si="1"/>
        <v>0</v>
      </c>
      <c r="Y39" s="3">
        <f t="shared" si="2"/>
        <v>0</v>
      </c>
    </row>
    <row r="40" spans="4:25" x14ac:dyDescent="0.25">
      <c r="D40" s="10"/>
      <c r="E40" s="6"/>
      <c r="F40" s="17" t="str">
        <f t="shared" si="0"/>
        <v/>
      </c>
      <c r="G40" s="2"/>
      <c r="H40" s="2"/>
      <c r="I40" s="2"/>
      <c r="J40" s="14"/>
      <c r="X40" s="6">
        <f t="shared" si="1"/>
        <v>0</v>
      </c>
      <c r="Y40" s="3">
        <f t="shared" si="2"/>
        <v>0</v>
      </c>
    </row>
    <row r="41" spans="4:25" x14ac:dyDescent="0.25">
      <c r="D41" s="10"/>
      <c r="E41" s="6"/>
      <c r="F41" s="17" t="str">
        <f t="shared" si="0"/>
        <v/>
      </c>
      <c r="G41" s="2"/>
      <c r="H41" s="2"/>
      <c r="I41" s="2"/>
      <c r="J41" s="14"/>
      <c r="X41" s="6">
        <f t="shared" si="1"/>
        <v>0</v>
      </c>
      <c r="Y41" s="3">
        <f t="shared" si="2"/>
        <v>0</v>
      </c>
    </row>
    <row r="42" spans="4:25" x14ac:dyDescent="0.25">
      <c r="D42" s="10"/>
      <c r="E42" s="6"/>
      <c r="F42" s="17" t="str">
        <f t="shared" si="0"/>
        <v/>
      </c>
      <c r="G42" s="2"/>
      <c r="H42" s="2"/>
      <c r="I42" s="2"/>
      <c r="J42" s="14"/>
      <c r="X42" s="6">
        <f t="shared" si="1"/>
        <v>0</v>
      </c>
      <c r="Y42" s="3">
        <f t="shared" si="2"/>
        <v>0</v>
      </c>
    </row>
    <row r="43" spans="4:25" x14ac:dyDescent="0.25">
      <c r="D43" s="10"/>
      <c r="E43" s="6"/>
      <c r="F43" s="17" t="str">
        <f t="shared" si="0"/>
        <v/>
      </c>
      <c r="G43" s="2"/>
      <c r="H43" s="2"/>
      <c r="I43" s="2"/>
      <c r="J43" s="14"/>
      <c r="X43" s="6">
        <f t="shared" si="1"/>
        <v>0</v>
      </c>
      <c r="Y43" s="3">
        <f t="shared" si="2"/>
        <v>0</v>
      </c>
    </row>
    <row r="44" spans="4:25" x14ac:dyDescent="0.25">
      <c r="D44" s="10"/>
      <c r="E44" s="6"/>
      <c r="F44" s="17" t="str">
        <f t="shared" si="0"/>
        <v/>
      </c>
      <c r="G44" s="2"/>
      <c r="H44" s="2"/>
      <c r="I44" s="2"/>
      <c r="J44" s="14"/>
      <c r="X44" s="6">
        <f t="shared" si="1"/>
        <v>0</v>
      </c>
      <c r="Y44" s="3">
        <f t="shared" si="2"/>
        <v>0</v>
      </c>
    </row>
    <row r="45" spans="4:25" x14ac:dyDescent="0.25">
      <c r="D45" s="10"/>
      <c r="E45" s="6"/>
      <c r="F45" s="17" t="str">
        <f t="shared" si="0"/>
        <v/>
      </c>
      <c r="G45" s="2"/>
      <c r="H45" s="2"/>
      <c r="I45" s="2"/>
      <c r="J45" s="14"/>
      <c r="X45" s="6">
        <f t="shared" si="1"/>
        <v>0</v>
      </c>
      <c r="Y45" s="3">
        <f t="shared" si="2"/>
        <v>0</v>
      </c>
    </row>
    <row r="46" spans="4:25" x14ac:dyDescent="0.25">
      <c r="D46" s="10"/>
      <c r="E46" s="6"/>
      <c r="F46" s="17" t="str">
        <f t="shared" si="0"/>
        <v/>
      </c>
      <c r="G46" s="2"/>
      <c r="H46" s="2"/>
      <c r="I46" s="2"/>
      <c r="J46" s="14"/>
      <c r="X46" s="6">
        <f t="shared" si="1"/>
        <v>0</v>
      </c>
      <c r="Y46" s="3">
        <f t="shared" si="2"/>
        <v>0</v>
      </c>
    </row>
    <row r="47" spans="4:25" x14ac:dyDescent="0.25">
      <c r="D47" s="10"/>
      <c r="E47" s="6"/>
      <c r="F47" s="17" t="str">
        <f t="shared" si="0"/>
        <v/>
      </c>
      <c r="G47" s="2"/>
      <c r="H47" s="2"/>
      <c r="I47" s="2"/>
      <c r="J47" s="14"/>
      <c r="X47" s="6">
        <f t="shared" si="1"/>
        <v>0</v>
      </c>
      <c r="Y47" s="3">
        <f t="shared" si="2"/>
        <v>0</v>
      </c>
    </row>
    <row r="48" spans="4:25" x14ac:dyDescent="0.25">
      <c r="D48" s="10"/>
      <c r="E48" s="6"/>
      <c r="F48" s="17" t="str">
        <f t="shared" si="0"/>
        <v/>
      </c>
      <c r="G48" s="2"/>
      <c r="H48" s="2"/>
      <c r="I48" s="2"/>
      <c r="J48" s="14"/>
      <c r="X48" s="6">
        <f t="shared" si="1"/>
        <v>0</v>
      </c>
      <c r="Y48" s="3">
        <f t="shared" si="2"/>
        <v>0</v>
      </c>
    </row>
    <row r="49" spans="4:25" x14ac:dyDescent="0.25">
      <c r="D49" s="10"/>
      <c r="E49" s="6"/>
      <c r="F49" s="17" t="str">
        <f t="shared" si="0"/>
        <v/>
      </c>
      <c r="G49" s="2"/>
      <c r="H49" s="2"/>
      <c r="I49" s="2"/>
      <c r="J49" s="14"/>
      <c r="X49" s="6">
        <f t="shared" si="1"/>
        <v>0</v>
      </c>
      <c r="Y49" s="3">
        <f t="shared" si="2"/>
        <v>0</v>
      </c>
    </row>
    <row r="50" spans="4:25" x14ac:dyDescent="0.25">
      <c r="D50" s="10"/>
      <c r="E50" s="6"/>
      <c r="F50" s="17" t="str">
        <f t="shared" si="0"/>
        <v/>
      </c>
      <c r="G50" s="2"/>
      <c r="H50" s="2"/>
      <c r="I50" s="2"/>
      <c r="J50" s="14"/>
      <c r="X50" s="6">
        <f t="shared" si="1"/>
        <v>0</v>
      </c>
      <c r="Y50" s="3">
        <f t="shared" si="2"/>
        <v>0</v>
      </c>
    </row>
    <row r="51" spans="4:25" x14ac:dyDescent="0.25">
      <c r="D51" s="10"/>
      <c r="E51" s="6"/>
      <c r="F51" s="17" t="str">
        <f t="shared" si="0"/>
        <v/>
      </c>
      <c r="G51" s="2"/>
      <c r="H51" s="2"/>
      <c r="I51" s="2"/>
      <c r="J51" s="14"/>
      <c r="X51" s="6">
        <f t="shared" si="1"/>
        <v>0</v>
      </c>
      <c r="Y51" s="3">
        <f t="shared" si="2"/>
        <v>0</v>
      </c>
    </row>
    <row r="52" spans="4:25" x14ac:dyDescent="0.25">
      <c r="D52" s="10"/>
      <c r="E52" s="6"/>
      <c r="F52" s="17" t="str">
        <f t="shared" si="0"/>
        <v/>
      </c>
      <c r="G52" s="2"/>
      <c r="H52" s="2"/>
      <c r="I52" s="2"/>
      <c r="J52" s="9"/>
      <c r="X52" s="6">
        <f t="shared" si="1"/>
        <v>0</v>
      </c>
      <c r="Y52" s="3">
        <f t="shared" si="2"/>
        <v>0</v>
      </c>
    </row>
    <row r="53" spans="4:25" x14ac:dyDescent="0.25">
      <c r="D53" s="2" t="s">
        <v>14</v>
      </c>
      <c r="E53" s="25"/>
      <c r="F53" s="3"/>
      <c r="G53" s="3">
        <f>SUM(G3:G52)</f>
        <v>0</v>
      </c>
      <c r="H53" s="3">
        <f t="shared" ref="H53:I53" si="3">SUM(H3:H52)</f>
        <v>4.59</v>
      </c>
      <c r="I53" s="3">
        <f t="shared" si="3"/>
        <v>0.49</v>
      </c>
    </row>
  </sheetData>
  <mergeCells count="4">
    <mergeCell ref="D1:F1"/>
    <mergeCell ref="G1:I1"/>
    <mergeCell ref="K1:Q1"/>
    <mergeCell ref="X1:Z1"/>
  </mergeCells>
  <conditionalFormatting sqref="A1:B1">
    <cfRule type="expression" dxfId="15" priority="1">
      <formula>$Z$3="+"</formula>
    </cfRule>
    <cfRule type="expression" dxfId="14" priority="2">
      <formula>$B$16=$K$3</formula>
    </cfRule>
  </conditionalFormatting>
  <conditionalFormatting sqref="P3">
    <cfRule type="expression" dxfId="13" priority="7">
      <formula>$Z$3="+"</formula>
    </cfRule>
  </conditionalFormatting>
  <conditionalFormatting sqref="Z3">
    <cfRule type="expression" dxfId="12" priority="8">
      <formula>$Z$3="+"</formula>
    </cfRule>
  </conditionalFormatting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E231A-5892-4EFF-BD83-B2EFEC23A29B}">
  <sheetPr>
    <tabColor rgb="FF92D050"/>
  </sheetPr>
  <dimension ref="A1:Z53"/>
  <sheetViews>
    <sheetView workbookViewId="0">
      <selection activeCell="G12" sqref="G12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4" customWidth="1"/>
    <col min="25" max="25" width="10.7109375" style="14" customWidth="1"/>
    <col min="26" max="26" width="10.7109375" customWidth="1"/>
  </cols>
  <sheetData>
    <row r="1" spans="1:26" x14ac:dyDescent="0.25">
      <c r="A1" s="5" t="s">
        <v>18</v>
      </c>
      <c r="B1" s="6" t="s">
        <v>26</v>
      </c>
      <c r="D1" s="41" t="s">
        <v>2</v>
      </c>
      <c r="E1" s="42"/>
      <c r="F1" s="43"/>
      <c r="G1" s="41" t="s">
        <v>0</v>
      </c>
      <c r="H1" s="42"/>
      <c r="I1" s="43"/>
      <c r="J1" s="16"/>
      <c r="K1" s="41" t="s">
        <v>41</v>
      </c>
      <c r="L1" s="42"/>
      <c r="M1" s="42"/>
      <c r="N1" s="42"/>
      <c r="O1" s="42"/>
      <c r="P1" s="42"/>
      <c r="Q1" s="43"/>
      <c r="X1" s="41"/>
      <c r="Y1" s="42"/>
      <c r="Z1" s="43"/>
    </row>
    <row r="2" spans="1:26" x14ac:dyDescent="0.25">
      <c r="A2" s="5" t="s">
        <v>15</v>
      </c>
      <c r="B2" s="6" t="s">
        <v>19</v>
      </c>
      <c r="D2" s="11" t="s">
        <v>45</v>
      </c>
      <c r="E2" s="11" t="s">
        <v>46</v>
      </c>
      <c r="F2" s="23" t="s">
        <v>51</v>
      </c>
      <c r="G2" s="11" t="s">
        <v>12</v>
      </c>
      <c r="H2" s="11" t="s">
        <v>13</v>
      </c>
      <c r="I2" s="11" t="s">
        <v>43</v>
      </c>
      <c r="J2" s="9"/>
      <c r="K2" s="11" t="s">
        <v>0</v>
      </c>
      <c r="L2" s="11" t="s">
        <v>1</v>
      </c>
      <c r="M2" s="11" t="s">
        <v>39</v>
      </c>
      <c r="N2" s="11" t="s">
        <v>40</v>
      </c>
      <c r="O2" s="11" t="s">
        <v>2</v>
      </c>
      <c r="P2" s="11" t="s">
        <v>49</v>
      </c>
      <c r="Q2" s="11" t="s">
        <v>51</v>
      </c>
      <c r="X2" s="11" t="s">
        <v>2</v>
      </c>
      <c r="Y2" s="11" t="s">
        <v>42</v>
      </c>
      <c r="Z2" s="11" t="s">
        <v>49</v>
      </c>
    </row>
    <row r="3" spans="1:26" x14ac:dyDescent="0.25">
      <c r="A3" s="5" t="s">
        <v>20</v>
      </c>
      <c r="B3" s="6" t="s">
        <v>21</v>
      </c>
      <c r="D3" s="10">
        <v>45994</v>
      </c>
      <c r="E3" s="10">
        <v>45994</v>
      </c>
      <c r="F3" s="17">
        <f>IF(E3&gt;0,E3-D3,"")</f>
        <v>0</v>
      </c>
      <c r="G3" s="3">
        <v>0</v>
      </c>
      <c r="H3" s="3">
        <v>0.06</v>
      </c>
      <c r="I3" s="3">
        <v>0.01</v>
      </c>
      <c r="J3" s="14"/>
      <c r="K3" s="3">
        <f>G53</f>
        <v>10</v>
      </c>
      <c r="L3" s="3">
        <f>H53</f>
        <v>0.54</v>
      </c>
      <c r="M3" s="3">
        <f>I53</f>
        <v>0.09</v>
      </c>
      <c r="N3" s="7">
        <f>IF(B16=K3,XIRR(Y3:Y52,X3:X52),"")</f>
        <v>6.1380931735038752E-2</v>
      </c>
      <c r="O3" s="6">
        <f>IF(B16=K3,MAX(E:E),"")</f>
        <v>46237</v>
      </c>
      <c r="P3" s="2" t="str">
        <f ca="1">IF(Z3="+",TODAY()-B11,"")</f>
        <v/>
      </c>
      <c r="Q3" s="2">
        <f>IF(B16=K3,MAX(E:E)-B11,"")</f>
        <v>0</v>
      </c>
      <c r="T3" s="13"/>
      <c r="X3" s="6">
        <f>B9</f>
        <v>45962</v>
      </c>
      <c r="Y3" s="3">
        <f>B16*-1</f>
        <v>-10</v>
      </c>
      <c r="Z3" s="2" t="str">
        <f ca="1">IF(AND(TODAY()&gt;B11, K3&lt;&gt;B16), "+", "")</f>
        <v/>
      </c>
    </row>
    <row r="4" spans="1:26" x14ac:dyDescent="0.25">
      <c r="A4" s="5" t="s">
        <v>22</v>
      </c>
      <c r="B4" s="6" t="s">
        <v>23</v>
      </c>
      <c r="D4" s="10">
        <v>46025</v>
      </c>
      <c r="E4" s="10">
        <v>46025</v>
      </c>
      <c r="F4" s="17">
        <f>IF(E4&gt;0,E4-D4,"")</f>
        <v>0</v>
      </c>
      <c r="G4" s="3">
        <v>0</v>
      </c>
      <c r="H4" s="2">
        <v>0.06</v>
      </c>
      <c r="I4" s="2">
        <v>0.01</v>
      </c>
      <c r="J4" s="9"/>
      <c r="X4" s="6">
        <f>E3</f>
        <v>45994</v>
      </c>
      <c r="Y4" s="3">
        <f>G3+H3-I3</f>
        <v>4.9999999999999996E-2</v>
      </c>
    </row>
    <row r="5" spans="1:26" x14ac:dyDescent="0.25">
      <c r="A5" s="5"/>
      <c r="B5" s="6"/>
      <c r="D5" s="10">
        <v>46056</v>
      </c>
      <c r="E5" s="10">
        <v>46056</v>
      </c>
      <c r="F5" s="17">
        <f t="shared" ref="F5:F52" si="0">IF(E5&gt;0,E5-D5,"")</f>
        <v>0</v>
      </c>
      <c r="G5" s="3">
        <v>0</v>
      </c>
      <c r="H5" s="3">
        <v>0.06</v>
      </c>
      <c r="I5" s="3">
        <v>0.01</v>
      </c>
      <c r="J5" s="9"/>
      <c r="X5" s="6">
        <f t="shared" ref="X5:X52" si="1">E4</f>
        <v>46025</v>
      </c>
      <c r="Y5" s="3">
        <f t="shared" ref="Y5:Y52" si="2">G4+H4-I4</f>
        <v>4.9999999999999996E-2</v>
      </c>
    </row>
    <row r="6" spans="1:26" x14ac:dyDescent="0.25">
      <c r="A6" s="5"/>
      <c r="B6" s="6"/>
      <c r="D6" s="10">
        <v>46084</v>
      </c>
      <c r="E6" s="10">
        <v>46084</v>
      </c>
      <c r="F6" s="17">
        <f t="shared" si="0"/>
        <v>0</v>
      </c>
      <c r="G6" s="3">
        <v>0</v>
      </c>
      <c r="H6" s="2">
        <v>0.06</v>
      </c>
      <c r="I6" s="2">
        <v>0.01</v>
      </c>
      <c r="J6" s="9"/>
      <c r="X6" s="6">
        <f t="shared" si="1"/>
        <v>46056</v>
      </c>
      <c r="Y6" s="3">
        <f t="shared" si="2"/>
        <v>4.9999999999999996E-2</v>
      </c>
    </row>
    <row r="7" spans="1:26" x14ac:dyDescent="0.25">
      <c r="A7" s="5"/>
      <c r="B7" s="6"/>
      <c r="D7" s="10">
        <v>46115</v>
      </c>
      <c r="E7" s="10">
        <v>46115</v>
      </c>
      <c r="F7" s="17">
        <f t="shared" si="0"/>
        <v>0</v>
      </c>
      <c r="G7" s="3">
        <v>0</v>
      </c>
      <c r="H7" s="3">
        <v>0.06</v>
      </c>
      <c r="I7" s="3">
        <v>0.01</v>
      </c>
      <c r="J7" s="14"/>
      <c r="X7" s="6">
        <f t="shared" si="1"/>
        <v>46084</v>
      </c>
      <c r="Y7" s="3">
        <f t="shared" si="2"/>
        <v>4.9999999999999996E-2</v>
      </c>
    </row>
    <row r="8" spans="1:26" x14ac:dyDescent="0.25">
      <c r="A8" s="5" t="s">
        <v>16</v>
      </c>
      <c r="B8" s="6" t="str">
        <f>DATEDIF(B9,B11,"y") &amp; " m. " &amp; DATEDIF(B9,B11,"ym") &amp; " mėn. " &amp; DATEDIF(B9,B11,"md") &amp; " d."</f>
        <v>0 m. 9 mėn. 2 d.</v>
      </c>
      <c r="D8" s="10">
        <v>46145</v>
      </c>
      <c r="E8" s="6">
        <v>46147</v>
      </c>
      <c r="F8" s="17">
        <f t="shared" si="0"/>
        <v>2</v>
      </c>
      <c r="G8" s="3">
        <v>0</v>
      </c>
      <c r="H8" s="3">
        <v>0.06</v>
      </c>
      <c r="I8" s="2">
        <v>0.01</v>
      </c>
      <c r="J8" s="9"/>
      <c r="X8" s="6">
        <f t="shared" si="1"/>
        <v>46115</v>
      </c>
      <c r="Y8" s="3">
        <f t="shared" si="2"/>
        <v>4.9999999999999996E-2</v>
      </c>
    </row>
    <row r="9" spans="1:26" x14ac:dyDescent="0.25">
      <c r="A9" s="5" t="s">
        <v>8</v>
      </c>
      <c r="B9" s="6">
        <v>45962</v>
      </c>
      <c r="D9" s="10">
        <v>46176</v>
      </c>
      <c r="E9" s="6">
        <v>46176</v>
      </c>
      <c r="F9" s="17">
        <f t="shared" si="0"/>
        <v>0</v>
      </c>
      <c r="G9" s="3">
        <v>0</v>
      </c>
      <c r="H9" s="3">
        <v>0.06</v>
      </c>
      <c r="I9" s="3">
        <v>0.01</v>
      </c>
      <c r="J9" s="14"/>
      <c r="X9" s="6">
        <f t="shared" si="1"/>
        <v>46147</v>
      </c>
      <c r="Y9" s="3">
        <f t="shared" si="2"/>
        <v>4.9999999999999996E-2</v>
      </c>
    </row>
    <row r="10" spans="1:26" x14ac:dyDescent="0.25">
      <c r="A10" s="5" t="s">
        <v>24</v>
      </c>
      <c r="B10" s="6">
        <v>45964</v>
      </c>
      <c r="D10" s="10">
        <v>46206</v>
      </c>
      <c r="E10" s="6">
        <v>46206</v>
      </c>
      <c r="F10" s="17">
        <f t="shared" si="0"/>
        <v>0</v>
      </c>
      <c r="G10" s="3">
        <v>0</v>
      </c>
      <c r="H10" s="2">
        <v>0.06</v>
      </c>
      <c r="I10" s="2">
        <v>0.01</v>
      </c>
      <c r="J10" s="14"/>
      <c r="X10" s="6">
        <f t="shared" si="1"/>
        <v>46176</v>
      </c>
      <c r="Y10" s="3">
        <f t="shared" si="2"/>
        <v>4.9999999999999996E-2</v>
      </c>
    </row>
    <row r="11" spans="1:26" x14ac:dyDescent="0.25">
      <c r="A11" s="5" t="s">
        <v>44</v>
      </c>
      <c r="B11" s="6">
        <v>46237</v>
      </c>
      <c r="D11" s="10">
        <v>46237</v>
      </c>
      <c r="E11" s="6">
        <v>46237</v>
      </c>
      <c r="F11" s="17">
        <f t="shared" si="0"/>
        <v>0</v>
      </c>
      <c r="G11" s="3">
        <v>10</v>
      </c>
      <c r="H11" s="2">
        <v>0.06</v>
      </c>
      <c r="I11" s="2">
        <v>0.01</v>
      </c>
      <c r="J11" s="14"/>
      <c r="X11" s="6">
        <f t="shared" si="1"/>
        <v>46206</v>
      </c>
      <c r="Y11" s="3">
        <f t="shared" si="2"/>
        <v>4.9999999999999996E-2</v>
      </c>
    </row>
    <row r="12" spans="1:26" x14ac:dyDescent="0.25">
      <c r="A12" s="5" t="s">
        <v>52</v>
      </c>
      <c r="B12" s="17" t="str">
        <f ca="1">IF(B16&lt;&gt;K3,(TODAY()-B11)*-1,"")</f>
        <v/>
      </c>
      <c r="D12" s="10"/>
      <c r="E12" s="6"/>
      <c r="F12" s="17" t="str">
        <f t="shared" si="0"/>
        <v/>
      </c>
      <c r="G12" s="2"/>
      <c r="H12" s="2"/>
      <c r="I12" s="2"/>
      <c r="J12" s="14"/>
      <c r="X12" s="6">
        <f t="shared" si="1"/>
        <v>46237</v>
      </c>
      <c r="Y12" s="3">
        <f t="shared" si="2"/>
        <v>10.050000000000001</v>
      </c>
    </row>
    <row r="13" spans="1:26" x14ac:dyDescent="0.25">
      <c r="A13" s="5"/>
      <c r="B13" s="3"/>
      <c r="D13" s="10"/>
      <c r="E13" s="6"/>
      <c r="F13" s="17" t="str">
        <f t="shared" si="0"/>
        <v/>
      </c>
      <c r="G13" s="2"/>
      <c r="H13" s="2"/>
      <c r="I13" s="2"/>
      <c r="J13" s="14"/>
      <c r="N13" s="13"/>
      <c r="X13" s="6">
        <f t="shared" si="1"/>
        <v>0</v>
      </c>
      <c r="Y13" s="3">
        <f t="shared" si="2"/>
        <v>0</v>
      </c>
    </row>
    <row r="14" spans="1:26" x14ac:dyDescent="0.25">
      <c r="A14" s="1"/>
      <c r="B14" s="24"/>
      <c r="D14" s="10"/>
      <c r="E14" s="6"/>
      <c r="F14" s="17" t="str">
        <f t="shared" si="0"/>
        <v/>
      </c>
      <c r="G14" s="2"/>
      <c r="H14" s="2"/>
      <c r="I14" s="2"/>
      <c r="J14" s="14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>
        <v>7.4999999999999997E-2</v>
      </c>
      <c r="D15" s="10"/>
      <c r="E15" s="6"/>
      <c r="F15" s="17" t="str">
        <f t="shared" si="0"/>
        <v/>
      </c>
      <c r="G15" s="2"/>
      <c r="H15" s="2"/>
      <c r="I15" s="2"/>
      <c r="J15" s="14"/>
      <c r="K15" s="16"/>
      <c r="L15" s="16"/>
      <c r="M15" s="16"/>
      <c r="N15" s="16"/>
      <c r="O15" s="16"/>
      <c r="P15" s="16"/>
      <c r="Q15" s="16"/>
      <c r="X15" s="6">
        <f t="shared" si="1"/>
        <v>0</v>
      </c>
      <c r="Y15" s="3">
        <f t="shared" si="2"/>
        <v>0</v>
      </c>
    </row>
    <row r="16" spans="1:26" x14ac:dyDescent="0.25">
      <c r="A16" s="5" t="s">
        <v>53</v>
      </c>
      <c r="B16" s="3">
        <v>10</v>
      </c>
      <c r="D16" s="10"/>
      <c r="E16" s="6"/>
      <c r="F16" s="17" t="str">
        <f t="shared" si="0"/>
        <v/>
      </c>
      <c r="G16" s="2"/>
      <c r="H16" s="2"/>
      <c r="I16" s="2"/>
      <c r="J16" s="14"/>
      <c r="K16" s="9"/>
      <c r="L16" s="9"/>
      <c r="M16" s="9"/>
      <c r="N16" s="18"/>
      <c r="O16" s="19"/>
      <c r="P16" s="14"/>
      <c r="Q16" s="14"/>
      <c r="X16" s="6">
        <f t="shared" si="1"/>
        <v>0</v>
      </c>
      <c r="Y16" s="3">
        <f t="shared" si="2"/>
        <v>0</v>
      </c>
    </row>
    <row r="17" spans="4:25" x14ac:dyDescent="0.25">
      <c r="D17" s="10"/>
      <c r="E17" s="6"/>
      <c r="F17" s="17" t="str">
        <f t="shared" si="0"/>
        <v/>
      </c>
      <c r="G17" s="2"/>
      <c r="H17" s="2"/>
      <c r="I17" s="2"/>
      <c r="J17" s="14"/>
      <c r="X17" s="6">
        <f t="shared" si="1"/>
        <v>0</v>
      </c>
      <c r="Y17" s="3">
        <f t="shared" si="2"/>
        <v>0</v>
      </c>
    </row>
    <row r="18" spans="4:25" x14ac:dyDescent="0.25">
      <c r="D18" s="10"/>
      <c r="E18" s="6"/>
      <c r="F18" s="17" t="str">
        <f t="shared" si="0"/>
        <v/>
      </c>
      <c r="G18" s="2"/>
      <c r="H18" s="2"/>
      <c r="I18" s="2"/>
      <c r="J18" s="14"/>
      <c r="X18" s="6">
        <f t="shared" si="1"/>
        <v>0</v>
      </c>
      <c r="Y18" s="3">
        <f t="shared" si="2"/>
        <v>0</v>
      </c>
    </row>
    <row r="19" spans="4:25" x14ac:dyDescent="0.25">
      <c r="D19" s="10"/>
      <c r="E19" s="6"/>
      <c r="F19" s="17" t="str">
        <f t="shared" si="0"/>
        <v/>
      </c>
      <c r="G19" s="2"/>
      <c r="H19" s="2"/>
      <c r="I19" s="2"/>
      <c r="J19" s="14"/>
      <c r="X19" s="6">
        <f t="shared" si="1"/>
        <v>0</v>
      </c>
      <c r="Y19" s="3">
        <f t="shared" si="2"/>
        <v>0</v>
      </c>
    </row>
    <row r="20" spans="4:25" x14ac:dyDescent="0.25">
      <c r="D20" s="10"/>
      <c r="E20" s="6"/>
      <c r="F20" s="17" t="str">
        <f t="shared" si="0"/>
        <v/>
      </c>
      <c r="G20" s="2"/>
      <c r="H20" s="2"/>
      <c r="I20" s="2"/>
      <c r="J20" s="14"/>
      <c r="X20" s="6">
        <f t="shared" si="1"/>
        <v>0</v>
      </c>
      <c r="Y20" s="3">
        <f t="shared" si="2"/>
        <v>0</v>
      </c>
    </row>
    <row r="21" spans="4:25" x14ac:dyDescent="0.25">
      <c r="D21" s="10"/>
      <c r="E21" s="6"/>
      <c r="F21" s="17" t="str">
        <f t="shared" si="0"/>
        <v/>
      </c>
      <c r="G21" s="2"/>
      <c r="H21" s="2"/>
      <c r="I21" s="2"/>
      <c r="J21" s="14"/>
      <c r="X21" s="6">
        <f t="shared" si="1"/>
        <v>0</v>
      </c>
      <c r="Y21" s="3">
        <f t="shared" si="2"/>
        <v>0</v>
      </c>
    </row>
    <row r="22" spans="4:25" x14ac:dyDescent="0.25">
      <c r="D22" s="10"/>
      <c r="E22" s="6"/>
      <c r="F22" s="17" t="str">
        <f t="shared" si="0"/>
        <v/>
      </c>
      <c r="G22" s="2"/>
      <c r="H22" s="2"/>
      <c r="I22" s="2"/>
      <c r="J22" s="14"/>
      <c r="X22" s="6">
        <f t="shared" si="1"/>
        <v>0</v>
      </c>
      <c r="Y22" s="3">
        <f t="shared" si="2"/>
        <v>0</v>
      </c>
    </row>
    <row r="23" spans="4:25" x14ac:dyDescent="0.25">
      <c r="D23" s="10"/>
      <c r="E23" s="6"/>
      <c r="F23" s="17" t="str">
        <f t="shared" si="0"/>
        <v/>
      </c>
      <c r="G23" s="2"/>
      <c r="H23" s="2"/>
      <c r="I23" s="2"/>
      <c r="J23" s="14"/>
      <c r="X23" s="6">
        <f t="shared" si="1"/>
        <v>0</v>
      </c>
      <c r="Y23" s="3">
        <f t="shared" si="2"/>
        <v>0</v>
      </c>
    </row>
    <row r="24" spans="4:25" x14ac:dyDescent="0.25">
      <c r="D24" s="10"/>
      <c r="E24" s="6"/>
      <c r="F24" s="17" t="str">
        <f t="shared" si="0"/>
        <v/>
      </c>
      <c r="G24" s="2"/>
      <c r="H24" s="2"/>
      <c r="I24" s="2"/>
      <c r="J24" s="14"/>
      <c r="X24" s="6">
        <f t="shared" si="1"/>
        <v>0</v>
      </c>
      <c r="Y24" s="3">
        <f t="shared" si="2"/>
        <v>0</v>
      </c>
    </row>
    <row r="25" spans="4:25" x14ac:dyDescent="0.25">
      <c r="D25" s="10"/>
      <c r="E25" s="6"/>
      <c r="F25" s="17" t="str">
        <f t="shared" si="0"/>
        <v/>
      </c>
      <c r="G25" s="2"/>
      <c r="H25" s="2"/>
      <c r="I25" s="2"/>
      <c r="J25" s="14"/>
      <c r="X25" s="6">
        <f t="shared" si="1"/>
        <v>0</v>
      </c>
      <c r="Y25" s="3">
        <f t="shared" si="2"/>
        <v>0</v>
      </c>
    </row>
    <row r="26" spans="4:25" x14ac:dyDescent="0.25">
      <c r="D26" s="10"/>
      <c r="E26" s="6"/>
      <c r="F26" s="17" t="str">
        <f t="shared" si="0"/>
        <v/>
      </c>
      <c r="G26" s="2"/>
      <c r="H26" s="2"/>
      <c r="I26" s="2"/>
      <c r="J26" s="14"/>
      <c r="X26" s="6">
        <f t="shared" si="1"/>
        <v>0</v>
      </c>
      <c r="Y26" s="3">
        <f t="shared" si="2"/>
        <v>0</v>
      </c>
    </row>
    <row r="27" spans="4:25" x14ac:dyDescent="0.25">
      <c r="D27" s="10"/>
      <c r="E27" s="6"/>
      <c r="F27" s="17" t="str">
        <f t="shared" si="0"/>
        <v/>
      </c>
      <c r="G27" s="2"/>
      <c r="H27" s="2"/>
      <c r="I27" s="2"/>
      <c r="J27" s="14"/>
      <c r="X27" s="6">
        <f t="shared" si="1"/>
        <v>0</v>
      </c>
      <c r="Y27" s="3">
        <f t="shared" si="2"/>
        <v>0</v>
      </c>
    </row>
    <row r="28" spans="4:25" x14ac:dyDescent="0.25">
      <c r="D28" s="10"/>
      <c r="E28" s="6"/>
      <c r="F28" s="17" t="str">
        <f t="shared" si="0"/>
        <v/>
      </c>
      <c r="G28" s="2"/>
      <c r="H28" s="2"/>
      <c r="I28" s="2"/>
      <c r="J28" s="14"/>
      <c r="X28" s="6">
        <f t="shared" si="1"/>
        <v>0</v>
      </c>
      <c r="Y28" s="3">
        <f t="shared" si="2"/>
        <v>0</v>
      </c>
    </row>
    <row r="29" spans="4:25" x14ac:dyDescent="0.25">
      <c r="D29" s="10"/>
      <c r="E29" s="6"/>
      <c r="F29" s="17" t="str">
        <f t="shared" si="0"/>
        <v/>
      </c>
      <c r="G29" s="2"/>
      <c r="H29" s="2"/>
      <c r="I29" s="2"/>
      <c r="J29" s="14"/>
      <c r="X29" s="6">
        <f t="shared" si="1"/>
        <v>0</v>
      </c>
      <c r="Y29" s="3">
        <f t="shared" si="2"/>
        <v>0</v>
      </c>
    </row>
    <row r="30" spans="4:25" x14ac:dyDescent="0.25">
      <c r="D30" s="10"/>
      <c r="E30" s="6"/>
      <c r="F30" s="17" t="str">
        <f t="shared" si="0"/>
        <v/>
      </c>
      <c r="G30" s="2"/>
      <c r="H30" s="2"/>
      <c r="I30" s="2"/>
      <c r="J30" s="14"/>
      <c r="X30" s="6">
        <f t="shared" si="1"/>
        <v>0</v>
      </c>
      <c r="Y30" s="3">
        <f t="shared" si="2"/>
        <v>0</v>
      </c>
    </row>
    <row r="31" spans="4:25" x14ac:dyDescent="0.25">
      <c r="D31" s="10"/>
      <c r="E31" s="6"/>
      <c r="F31" s="17" t="str">
        <f t="shared" si="0"/>
        <v/>
      </c>
      <c r="G31" s="2"/>
      <c r="H31" s="2"/>
      <c r="I31" s="2"/>
      <c r="J31" s="14"/>
      <c r="X31" s="6">
        <f t="shared" si="1"/>
        <v>0</v>
      </c>
      <c r="Y31" s="3">
        <f t="shared" si="2"/>
        <v>0</v>
      </c>
    </row>
    <row r="32" spans="4:25" x14ac:dyDescent="0.25">
      <c r="D32" s="10"/>
      <c r="E32" s="6"/>
      <c r="F32" s="17" t="str">
        <f t="shared" si="0"/>
        <v/>
      </c>
      <c r="G32" s="2"/>
      <c r="H32" s="2"/>
      <c r="I32" s="2"/>
      <c r="J32" s="14"/>
      <c r="X32" s="6">
        <f t="shared" si="1"/>
        <v>0</v>
      </c>
      <c r="Y32" s="3">
        <f t="shared" si="2"/>
        <v>0</v>
      </c>
    </row>
    <row r="33" spans="4:25" x14ac:dyDescent="0.25">
      <c r="D33" s="10"/>
      <c r="E33" s="6"/>
      <c r="F33" s="17" t="str">
        <f t="shared" si="0"/>
        <v/>
      </c>
      <c r="G33" s="2"/>
      <c r="H33" s="2"/>
      <c r="I33" s="2"/>
      <c r="J33" s="14"/>
      <c r="X33" s="6">
        <f t="shared" si="1"/>
        <v>0</v>
      </c>
      <c r="Y33" s="3">
        <f t="shared" si="2"/>
        <v>0</v>
      </c>
    </row>
    <row r="34" spans="4:25" x14ac:dyDescent="0.25">
      <c r="D34" s="10"/>
      <c r="E34" s="6"/>
      <c r="F34" s="17" t="str">
        <f t="shared" si="0"/>
        <v/>
      </c>
      <c r="G34" s="2"/>
      <c r="H34" s="2"/>
      <c r="I34" s="2"/>
      <c r="J34" s="14"/>
      <c r="X34" s="6">
        <f t="shared" si="1"/>
        <v>0</v>
      </c>
      <c r="Y34" s="3">
        <f t="shared" si="2"/>
        <v>0</v>
      </c>
    </row>
    <row r="35" spans="4:25" x14ac:dyDescent="0.25">
      <c r="D35" s="10"/>
      <c r="E35" s="6"/>
      <c r="F35" s="17" t="str">
        <f t="shared" si="0"/>
        <v/>
      </c>
      <c r="G35" s="2"/>
      <c r="H35" s="2"/>
      <c r="I35" s="2"/>
      <c r="J35" s="14"/>
      <c r="X35" s="6">
        <f t="shared" si="1"/>
        <v>0</v>
      </c>
      <c r="Y35" s="3">
        <f t="shared" si="2"/>
        <v>0</v>
      </c>
    </row>
    <row r="36" spans="4:25" x14ac:dyDescent="0.25">
      <c r="D36" s="10"/>
      <c r="E36" s="6"/>
      <c r="F36" s="17" t="str">
        <f t="shared" si="0"/>
        <v/>
      </c>
      <c r="G36" s="2"/>
      <c r="H36" s="2"/>
      <c r="I36" s="2"/>
      <c r="J36" s="14"/>
      <c r="X36" s="6">
        <f t="shared" si="1"/>
        <v>0</v>
      </c>
      <c r="Y36" s="3">
        <f t="shared" si="2"/>
        <v>0</v>
      </c>
    </row>
    <row r="37" spans="4:25" x14ac:dyDescent="0.25">
      <c r="D37" s="10"/>
      <c r="E37" s="6"/>
      <c r="F37" s="17" t="str">
        <f t="shared" si="0"/>
        <v/>
      </c>
      <c r="G37" s="2"/>
      <c r="H37" s="2"/>
      <c r="I37" s="2"/>
      <c r="J37" s="14"/>
      <c r="X37" s="6">
        <f t="shared" si="1"/>
        <v>0</v>
      </c>
      <c r="Y37" s="3">
        <f t="shared" si="2"/>
        <v>0</v>
      </c>
    </row>
    <row r="38" spans="4:25" x14ac:dyDescent="0.25">
      <c r="D38" s="10"/>
      <c r="E38" s="6"/>
      <c r="F38" s="17" t="str">
        <f t="shared" si="0"/>
        <v/>
      </c>
      <c r="G38" s="2"/>
      <c r="H38" s="2"/>
      <c r="I38" s="2"/>
      <c r="J38" s="14"/>
      <c r="X38" s="6">
        <f t="shared" si="1"/>
        <v>0</v>
      </c>
      <c r="Y38" s="3">
        <f t="shared" si="2"/>
        <v>0</v>
      </c>
    </row>
    <row r="39" spans="4:25" x14ac:dyDescent="0.25">
      <c r="D39" s="10"/>
      <c r="E39" s="6"/>
      <c r="F39" s="17" t="str">
        <f t="shared" si="0"/>
        <v/>
      </c>
      <c r="G39" s="2"/>
      <c r="H39" s="2"/>
      <c r="I39" s="2"/>
      <c r="J39" s="14"/>
      <c r="X39" s="6">
        <f t="shared" si="1"/>
        <v>0</v>
      </c>
      <c r="Y39" s="3">
        <f t="shared" si="2"/>
        <v>0</v>
      </c>
    </row>
    <row r="40" spans="4:25" x14ac:dyDescent="0.25">
      <c r="D40" s="10"/>
      <c r="E40" s="6"/>
      <c r="F40" s="17" t="str">
        <f t="shared" si="0"/>
        <v/>
      </c>
      <c r="G40" s="2"/>
      <c r="H40" s="2"/>
      <c r="I40" s="2"/>
      <c r="J40" s="14"/>
      <c r="X40" s="6">
        <f t="shared" si="1"/>
        <v>0</v>
      </c>
      <c r="Y40" s="3">
        <f t="shared" si="2"/>
        <v>0</v>
      </c>
    </row>
    <row r="41" spans="4:25" x14ac:dyDescent="0.25">
      <c r="D41" s="10"/>
      <c r="E41" s="6"/>
      <c r="F41" s="17" t="str">
        <f t="shared" si="0"/>
        <v/>
      </c>
      <c r="G41" s="2"/>
      <c r="H41" s="2"/>
      <c r="I41" s="2"/>
      <c r="J41" s="14"/>
      <c r="X41" s="6">
        <f t="shared" si="1"/>
        <v>0</v>
      </c>
      <c r="Y41" s="3">
        <f t="shared" si="2"/>
        <v>0</v>
      </c>
    </row>
    <row r="42" spans="4:25" x14ac:dyDescent="0.25">
      <c r="D42" s="10"/>
      <c r="E42" s="6"/>
      <c r="F42" s="17" t="str">
        <f t="shared" si="0"/>
        <v/>
      </c>
      <c r="G42" s="2"/>
      <c r="H42" s="2"/>
      <c r="I42" s="2"/>
      <c r="J42" s="14"/>
      <c r="X42" s="6">
        <f t="shared" si="1"/>
        <v>0</v>
      </c>
      <c r="Y42" s="3">
        <f t="shared" si="2"/>
        <v>0</v>
      </c>
    </row>
    <row r="43" spans="4:25" x14ac:dyDescent="0.25">
      <c r="D43" s="10"/>
      <c r="E43" s="6"/>
      <c r="F43" s="17" t="str">
        <f t="shared" si="0"/>
        <v/>
      </c>
      <c r="G43" s="2"/>
      <c r="H43" s="2"/>
      <c r="I43" s="2"/>
      <c r="J43" s="14"/>
      <c r="X43" s="6">
        <f t="shared" si="1"/>
        <v>0</v>
      </c>
      <c r="Y43" s="3">
        <f t="shared" si="2"/>
        <v>0</v>
      </c>
    </row>
    <row r="44" spans="4:25" x14ac:dyDescent="0.25">
      <c r="D44" s="10"/>
      <c r="E44" s="6"/>
      <c r="F44" s="17" t="str">
        <f t="shared" si="0"/>
        <v/>
      </c>
      <c r="G44" s="2"/>
      <c r="H44" s="2"/>
      <c r="I44" s="2"/>
      <c r="J44" s="14"/>
      <c r="X44" s="6">
        <f t="shared" si="1"/>
        <v>0</v>
      </c>
      <c r="Y44" s="3">
        <f t="shared" si="2"/>
        <v>0</v>
      </c>
    </row>
    <row r="45" spans="4:25" x14ac:dyDescent="0.25">
      <c r="D45" s="10"/>
      <c r="E45" s="6"/>
      <c r="F45" s="17" t="str">
        <f t="shared" si="0"/>
        <v/>
      </c>
      <c r="G45" s="2"/>
      <c r="H45" s="2"/>
      <c r="I45" s="2"/>
      <c r="J45" s="14"/>
      <c r="X45" s="6">
        <f t="shared" si="1"/>
        <v>0</v>
      </c>
      <c r="Y45" s="3">
        <f t="shared" si="2"/>
        <v>0</v>
      </c>
    </row>
    <row r="46" spans="4:25" x14ac:dyDescent="0.25">
      <c r="D46" s="10"/>
      <c r="E46" s="6"/>
      <c r="F46" s="17" t="str">
        <f t="shared" si="0"/>
        <v/>
      </c>
      <c r="G46" s="2"/>
      <c r="H46" s="2"/>
      <c r="I46" s="2"/>
      <c r="J46" s="14"/>
      <c r="X46" s="6">
        <f t="shared" si="1"/>
        <v>0</v>
      </c>
      <c r="Y46" s="3">
        <f t="shared" si="2"/>
        <v>0</v>
      </c>
    </row>
    <row r="47" spans="4:25" x14ac:dyDescent="0.25">
      <c r="D47" s="10"/>
      <c r="E47" s="6"/>
      <c r="F47" s="17" t="str">
        <f t="shared" si="0"/>
        <v/>
      </c>
      <c r="G47" s="2"/>
      <c r="H47" s="2"/>
      <c r="I47" s="2"/>
      <c r="J47" s="14"/>
      <c r="X47" s="6">
        <f t="shared" si="1"/>
        <v>0</v>
      </c>
      <c r="Y47" s="3">
        <f t="shared" si="2"/>
        <v>0</v>
      </c>
    </row>
    <row r="48" spans="4:25" x14ac:dyDescent="0.25">
      <c r="D48" s="10"/>
      <c r="E48" s="6"/>
      <c r="F48" s="17" t="str">
        <f t="shared" si="0"/>
        <v/>
      </c>
      <c r="G48" s="2"/>
      <c r="H48" s="2"/>
      <c r="I48" s="2"/>
      <c r="J48" s="14"/>
      <c r="X48" s="6">
        <f t="shared" si="1"/>
        <v>0</v>
      </c>
      <c r="Y48" s="3">
        <f t="shared" si="2"/>
        <v>0</v>
      </c>
    </row>
    <row r="49" spans="4:25" x14ac:dyDescent="0.25">
      <c r="D49" s="10"/>
      <c r="E49" s="6"/>
      <c r="F49" s="17" t="str">
        <f t="shared" si="0"/>
        <v/>
      </c>
      <c r="G49" s="2"/>
      <c r="H49" s="2"/>
      <c r="I49" s="2"/>
      <c r="J49" s="14"/>
      <c r="X49" s="6">
        <f t="shared" si="1"/>
        <v>0</v>
      </c>
      <c r="Y49" s="3">
        <f t="shared" si="2"/>
        <v>0</v>
      </c>
    </row>
    <row r="50" spans="4:25" x14ac:dyDescent="0.25">
      <c r="D50" s="10"/>
      <c r="E50" s="6"/>
      <c r="F50" s="17" t="str">
        <f t="shared" si="0"/>
        <v/>
      </c>
      <c r="G50" s="2"/>
      <c r="H50" s="2"/>
      <c r="I50" s="2"/>
      <c r="J50" s="14"/>
      <c r="X50" s="6">
        <f t="shared" si="1"/>
        <v>0</v>
      </c>
      <c r="Y50" s="3">
        <f t="shared" si="2"/>
        <v>0</v>
      </c>
    </row>
    <row r="51" spans="4:25" x14ac:dyDescent="0.25">
      <c r="D51" s="10"/>
      <c r="E51" s="6"/>
      <c r="F51" s="17" t="str">
        <f t="shared" si="0"/>
        <v/>
      </c>
      <c r="G51" s="2"/>
      <c r="H51" s="2"/>
      <c r="I51" s="2"/>
      <c r="J51" s="14"/>
      <c r="X51" s="6">
        <f t="shared" si="1"/>
        <v>0</v>
      </c>
      <c r="Y51" s="3">
        <f t="shared" si="2"/>
        <v>0</v>
      </c>
    </row>
    <row r="52" spans="4:25" x14ac:dyDescent="0.25">
      <c r="D52" s="10"/>
      <c r="E52" s="6"/>
      <c r="F52" s="17" t="str">
        <f t="shared" si="0"/>
        <v/>
      </c>
      <c r="G52" s="2"/>
      <c r="H52" s="2"/>
      <c r="I52" s="2"/>
      <c r="J52" s="9"/>
      <c r="X52" s="6">
        <f t="shared" si="1"/>
        <v>0</v>
      </c>
      <c r="Y52" s="3">
        <f t="shared" si="2"/>
        <v>0</v>
      </c>
    </row>
    <row r="53" spans="4:25" x14ac:dyDescent="0.25">
      <c r="D53" s="2" t="s">
        <v>14</v>
      </c>
      <c r="E53" s="25"/>
      <c r="F53" s="3"/>
      <c r="G53" s="3">
        <f>SUM(G3:G52)</f>
        <v>10</v>
      </c>
      <c r="H53" s="3">
        <f t="shared" ref="H53:I53" si="3">SUM(H3:H52)</f>
        <v>0.54</v>
      </c>
      <c r="I53" s="3">
        <f t="shared" si="3"/>
        <v>0.09</v>
      </c>
    </row>
  </sheetData>
  <mergeCells count="4">
    <mergeCell ref="D1:F1"/>
    <mergeCell ref="G1:I1"/>
    <mergeCell ref="K1:Q1"/>
    <mergeCell ref="X1:Z1"/>
  </mergeCells>
  <conditionalFormatting sqref="A1:B1">
    <cfRule type="expression" dxfId="11" priority="1">
      <formula>$Z$3="+"</formula>
    </cfRule>
    <cfRule type="expression" dxfId="10" priority="2">
      <formula>$B$16=$K$3</formula>
    </cfRule>
  </conditionalFormatting>
  <conditionalFormatting sqref="P3">
    <cfRule type="expression" dxfId="9" priority="7">
      <formula>$Z$3="+"</formula>
    </cfRule>
  </conditionalFormatting>
  <conditionalFormatting sqref="Z3">
    <cfRule type="expression" dxfId="8" priority="8">
      <formula>$Z$3="+"</formula>
    </cfRule>
  </conditionalFormatting>
  <pageMargins left="0.7" right="0.7" top="0.75" bottom="0.75" header="0.3" footer="0.3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82266-9A58-49E8-A957-D70695644CFF}">
  <dimension ref="A1:Z53"/>
  <sheetViews>
    <sheetView workbookViewId="0">
      <selection activeCell="I16" sqref="I16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4" customWidth="1"/>
    <col min="25" max="25" width="10.7109375" style="14" customWidth="1"/>
    <col min="26" max="26" width="10.7109375" customWidth="1"/>
  </cols>
  <sheetData>
    <row r="1" spans="1:26" x14ac:dyDescent="0.25">
      <c r="A1" s="5" t="s">
        <v>18</v>
      </c>
      <c r="B1" s="6" t="s">
        <v>25</v>
      </c>
      <c r="D1" s="41" t="s">
        <v>2</v>
      </c>
      <c r="E1" s="42"/>
      <c r="F1" s="43"/>
      <c r="G1" s="41" t="s">
        <v>0</v>
      </c>
      <c r="H1" s="42"/>
      <c r="I1" s="43"/>
      <c r="J1" s="16"/>
      <c r="K1" s="41" t="s">
        <v>41</v>
      </c>
      <c r="L1" s="42"/>
      <c r="M1" s="42"/>
      <c r="N1" s="42"/>
      <c r="O1" s="42"/>
      <c r="P1" s="42"/>
      <c r="Q1" s="43"/>
      <c r="X1" s="41"/>
      <c r="Y1" s="42"/>
      <c r="Z1" s="43"/>
    </row>
    <row r="2" spans="1:26" x14ac:dyDescent="0.25">
      <c r="A2" s="5" t="s">
        <v>15</v>
      </c>
      <c r="B2" s="6" t="s">
        <v>19</v>
      </c>
      <c r="D2" s="11" t="s">
        <v>45</v>
      </c>
      <c r="E2" s="11" t="s">
        <v>46</v>
      </c>
      <c r="F2" s="23" t="s">
        <v>51</v>
      </c>
      <c r="G2" s="11" t="s">
        <v>12</v>
      </c>
      <c r="H2" s="11" t="s">
        <v>13</v>
      </c>
      <c r="I2" s="11" t="s">
        <v>43</v>
      </c>
      <c r="J2" s="9"/>
      <c r="K2" s="11" t="s">
        <v>0</v>
      </c>
      <c r="L2" s="11" t="s">
        <v>1</v>
      </c>
      <c r="M2" s="11" t="s">
        <v>39</v>
      </c>
      <c r="N2" s="11" t="s">
        <v>40</v>
      </c>
      <c r="O2" s="11" t="s">
        <v>2</v>
      </c>
      <c r="P2" s="11" t="s">
        <v>49</v>
      </c>
      <c r="Q2" s="11" t="s">
        <v>51</v>
      </c>
      <c r="X2" s="11" t="s">
        <v>2</v>
      </c>
      <c r="Y2" s="11" t="s">
        <v>42</v>
      </c>
      <c r="Z2" s="11" t="s">
        <v>49</v>
      </c>
    </row>
    <row r="3" spans="1:26" x14ac:dyDescent="0.25">
      <c r="A3" s="5" t="s">
        <v>20</v>
      </c>
      <c r="B3" s="6" t="s">
        <v>21</v>
      </c>
      <c r="D3" s="10">
        <v>45994</v>
      </c>
      <c r="E3" s="10">
        <v>45994</v>
      </c>
      <c r="F3" s="17">
        <f>IF(E3&gt;0,E3-D3,"")</f>
        <v>0</v>
      </c>
      <c r="G3" s="3">
        <v>0</v>
      </c>
      <c r="H3" s="3">
        <v>7.0000000000000007E-2</v>
      </c>
      <c r="I3" s="3">
        <v>0.01</v>
      </c>
      <c r="J3" s="14"/>
      <c r="K3" s="3">
        <f>G53</f>
        <v>0</v>
      </c>
      <c r="L3" s="3">
        <f>H53</f>
        <v>0.70000000000000018</v>
      </c>
      <c r="M3" s="3">
        <f>I53</f>
        <v>9.9999999999999992E-2</v>
      </c>
      <c r="N3" s="7" t="str">
        <f>IF(B16=K3,XIRR(Y3:Y52,X3:X52),"")</f>
        <v/>
      </c>
      <c r="O3" s="6" t="str">
        <f>IF(B16=K3,MAX(E:E),"")</f>
        <v/>
      </c>
      <c r="P3" s="2" t="str">
        <f ca="1">IF(Z3="+",TODAY()-B11,"")</f>
        <v/>
      </c>
      <c r="Q3" s="2" t="str">
        <f>IF(B16=K3,MAX(E:E)-B11,"")</f>
        <v/>
      </c>
      <c r="T3" s="13"/>
      <c r="X3" s="6">
        <f>B9</f>
        <v>45962</v>
      </c>
      <c r="Y3" s="3">
        <f>B16*-1</f>
        <v>-10</v>
      </c>
      <c r="Z3" s="2" t="str">
        <f ca="1">IF(AND(TODAY()&gt;B11, K3&lt;&gt;B16), "+", "")</f>
        <v/>
      </c>
    </row>
    <row r="4" spans="1:26" x14ac:dyDescent="0.25">
      <c r="A4" s="5" t="s">
        <v>22</v>
      </c>
      <c r="B4" s="6" t="s">
        <v>23</v>
      </c>
      <c r="D4" s="10">
        <v>46025</v>
      </c>
      <c r="E4" s="10">
        <v>46025</v>
      </c>
      <c r="F4" s="17">
        <f>IF(E4&gt;0,E4-D4,"")</f>
        <v>0</v>
      </c>
      <c r="G4" s="3">
        <v>0</v>
      </c>
      <c r="H4" s="2">
        <v>7.0000000000000007E-2</v>
      </c>
      <c r="I4" s="2">
        <v>0.01</v>
      </c>
      <c r="J4" s="9"/>
      <c r="X4" s="6">
        <f>E3</f>
        <v>45994</v>
      </c>
      <c r="Y4" s="3">
        <f>G3+H3-I3</f>
        <v>6.0000000000000005E-2</v>
      </c>
    </row>
    <row r="5" spans="1:26" x14ac:dyDescent="0.25">
      <c r="A5" s="5"/>
      <c r="B5" s="6"/>
      <c r="D5" s="10">
        <v>46056</v>
      </c>
      <c r="E5" s="10">
        <v>46056</v>
      </c>
      <c r="F5" s="17">
        <f t="shared" ref="F5:F52" si="0">IF(E5&gt;0,E5-D5,"")</f>
        <v>0</v>
      </c>
      <c r="G5" s="3">
        <v>0</v>
      </c>
      <c r="H5" s="3">
        <v>7.0000000000000007E-2</v>
      </c>
      <c r="I5" s="3">
        <v>0.01</v>
      </c>
      <c r="J5" s="9"/>
      <c r="X5" s="6">
        <f t="shared" ref="X5:X52" si="1">E4</f>
        <v>46025</v>
      </c>
      <c r="Y5" s="3">
        <f t="shared" ref="Y5:Y52" si="2">G4+H4-I4</f>
        <v>6.0000000000000005E-2</v>
      </c>
    </row>
    <row r="6" spans="1:26" x14ac:dyDescent="0.25">
      <c r="A6" s="5"/>
      <c r="B6" s="6"/>
      <c r="D6" s="10">
        <v>46084</v>
      </c>
      <c r="E6" s="10">
        <v>46084</v>
      </c>
      <c r="F6" s="17">
        <f t="shared" si="0"/>
        <v>0</v>
      </c>
      <c r="G6" s="3">
        <v>0</v>
      </c>
      <c r="H6" s="2">
        <v>7.0000000000000007E-2</v>
      </c>
      <c r="I6" s="2">
        <v>0.01</v>
      </c>
      <c r="J6" s="9"/>
      <c r="X6" s="6">
        <f t="shared" si="1"/>
        <v>46056</v>
      </c>
      <c r="Y6" s="3">
        <f t="shared" si="2"/>
        <v>6.0000000000000005E-2</v>
      </c>
    </row>
    <row r="7" spans="1:26" x14ac:dyDescent="0.25">
      <c r="A7" s="5"/>
      <c r="B7" s="6"/>
      <c r="D7" s="10">
        <v>46115</v>
      </c>
      <c r="E7" s="10">
        <v>46115</v>
      </c>
      <c r="F7" s="17">
        <f t="shared" si="0"/>
        <v>0</v>
      </c>
      <c r="G7" s="3">
        <v>0</v>
      </c>
      <c r="H7" s="3">
        <v>7.0000000000000007E-2</v>
      </c>
      <c r="I7" s="3">
        <v>0.01</v>
      </c>
      <c r="J7" s="14"/>
      <c r="X7" s="6">
        <f t="shared" si="1"/>
        <v>46084</v>
      </c>
      <c r="Y7" s="3">
        <f t="shared" si="2"/>
        <v>6.0000000000000005E-2</v>
      </c>
    </row>
    <row r="8" spans="1:26" x14ac:dyDescent="0.25">
      <c r="A8" s="5" t="s">
        <v>16</v>
      </c>
      <c r="B8" s="6" t="str">
        <f>DATEDIF(B9,B11,"y") &amp; " m. " &amp; DATEDIF(B9,B11,"ym") &amp; " mėn. " &amp; DATEDIF(B9,B11,"md") &amp; " d."</f>
        <v>1 m. 6 mėn. 2 d.</v>
      </c>
      <c r="D8" s="10">
        <v>46145</v>
      </c>
      <c r="E8" s="6">
        <v>46147</v>
      </c>
      <c r="F8" s="17">
        <f t="shared" si="0"/>
        <v>2</v>
      </c>
      <c r="G8" s="3">
        <v>0</v>
      </c>
      <c r="H8" s="3">
        <v>7.0000000000000007E-2</v>
      </c>
      <c r="I8" s="2">
        <v>0.01</v>
      </c>
      <c r="J8" s="9"/>
      <c r="X8" s="6">
        <f t="shared" si="1"/>
        <v>46115</v>
      </c>
      <c r="Y8" s="3">
        <f t="shared" si="2"/>
        <v>6.0000000000000005E-2</v>
      </c>
    </row>
    <row r="9" spans="1:26" x14ac:dyDescent="0.25">
      <c r="A9" s="5" t="s">
        <v>8</v>
      </c>
      <c r="B9" s="6">
        <v>45962</v>
      </c>
      <c r="D9" s="10">
        <v>46176</v>
      </c>
      <c r="E9" s="6">
        <v>46176</v>
      </c>
      <c r="F9" s="17">
        <f t="shared" si="0"/>
        <v>0</v>
      </c>
      <c r="G9" s="3">
        <v>0</v>
      </c>
      <c r="H9" s="3">
        <v>7.0000000000000007E-2</v>
      </c>
      <c r="I9" s="3">
        <v>0.01</v>
      </c>
      <c r="J9" s="14"/>
      <c r="X9" s="6">
        <f t="shared" si="1"/>
        <v>46147</v>
      </c>
      <c r="Y9" s="3">
        <f t="shared" si="2"/>
        <v>6.0000000000000005E-2</v>
      </c>
    </row>
    <row r="10" spans="1:26" x14ac:dyDescent="0.25">
      <c r="A10" s="5" t="s">
        <v>24</v>
      </c>
      <c r="B10" s="6">
        <v>45964</v>
      </c>
      <c r="D10" s="10">
        <v>46206</v>
      </c>
      <c r="E10" s="6">
        <v>46206</v>
      </c>
      <c r="F10" s="17">
        <f t="shared" si="0"/>
        <v>0</v>
      </c>
      <c r="G10" s="3">
        <v>0</v>
      </c>
      <c r="H10" s="2">
        <v>7.0000000000000007E-2</v>
      </c>
      <c r="I10" s="2">
        <v>0.01</v>
      </c>
      <c r="J10" s="14"/>
      <c r="X10" s="6">
        <f t="shared" si="1"/>
        <v>46176</v>
      </c>
      <c r="Y10" s="3">
        <f t="shared" si="2"/>
        <v>6.0000000000000005E-2</v>
      </c>
    </row>
    <row r="11" spans="1:26" x14ac:dyDescent="0.25">
      <c r="A11" s="5" t="s">
        <v>44</v>
      </c>
      <c r="B11" s="6">
        <v>46510</v>
      </c>
      <c r="D11" s="10">
        <v>46237</v>
      </c>
      <c r="E11" s="6">
        <v>46237</v>
      </c>
      <c r="F11" s="17">
        <f t="shared" si="0"/>
        <v>0</v>
      </c>
      <c r="G11" s="3">
        <v>0</v>
      </c>
      <c r="H11" s="2">
        <v>7.0000000000000007E-2</v>
      </c>
      <c r="I11" s="2">
        <v>0.01</v>
      </c>
      <c r="J11" s="14"/>
      <c r="X11" s="6">
        <f t="shared" si="1"/>
        <v>46206</v>
      </c>
      <c r="Y11" s="3">
        <f t="shared" si="2"/>
        <v>6.0000000000000005E-2</v>
      </c>
    </row>
    <row r="12" spans="1:26" x14ac:dyDescent="0.25">
      <c r="A12" s="5" t="s">
        <v>52</v>
      </c>
      <c r="B12" s="17">
        <f ca="1">IF(B16&lt;&gt;K3,(TODAY()-B11)*-1,"")</f>
        <v>215</v>
      </c>
      <c r="D12" s="10">
        <v>46268</v>
      </c>
      <c r="E12" s="6">
        <v>46268</v>
      </c>
      <c r="F12" s="17">
        <f t="shared" si="0"/>
        <v>0</v>
      </c>
      <c r="G12" s="3">
        <v>0</v>
      </c>
      <c r="H12" s="2">
        <v>7.0000000000000007E-2</v>
      </c>
      <c r="I12" s="2">
        <v>0.01</v>
      </c>
      <c r="J12" s="14"/>
      <c r="X12" s="6">
        <f t="shared" si="1"/>
        <v>46237</v>
      </c>
      <c r="Y12" s="3">
        <f t="shared" si="2"/>
        <v>6.0000000000000005E-2</v>
      </c>
    </row>
    <row r="13" spans="1:26" x14ac:dyDescent="0.25">
      <c r="A13" s="5"/>
      <c r="B13" s="3"/>
      <c r="D13" s="10">
        <v>46298</v>
      </c>
      <c r="E13" s="6"/>
      <c r="F13" s="17" t="str">
        <f t="shared" si="0"/>
        <v/>
      </c>
      <c r="G13" s="2"/>
      <c r="H13" s="2"/>
      <c r="I13" s="2"/>
      <c r="J13" s="14"/>
      <c r="N13" s="13"/>
      <c r="X13" s="6">
        <f t="shared" si="1"/>
        <v>46268</v>
      </c>
      <c r="Y13" s="3">
        <f t="shared" si="2"/>
        <v>6.0000000000000005E-2</v>
      </c>
    </row>
    <row r="14" spans="1:26" x14ac:dyDescent="0.25">
      <c r="A14" s="1"/>
      <c r="B14" s="24"/>
      <c r="D14" s="10">
        <v>46329</v>
      </c>
      <c r="E14" s="6"/>
      <c r="F14" s="17" t="str">
        <f t="shared" si="0"/>
        <v/>
      </c>
      <c r="G14" s="2"/>
      <c r="H14" s="2"/>
      <c r="I14" s="2"/>
      <c r="J14" s="14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12">
        <v>8.5000000000000006E-2</v>
      </c>
      <c r="D15" s="10">
        <v>46359</v>
      </c>
      <c r="E15" s="6"/>
      <c r="F15" s="17" t="str">
        <f t="shared" si="0"/>
        <v/>
      </c>
      <c r="G15" s="2"/>
      <c r="H15" s="2"/>
      <c r="I15" s="2"/>
      <c r="J15" s="14"/>
      <c r="K15" s="16"/>
      <c r="L15" s="16"/>
      <c r="M15" s="16"/>
      <c r="N15" s="16"/>
      <c r="O15" s="16"/>
      <c r="P15" s="16"/>
      <c r="Q15" s="16"/>
      <c r="X15" s="6">
        <f t="shared" si="1"/>
        <v>0</v>
      </c>
      <c r="Y15" s="3">
        <f t="shared" si="2"/>
        <v>0</v>
      </c>
    </row>
    <row r="16" spans="1:26" x14ac:dyDescent="0.25">
      <c r="A16" s="5" t="s">
        <v>53</v>
      </c>
      <c r="B16" s="3">
        <v>10</v>
      </c>
      <c r="D16" s="10">
        <v>46390</v>
      </c>
      <c r="E16" s="6"/>
      <c r="F16" s="17" t="str">
        <f t="shared" si="0"/>
        <v/>
      </c>
      <c r="G16" s="2"/>
      <c r="H16" s="2"/>
      <c r="I16" s="2"/>
      <c r="J16" s="14"/>
      <c r="K16" s="9"/>
      <c r="L16" s="9"/>
      <c r="M16" s="9"/>
      <c r="N16" s="18"/>
      <c r="O16" s="19"/>
      <c r="P16" s="14"/>
      <c r="Q16" s="14"/>
      <c r="X16" s="6">
        <f t="shared" si="1"/>
        <v>0</v>
      </c>
      <c r="Y16" s="3">
        <f t="shared" si="2"/>
        <v>0</v>
      </c>
    </row>
    <row r="17" spans="4:25" x14ac:dyDescent="0.25">
      <c r="D17" s="10">
        <v>46421</v>
      </c>
      <c r="E17" s="6"/>
      <c r="F17" s="17" t="str">
        <f t="shared" si="0"/>
        <v/>
      </c>
      <c r="G17" s="2"/>
      <c r="H17" s="2"/>
      <c r="I17" s="2"/>
      <c r="J17" s="14"/>
      <c r="X17" s="6">
        <f t="shared" si="1"/>
        <v>0</v>
      </c>
      <c r="Y17" s="3">
        <f t="shared" si="2"/>
        <v>0</v>
      </c>
    </row>
    <row r="18" spans="4:25" x14ac:dyDescent="0.25">
      <c r="D18" s="10">
        <v>46449</v>
      </c>
      <c r="E18" s="6"/>
      <c r="F18" s="17" t="str">
        <f t="shared" si="0"/>
        <v/>
      </c>
      <c r="G18" s="2"/>
      <c r="H18" s="2"/>
      <c r="I18" s="2"/>
      <c r="J18" s="14"/>
      <c r="X18" s="6">
        <f t="shared" si="1"/>
        <v>0</v>
      </c>
      <c r="Y18" s="3">
        <f t="shared" si="2"/>
        <v>0</v>
      </c>
    </row>
    <row r="19" spans="4:25" x14ac:dyDescent="0.25">
      <c r="D19" s="10">
        <v>46480</v>
      </c>
      <c r="E19" s="6"/>
      <c r="F19" s="17" t="str">
        <f t="shared" si="0"/>
        <v/>
      </c>
      <c r="G19" s="2"/>
      <c r="H19" s="2"/>
      <c r="I19" s="2"/>
      <c r="J19" s="14"/>
      <c r="X19" s="6">
        <f t="shared" si="1"/>
        <v>0</v>
      </c>
      <c r="Y19" s="3">
        <f t="shared" si="2"/>
        <v>0</v>
      </c>
    </row>
    <row r="20" spans="4:25" x14ac:dyDescent="0.25">
      <c r="D20" s="10">
        <v>46510</v>
      </c>
      <c r="E20" s="6"/>
      <c r="F20" s="17" t="str">
        <f t="shared" si="0"/>
        <v/>
      </c>
      <c r="G20" s="2"/>
      <c r="H20" s="2"/>
      <c r="I20" s="2"/>
      <c r="J20" s="14"/>
      <c r="X20" s="6">
        <f t="shared" si="1"/>
        <v>0</v>
      </c>
      <c r="Y20" s="3">
        <f t="shared" si="2"/>
        <v>0</v>
      </c>
    </row>
    <row r="21" spans="4:25" x14ac:dyDescent="0.25">
      <c r="D21" s="10"/>
      <c r="E21" s="6"/>
      <c r="F21" s="17" t="str">
        <f t="shared" si="0"/>
        <v/>
      </c>
      <c r="G21" s="2"/>
      <c r="H21" s="2"/>
      <c r="I21" s="2"/>
      <c r="J21" s="14"/>
      <c r="X21" s="6">
        <f t="shared" si="1"/>
        <v>0</v>
      </c>
      <c r="Y21" s="3">
        <f t="shared" si="2"/>
        <v>0</v>
      </c>
    </row>
    <row r="22" spans="4:25" x14ac:dyDescent="0.25">
      <c r="D22" s="10"/>
      <c r="E22" s="6"/>
      <c r="F22" s="17" t="str">
        <f t="shared" si="0"/>
        <v/>
      </c>
      <c r="G22" s="2"/>
      <c r="H22" s="2"/>
      <c r="I22" s="2"/>
      <c r="J22" s="14"/>
      <c r="X22" s="6">
        <f t="shared" si="1"/>
        <v>0</v>
      </c>
      <c r="Y22" s="3">
        <f t="shared" si="2"/>
        <v>0</v>
      </c>
    </row>
    <row r="23" spans="4:25" x14ac:dyDescent="0.25">
      <c r="D23" s="10"/>
      <c r="E23" s="6"/>
      <c r="F23" s="17" t="str">
        <f t="shared" si="0"/>
        <v/>
      </c>
      <c r="G23" s="2"/>
      <c r="H23" s="2"/>
      <c r="I23" s="2"/>
      <c r="J23" s="14"/>
      <c r="X23" s="6">
        <f t="shared" si="1"/>
        <v>0</v>
      </c>
      <c r="Y23" s="3">
        <f t="shared" si="2"/>
        <v>0</v>
      </c>
    </row>
    <row r="24" spans="4:25" x14ac:dyDescent="0.25">
      <c r="D24" s="10"/>
      <c r="E24" s="6"/>
      <c r="F24" s="17" t="str">
        <f t="shared" si="0"/>
        <v/>
      </c>
      <c r="G24" s="2"/>
      <c r="H24" s="2"/>
      <c r="I24" s="2"/>
      <c r="J24" s="14"/>
      <c r="X24" s="6">
        <f t="shared" si="1"/>
        <v>0</v>
      </c>
      <c r="Y24" s="3">
        <f t="shared" si="2"/>
        <v>0</v>
      </c>
    </row>
    <row r="25" spans="4:25" x14ac:dyDescent="0.25">
      <c r="D25" s="10"/>
      <c r="E25" s="6"/>
      <c r="F25" s="17" t="str">
        <f t="shared" si="0"/>
        <v/>
      </c>
      <c r="G25" s="2"/>
      <c r="H25" s="2"/>
      <c r="I25" s="2"/>
      <c r="J25" s="14"/>
      <c r="X25" s="6">
        <f t="shared" si="1"/>
        <v>0</v>
      </c>
      <c r="Y25" s="3">
        <f t="shared" si="2"/>
        <v>0</v>
      </c>
    </row>
    <row r="26" spans="4:25" x14ac:dyDescent="0.25">
      <c r="D26" s="10"/>
      <c r="E26" s="6"/>
      <c r="F26" s="17" t="str">
        <f t="shared" si="0"/>
        <v/>
      </c>
      <c r="G26" s="2"/>
      <c r="H26" s="2"/>
      <c r="I26" s="2"/>
      <c r="J26" s="14"/>
      <c r="X26" s="6">
        <f t="shared" si="1"/>
        <v>0</v>
      </c>
      <c r="Y26" s="3">
        <f t="shared" si="2"/>
        <v>0</v>
      </c>
    </row>
    <row r="27" spans="4:25" x14ac:dyDescent="0.25">
      <c r="D27" s="10"/>
      <c r="E27" s="6"/>
      <c r="F27" s="17" t="str">
        <f t="shared" si="0"/>
        <v/>
      </c>
      <c r="G27" s="2"/>
      <c r="H27" s="2"/>
      <c r="I27" s="2"/>
      <c r="J27" s="14"/>
      <c r="X27" s="6">
        <f t="shared" si="1"/>
        <v>0</v>
      </c>
      <c r="Y27" s="3">
        <f t="shared" si="2"/>
        <v>0</v>
      </c>
    </row>
    <row r="28" spans="4:25" x14ac:dyDescent="0.25">
      <c r="D28" s="10"/>
      <c r="E28" s="6"/>
      <c r="F28" s="17" t="str">
        <f t="shared" si="0"/>
        <v/>
      </c>
      <c r="G28" s="2"/>
      <c r="H28" s="2"/>
      <c r="I28" s="2"/>
      <c r="J28" s="14"/>
      <c r="X28" s="6">
        <f t="shared" si="1"/>
        <v>0</v>
      </c>
      <c r="Y28" s="3">
        <f t="shared" si="2"/>
        <v>0</v>
      </c>
    </row>
    <row r="29" spans="4:25" x14ac:dyDescent="0.25">
      <c r="D29" s="10"/>
      <c r="E29" s="6"/>
      <c r="F29" s="17" t="str">
        <f t="shared" si="0"/>
        <v/>
      </c>
      <c r="G29" s="2"/>
      <c r="H29" s="2"/>
      <c r="I29" s="2"/>
      <c r="J29" s="14"/>
      <c r="X29" s="6">
        <f t="shared" si="1"/>
        <v>0</v>
      </c>
      <c r="Y29" s="3">
        <f t="shared" si="2"/>
        <v>0</v>
      </c>
    </row>
    <row r="30" spans="4:25" x14ac:dyDescent="0.25">
      <c r="D30" s="10"/>
      <c r="E30" s="6"/>
      <c r="F30" s="17" t="str">
        <f t="shared" si="0"/>
        <v/>
      </c>
      <c r="G30" s="2"/>
      <c r="H30" s="2"/>
      <c r="I30" s="2"/>
      <c r="J30" s="14"/>
      <c r="X30" s="6">
        <f t="shared" si="1"/>
        <v>0</v>
      </c>
      <c r="Y30" s="3">
        <f t="shared" si="2"/>
        <v>0</v>
      </c>
    </row>
    <row r="31" spans="4:25" x14ac:dyDescent="0.25">
      <c r="D31" s="10"/>
      <c r="E31" s="6"/>
      <c r="F31" s="17" t="str">
        <f t="shared" si="0"/>
        <v/>
      </c>
      <c r="G31" s="2"/>
      <c r="H31" s="2"/>
      <c r="I31" s="2"/>
      <c r="J31" s="14"/>
      <c r="X31" s="6">
        <f t="shared" si="1"/>
        <v>0</v>
      </c>
      <c r="Y31" s="3">
        <f t="shared" si="2"/>
        <v>0</v>
      </c>
    </row>
    <row r="32" spans="4:25" x14ac:dyDescent="0.25">
      <c r="D32" s="10"/>
      <c r="E32" s="6"/>
      <c r="F32" s="17" t="str">
        <f t="shared" si="0"/>
        <v/>
      </c>
      <c r="G32" s="2"/>
      <c r="H32" s="2"/>
      <c r="I32" s="2"/>
      <c r="J32" s="14"/>
      <c r="X32" s="6">
        <f t="shared" si="1"/>
        <v>0</v>
      </c>
      <c r="Y32" s="3">
        <f t="shared" si="2"/>
        <v>0</v>
      </c>
    </row>
    <row r="33" spans="4:25" x14ac:dyDescent="0.25">
      <c r="D33" s="10"/>
      <c r="E33" s="6"/>
      <c r="F33" s="17" t="str">
        <f t="shared" si="0"/>
        <v/>
      </c>
      <c r="G33" s="2"/>
      <c r="H33" s="2"/>
      <c r="I33" s="2"/>
      <c r="J33" s="14"/>
      <c r="X33" s="6">
        <f t="shared" si="1"/>
        <v>0</v>
      </c>
      <c r="Y33" s="3">
        <f t="shared" si="2"/>
        <v>0</v>
      </c>
    </row>
    <row r="34" spans="4:25" x14ac:dyDescent="0.25">
      <c r="D34" s="10"/>
      <c r="E34" s="6"/>
      <c r="F34" s="17" t="str">
        <f t="shared" si="0"/>
        <v/>
      </c>
      <c r="G34" s="2"/>
      <c r="H34" s="2"/>
      <c r="I34" s="2"/>
      <c r="J34" s="14"/>
      <c r="X34" s="6">
        <f t="shared" si="1"/>
        <v>0</v>
      </c>
      <c r="Y34" s="3">
        <f t="shared" si="2"/>
        <v>0</v>
      </c>
    </row>
    <row r="35" spans="4:25" x14ac:dyDescent="0.25">
      <c r="D35" s="10"/>
      <c r="E35" s="6"/>
      <c r="F35" s="17" t="str">
        <f t="shared" si="0"/>
        <v/>
      </c>
      <c r="G35" s="2"/>
      <c r="H35" s="2"/>
      <c r="I35" s="2"/>
      <c r="J35" s="14"/>
      <c r="X35" s="6">
        <f t="shared" si="1"/>
        <v>0</v>
      </c>
      <c r="Y35" s="3">
        <f t="shared" si="2"/>
        <v>0</v>
      </c>
    </row>
    <row r="36" spans="4:25" x14ac:dyDescent="0.25">
      <c r="D36" s="10"/>
      <c r="E36" s="6"/>
      <c r="F36" s="17" t="str">
        <f t="shared" si="0"/>
        <v/>
      </c>
      <c r="G36" s="2"/>
      <c r="H36" s="2"/>
      <c r="I36" s="2"/>
      <c r="J36" s="14"/>
      <c r="X36" s="6">
        <f t="shared" si="1"/>
        <v>0</v>
      </c>
      <c r="Y36" s="3">
        <f t="shared" si="2"/>
        <v>0</v>
      </c>
    </row>
    <row r="37" spans="4:25" x14ac:dyDescent="0.25">
      <c r="D37" s="10"/>
      <c r="E37" s="6"/>
      <c r="F37" s="17" t="str">
        <f t="shared" si="0"/>
        <v/>
      </c>
      <c r="G37" s="2"/>
      <c r="H37" s="2"/>
      <c r="I37" s="2"/>
      <c r="J37" s="14"/>
      <c r="X37" s="6">
        <f t="shared" si="1"/>
        <v>0</v>
      </c>
      <c r="Y37" s="3">
        <f t="shared" si="2"/>
        <v>0</v>
      </c>
    </row>
    <row r="38" spans="4:25" x14ac:dyDescent="0.25">
      <c r="D38" s="10"/>
      <c r="E38" s="6"/>
      <c r="F38" s="17" t="str">
        <f t="shared" si="0"/>
        <v/>
      </c>
      <c r="G38" s="2"/>
      <c r="H38" s="2"/>
      <c r="I38" s="2"/>
      <c r="J38" s="14"/>
      <c r="X38" s="6">
        <f t="shared" si="1"/>
        <v>0</v>
      </c>
      <c r="Y38" s="3">
        <f t="shared" si="2"/>
        <v>0</v>
      </c>
    </row>
    <row r="39" spans="4:25" x14ac:dyDescent="0.25">
      <c r="D39" s="10"/>
      <c r="E39" s="6"/>
      <c r="F39" s="17" t="str">
        <f t="shared" si="0"/>
        <v/>
      </c>
      <c r="G39" s="2"/>
      <c r="H39" s="2"/>
      <c r="I39" s="2"/>
      <c r="J39" s="14"/>
      <c r="X39" s="6">
        <f t="shared" si="1"/>
        <v>0</v>
      </c>
      <c r="Y39" s="3">
        <f t="shared" si="2"/>
        <v>0</v>
      </c>
    </row>
    <row r="40" spans="4:25" x14ac:dyDescent="0.25">
      <c r="D40" s="10"/>
      <c r="E40" s="6"/>
      <c r="F40" s="17" t="str">
        <f t="shared" si="0"/>
        <v/>
      </c>
      <c r="G40" s="2"/>
      <c r="H40" s="2"/>
      <c r="I40" s="2"/>
      <c r="J40" s="14"/>
      <c r="X40" s="6">
        <f t="shared" si="1"/>
        <v>0</v>
      </c>
      <c r="Y40" s="3">
        <f t="shared" si="2"/>
        <v>0</v>
      </c>
    </row>
    <row r="41" spans="4:25" x14ac:dyDescent="0.25">
      <c r="D41" s="10"/>
      <c r="E41" s="6"/>
      <c r="F41" s="17" t="str">
        <f t="shared" si="0"/>
        <v/>
      </c>
      <c r="G41" s="2"/>
      <c r="H41" s="2"/>
      <c r="I41" s="2"/>
      <c r="J41" s="14"/>
      <c r="X41" s="6">
        <f t="shared" si="1"/>
        <v>0</v>
      </c>
      <c r="Y41" s="3">
        <f t="shared" si="2"/>
        <v>0</v>
      </c>
    </row>
    <row r="42" spans="4:25" x14ac:dyDescent="0.25">
      <c r="D42" s="10"/>
      <c r="E42" s="6"/>
      <c r="F42" s="17" t="str">
        <f t="shared" si="0"/>
        <v/>
      </c>
      <c r="G42" s="2"/>
      <c r="H42" s="2"/>
      <c r="I42" s="2"/>
      <c r="J42" s="14"/>
      <c r="X42" s="6">
        <f t="shared" si="1"/>
        <v>0</v>
      </c>
      <c r="Y42" s="3">
        <f t="shared" si="2"/>
        <v>0</v>
      </c>
    </row>
    <row r="43" spans="4:25" x14ac:dyDescent="0.25">
      <c r="D43" s="10"/>
      <c r="E43" s="6"/>
      <c r="F43" s="17" t="str">
        <f t="shared" si="0"/>
        <v/>
      </c>
      <c r="G43" s="2"/>
      <c r="H43" s="2"/>
      <c r="I43" s="2"/>
      <c r="J43" s="14"/>
      <c r="X43" s="6">
        <f t="shared" si="1"/>
        <v>0</v>
      </c>
      <c r="Y43" s="3">
        <f t="shared" si="2"/>
        <v>0</v>
      </c>
    </row>
    <row r="44" spans="4:25" x14ac:dyDescent="0.25">
      <c r="D44" s="10"/>
      <c r="E44" s="6"/>
      <c r="F44" s="17" t="str">
        <f t="shared" si="0"/>
        <v/>
      </c>
      <c r="G44" s="2"/>
      <c r="H44" s="2"/>
      <c r="I44" s="2"/>
      <c r="J44" s="14"/>
      <c r="X44" s="6">
        <f t="shared" si="1"/>
        <v>0</v>
      </c>
      <c r="Y44" s="3">
        <f t="shared" si="2"/>
        <v>0</v>
      </c>
    </row>
    <row r="45" spans="4:25" x14ac:dyDescent="0.25">
      <c r="D45" s="10"/>
      <c r="E45" s="6"/>
      <c r="F45" s="17" t="str">
        <f t="shared" si="0"/>
        <v/>
      </c>
      <c r="G45" s="2"/>
      <c r="H45" s="2"/>
      <c r="I45" s="2"/>
      <c r="J45" s="14"/>
      <c r="X45" s="6">
        <f t="shared" si="1"/>
        <v>0</v>
      </c>
      <c r="Y45" s="3">
        <f t="shared" si="2"/>
        <v>0</v>
      </c>
    </row>
    <row r="46" spans="4:25" x14ac:dyDescent="0.25">
      <c r="D46" s="10"/>
      <c r="E46" s="6"/>
      <c r="F46" s="17" t="str">
        <f t="shared" si="0"/>
        <v/>
      </c>
      <c r="G46" s="2"/>
      <c r="H46" s="2"/>
      <c r="I46" s="2"/>
      <c r="J46" s="14"/>
      <c r="X46" s="6">
        <f t="shared" si="1"/>
        <v>0</v>
      </c>
      <c r="Y46" s="3">
        <f t="shared" si="2"/>
        <v>0</v>
      </c>
    </row>
    <row r="47" spans="4:25" x14ac:dyDescent="0.25">
      <c r="D47" s="10"/>
      <c r="E47" s="6"/>
      <c r="F47" s="17" t="str">
        <f t="shared" si="0"/>
        <v/>
      </c>
      <c r="G47" s="2"/>
      <c r="H47" s="2"/>
      <c r="I47" s="2"/>
      <c r="J47" s="14"/>
      <c r="X47" s="6">
        <f t="shared" si="1"/>
        <v>0</v>
      </c>
      <c r="Y47" s="3">
        <f t="shared" si="2"/>
        <v>0</v>
      </c>
    </row>
    <row r="48" spans="4:25" x14ac:dyDescent="0.25">
      <c r="D48" s="10"/>
      <c r="E48" s="6"/>
      <c r="F48" s="17" t="str">
        <f t="shared" si="0"/>
        <v/>
      </c>
      <c r="G48" s="2"/>
      <c r="H48" s="2"/>
      <c r="I48" s="2"/>
      <c r="J48" s="14"/>
      <c r="X48" s="6">
        <f t="shared" si="1"/>
        <v>0</v>
      </c>
      <c r="Y48" s="3">
        <f t="shared" si="2"/>
        <v>0</v>
      </c>
    </row>
    <row r="49" spans="4:25" x14ac:dyDescent="0.25">
      <c r="D49" s="10"/>
      <c r="E49" s="6"/>
      <c r="F49" s="17" t="str">
        <f t="shared" si="0"/>
        <v/>
      </c>
      <c r="G49" s="2"/>
      <c r="H49" s="2"/>
      <c r="I49" s="2"/>
      <c r="J49" s="14"/>
      <c r="X49" s="6">
        <f t="shared" si="1"/>
        <v>0</v>
      </c>
      <c r="Y49" s="3">
        <f t="shared" si="2"/>
        <v>0</v>
      </c>
    </row>
    <row r="50" spans="4:25" x14ac:dyDescent="0.25">
      <c r="D50" s="10"/>
      <c r="E50" s="6"/>
      <c r="F50" s="17" t="str">
        <f t="shared" si="0"/>
        <v/>
      </c>
      <c r="G50" s="2"/>
      <c r="H50" s="2"/>
      <c r="I50" s="2"/>
      <c r="J50" s="14"/>
      <c r="X50" s="6">
        <f t="shared" si="1"/>
        <v>0</v>
      </c>
      <c r="Y50" s="3">
        <f t="shared" si="2"/>
        <v>0</v>
      </c>
    </row>
    <row r="51" spans="4:25" x14ac:dyDescent="0.25">
      <c r="D51" s="10"/>
      <c r="E51" s="6"/>
      <c r="F51" s="17" t="str">
        <f t="shared" si="0"/>
        <v/>
      </c>
      <c r="G51" s="2"/>
      <c r="H51" s="2"/>
      <c r="I51" s="2"/>
      <c r="J51" s="14"/>
      <c r="X51" s="6">
        <f t="shared" si="1"/>
        <v>0</v>
      </c>
      <c r="Y51" s="3">
        <f t="shared" si="2"/>
        <v>0</v>
      </c>
    </row>
    <row r="52" spans="4:25" x14ac:dyDescent="0.25">
      <c r="D52" s="10"/>
      <c r="E52" s="6"/>
      <c r="F52" s="17" t="str">
        <f t="shared" si="0"/>
        <v/>
      </c>
      <c r="G52" s="2"/>
      <c r="H52" s="2"/>
      <c r="I52" s="2"/>
      <c r="J52" s="9"/>
      <c r="X52" s="6">
        <f t="shared" si="1"/>
        <v>0</v>
      </c>
      <c r="Y52" s="3">
        <f t="shared" si="2"/>
        <v>0</v>
      </c>
    </row>
    <row r="53" spans="4:25" x14ac:dyDescent="0.25">
      <c r="D53" s="2" t="s">
        <v>14</v>
      </c>
      <c r="E53" s="25"/>
      <c r="F53" s="3"/>
      <c r="G53" s="3">
        <f>SUM(G3:G52)</f>
        <v>0</v>
      </c>
      <c r="H53" s="3">
        <f t="shared" ref="H53:I53" si="3">SUM(H3:H52)</f>
        <v>0.70000000000000018</v>
      </c>
      <c r="I53" s="3">
        <f t="shared" si="3"/>
        <v>9.9999999999999992E-2</v>
      </c>
    </row>
  </sheetData>
  <mergeCells count="4">
    <mergeCell ref="D1:F1"/>
    <mergeCell ref="G1:I1"/>
    <mergeCell ref="K1:Q1"/>
    <mergeCell ref="X1:Z1"/>
  </mergeCells>
  <conditionalFormatting sqref="A1:B1">
    <cfRule type="expression" dxfId="7" priority="1">
      <formula>$Z$3="+"</formula>
    </cfRule>
    <cfRule type="expression" dxfId="6" priority="2">
      <formula>$B$16=$K$3</formula>
    </cfRule>
  </conditionalFormatting>
  <conditionalFormatting sqref="P3">
    <cfRule type="expression" dxfId="5" priority="7">
      <formula>$Z$3="+"</formula>
    </cfRule>
  </conditionalFormatting>
  <conditionalFormatting sqref="Z3">
    <cfRule type="expression" dxfId="4" priority="8">
      <formula>$Z$3="+"</formula>
    </cfRule>
  </conditionalFormatting>
  <pageMargins left="0.7" right="0.7" top="0.75" bottom="0.75" header="0.3" footer="0.3"/>
  <pageSetup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CFDB1-6048-4D44-8902-982713D3B194}">
  <dimension ref="A1:Z53"/>
  <sheetViews>
    <sheetView workbookViewId="0"/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4" customWidth="1"/>
    <col min="25" max="25" width="10.7109375" style="14" customWidth="1"/>
    <col min="26" max="26" width="10.7109375" customWidth="1"/>
  </cols>
  <sheetData>
    <row r="1" spans="1:26" x14ac:dyDescent="0.25">
      <c r="A1" s="5" t="s">
        <v>18</v>
      </c>
      <c r="B1" s="6" t="s">
        <v>17</v>
      </c>
      <c r="D1" s="41" t="s">
        <v>2</v>
      </c>
      <c r="E1" s="42"/>
      <c r="F1" s="43"/>
      <c r="G1" s="41" t="s">
        <v>0</v>
      </c>
      <c r="H1" s="42"/>
      <c r="I1" s="43"/>
      <c r="J1" s="16"/>
      <c r="K1" s="41" t="s">
        <v>41</v>
      </c>
      <c r="L1" s="42"/>
      <c r="M1" s="42"/>
      <c r="N1" s="42"/>
      <c r="O1" s="42"/>
      <c r="P1" s="42"/>
      <c r="Q1" s="43"/>
      <c r="X1" s="41"/>
      <c r="Y1" s="42"/>
      <c r="Z1" s="43"/>
    </row>
    <row r="2" spans="1:26" x14ac:dyDescent="0.25">
      <c r="A2" s="5" t="s">
        <v>15</v>
      </c>
      <c r="B2" s="6" t="s">
        <v>19</v>
      </c>
      <c r="D2" s="11" t="s">
        <v>45</v>
      </c>
      <c r="E2" s="11" t="s">
        <v>46</v>
      </c>
      <c r="F2" s="23" t="s">
        <v>51</v>
      </c>
      <c r="G2" s="11" t="s">
        <v>12</v>
      </c>
      <c r="H2" s="11" t="s">
        <v>13</v>
      </c>
      <c r="I2" s="11" t="s">
        <v>43</v>
      </c>
      <c r="J2" s="9"/>
      <c r="K2" s="11" t="s">
        <v>0</v>
      </c>
      <c r="L2" s="11" t="s">
        <v>1</v>
      </c>
      <c r="M2" s="11" t="s">
        <v>39</v>
      </c>
      <c r="N2" s="11" t="s">
        <v>40</v>
      </c>
      <c r="O2" s="11" t="s">
        <v>2</v>
      </c>
      <c r="P2" s="11" t="s">
        <v>49</v>
      </c>
      <c r="Q2" s="11" t="s">
        <v>51</v>
      </c>
      <c r="X2" s="11" t="s">
        <v>2</v>
      </c>
      <c r="Y2" s="11" t="s">
        <v>42</v>
      </c>
      <c r="Z2" s="11" t="s">
        <v>49</v>
      </c>
    </row>
    <row r="3" spans="1:26" x14ac:dyDescent="0.25">
      <c r="A3" s="5" t="s">
        <v>20</v>
      </c>
      <c r="B3" s="6" t="s">
        <v>21</v>
      </c>
      <c r="D3" s="10">
        <v>45994</v>
      </c>
      <c r="E3" s="10">
        <v>45994</v>
      </c>
      <c r="F3" s="17">
        <f>IF(E3&gt;0,E3-D3,"")</f>
        <v>0</v>
      </c>
      <c r="G3" s="3">
        <v>0</v>
      </c>
      <c r="H3" s="3">
        <v>0.53</v>
      </c>
      <c r="I3" s="3">
        <v>0.05</v>
      </c>
      <c r="J3" s="14"/>
      <c r="K3" s="3">
        <f>G53</f>
        <v>0</v>
      </c>
      <c r="L3" s="3">
        <f>H53</f>
        <v>5.32</v>
      </c>
      <c r="M3" s="3">
        <f>I53</f>
        <v>0.49999999999999994</v>
      </c>
      <c r="N3" s="7" t="str">
        <f>IF(B16=K3,XIRR(Y3:Y52,X3:X52),"")</f>
        <v/>
      </c>
      <c r="O3" s="6" t="str">
        <f>IF(B16=K3,MAX(E:E),"")</f>
        <v/>
      </c>
      <c r="P3" s="2" t="str">
        <f ca="1">IF(Z3="+",TODAY()-B11,"")</f>
        <v/>
      </c>
      <c r="Q3" s="2" t="str">
        <f>IF(B16=K3,MAX(E:E)-B11,"")</f>
        <v/>
      </c>
      <c r="T3" s="13"/>
      <c r="X3" s="6">
        <f>B9</f>
        <v>45962</v>
      </c>
      <c r="Y3" s="3">
        <f>B16*-1</f>
        <v>-80</v>
      </c>
      <c r="Z3" s="2" t="str">
        <f ca="1">IF(AND(TODAY()&gt;B11, K3&lt;&gt;B16), "+", "")</f>
        <v/>
      </c>
    </row>
    <row r="4" spans="1:26" x14ac:dyDescent="0.25">
      <c r="A4" s="5" t="s">
        <v>22</v>
      </c>
      <c r="B4" s="6" t="s">
        <v>23</v>
      </c>
      <c r="D4" s="10">
        <v>46025</v>
      </c>
      <c r="E4" s="10">
        <v>46025</v>
      </c>
      <c r="F4" s="17">
        <f>IF(E4&gt;0,E4-D4,"")</f>
        <v>0</v>
      </c>
      <c r="G4" s="3">
        <v>0</v>
      </c>
      <c r="H4" s="2">
        <v>0.54</v>
      </c>
      <c r="I4" s="2">
        <v>0.05</v>
      </c>
      <c r="J4" s="9"/>
      <c r="X4" s="6">
        <f>E3</f>
        <v>45994</v>
      </c>
      <c r="Y4" s="3">
        <f>G3+H3-I3</f>
        <v>0.48000000000000004</v>
      </c>
    </row>
    <row r="5" spans="1:26" x14ac:dyDescent="0.25">
      <c r="A5" s="5"/>
      <c r="B5" s="6"/>
      <c r="D5" s="10">
        <v>46056</v>
      </c>
      <c r="E5" s="10">
        <v>46056</v>
      </c>
      <c r="F5" s="17">
        <f t="shared" ref="F5:F52" si="0">IF(E5&gt;0,E5-D5,"")</f>
        <v>0</v>
      </c>
      <c r="G5" s="3">
        <v>0</v>
      </c>
      <c r="H5" s="3">
        <v>0.54</v>
      </c>
      <c r="I5" s="3">
        <v>0.05</v>
      </c>
      <c r="J5" s="9"/>
      <c r="X5" s="6">
        <f t="shared" ref="X5:X52" si="1">E4</f>
        <v>46025</v>
      </c>
      <c r="Y5" s="3">
        <f t="shared" ref="Y5:Y52" si="2">G4+H4-I4</f>
        <v>0.49000000000000005</v>
      </c>
    </row>
    <row r="6" spans="1:26" x14ac:dyDescent="0.25">
      <c r="A6" s="5"/>
      <c r="B6" s="6"/>
      <c r="D6" s="10">
        <v>46084</v>
      </c>
      <c r="E6" s="10">
        <v>46084</v>
      </c>
      <c r="F6" s="17">
        <f t="shared" si="0"/>
        <v>0</v>
      </c>
      <c r="G6" s="3">
        <v>0</v>
      </c>
      <c r="H6" s="3">
        <v>0.49</v>
      </c>
      <c r="I6" s="3">
        <v>0.05</v>
      </c>
      <c r="J6" s="9"/>
      <c r="X6" s="6">
        <f t="shared" si="1"/>
        <v>46056</v>
      </c>
      <c r="Y6" s="3">
        <f t="shared" si="2"/>
        <v>0.49000000000000005</v>
      </c>
    </row>
    <row r="7" spans="1:26" x14ac:dyDescent="0.25">
      <c r="A7" s="5"/>
      <c r="B7" s="6"/>
      <c r="D7" s="10">
        <v>46115</v>
      </c>
      <c r="E7" s="10">
        <v>46115</v>
      </c>
      <c r="F7" s="17">
        <f t="shared" si="0"/>
        <v>0</v>
      </c>
      <c r="G7" s="3">
        <v>0</v>
      </c>
      <c r="H7" s="3">
        <v>0.54</v>
      </c>
      <c r="I7" s="3">
        <v>0.05</v>
      </c>
      <c r="J7" s="14"/>
      <c r="X7" s="6">
        <f t="shared" si="1"/>
        <v>46084</v>
      </c>
      <c r="Y7" s="3">
        <f t="shared" si="2"/>
        <v>0.44</v>
      </c>
    </row>
    <row r="8" spans="1:26" x14ac:dyDescent="0.25">
      <c r="A8" s="5" t="s">
        <v>16</v>
      </c>
      <c r="B8" s="6" t="str">
        <f>DATEDIF(B9,B11,"y") &amp; " m. " &amp; DATEDIF(B9,B11,"ym") &amp; " mėn. " &amp; DATEDIF(B9,B11,"md") &amp; " d."</f>
        <v>1 m. 0 mėn. 2 d.</v>
      </c>
      <c r="D8" s="10">
        <v>46145</v>
      </c>
      <c r="E8" s="6">
        <v>46147</v>
      </c>
      <c r="F8" s="17">
        <f t="shared" si="0"/>
        <v>2</v>
      </c>
      <c r="G8" s="3">
        <v>0</v>
      </c>
      <c r="H8" s="3">
        <v>0.53</v>
      </c>
      <c r="I8" s="2">
        <v>0.05</v>
      </c>
      <c r="J8" s="9"/>
      <c r="X8" s="6">
        <f t="shared" si="1"/>
        <v>46115</v>
      </c>
      <c r="Y8" s="3">
        <f t="shared" si="2"/>
        <v>0.49000000000000005</v>
      </c>
    </row>
    <row r="9" spans="1:26" x14ac:dyDescent="0.25">
      <c r="A9" s="5" t="s">
        <v>8</v>
      </c>
      <c r="B9" s="6">
        <v>45962</v>
      </c>
      <c r="D9" s="10">
        <v>46176</v>
      </c>
      <c r="E9" s="6">
        <v>46176</v>
      </c>
      <c r="F9" s="17">
        <f t="shared" si="0"/>
        <v>0</v>
      </c>
      <c r="G9" s="3">
        <v>0</v>
      </c>
      <c r="H9" s="3">
        <v>0.54</v>
      </c>
      <c r="I9" s="3">
        <v>0.05</v>
      </c>
      <c r="J9" s="14"/>
      <c r="X9" s="6">
        <f t="shared" si="1"/>
        <v>46147</v>
      </c>
      <c r="Y9" s="3">
        <f t="shared" si="2"/>
        <v>0.48000000000000004</v>
      </c>
    </row>
    <row r="10" spans="1:26" x14ac:dyDescent="0.25">
      <c r="A10" s="5" t="s">
        <v>24</v>
      </c>
      <c r="B10" s="6">
        <v>45964</v>
      </c>
      <c r="D10" s="10">
        <v>46206</v>
      </c>
      <c r="E10" s="6">
        <v>46206</v>
      </c>
      <c r="F10" s="17">
        <f t="shared" si="0"/>
        <v>0</v>
      </c>
      <c r="G10" s="3">
        <v>0</v>
      </c>
      <c r="H10" s="2">
        <v>0.53</v>
      </c>
      <c r="I10" s="2">
        <v>0.05</v>
      </c>
      <c r="J10" s="14"/>
      <c r="X10" s="6">
        <f t="shared" si="1"/>
        <v>46176</v>
      </c>
      <c r="Y10" s="3">
        <f t="shared" si="2"/>
        <v>0.49000000000000005</v>
      </c>
    </row>
    <row r="11" spans="1:26" x14ac:dyDescent="0.25">
      <c r="A11" s="5" t="s">
        <v>44</v>
      </c>
      <c r="B11" s="6">
        <v>46329</v>
      </c>
      <c r="D11" s="37">
        <v>46237</v>
      </c>
      <c r="E11" s="6">
        <v>46237</v>
      </c>
      <c r="F11" s="17">
        <f t="shared" si="0"/>
        <v>0</v>
      </c>
      <c r="G11" s="3">
        <v>0</v>
      </c>
      <c r="H11" s="2">
        <v>0.54</v>
      </c>
      <c r="I11" s="2">
        <v>0.05</v>
      </c>
      <c r="J11" s="14"/>
      <c r="X11" s="6">
        <f t="shared" si="1"/>
        <v>46206</v>
      </c>
      <c r="Y11" s="3">
        <f t="shared" si="2"/>
        <v>0.48000000000000004</v>
      </c>
    </row>
    <row r="12" spans="1:26" x14ac:dyDescent="0.25">
      <c r="A12" s="5" t="s">
        <v>52</v>
      </c>
      <c r="B12" s="17">
        <f ca="1">IF(B16&lt;&gt;K3,(TODAY()-B11)*-1,"")</f>
        <v>34</v>
      </c>
      <c r="D12" s="10">
        <v>46268</v>
      </c>
      <c r="E12" s="6">
        <v>46268</v>
      </c>
      <c r="F12" s="17">
        <f t="shared" si="0"/>
        <v>0</v>
      </c>
      <c r="G12" s="3">
        <v>0</v>
      </c>
      <c r="H12" s="2">
        <v>0.54</v>
      </c>
      <c r="I12" s="2">
        <v>0.05</v>
      </c>
      <c r="J12" s="14"/>
      <c r="X12" s="6">
        <f t="shared" si="1"/>
        <v>46237</v>
      </c>
      <c r="Y12" s="3">
        <f t="shared" si="2"/>
        <v>0.49000000000000005</v>
      </c>
    </row>
    <row r="13" spans="1:26" x14ac:dyDescent="0.25">
      <c r="A13" s="5"/>
      <c r="B13" s="3"/>
      <c r="D13" s="10">
        <v>46298</v>
      </c>
      <c r="E13" s="6"/>
      <c r="F13" s="17" t="str">
        <f t="shared" si="0"/>
        <v/>
      </c>
      <c r="G13" s="2"/>
      <c r="H13" s="2"/>
      <c r="I13" s="2"/>
      <c r="J13" s="14"/>
      <c r="N13" s="13"/>
      <c r="X13" s="6">
        <f t="shared" si="1"/>
        <v>46268</v>
      </c>
      <c r="Y13" s="3">
        <f t="shared" si="2"/>
        <v>0.49000000000000005</v>
      </c>
    </row>
    <row r="14" spans="1:26" x14ac:dyDescent="0.25">
      <c r="A14" s="1"/>
      <c r="B14" s="24"/>
      <c r="D14" s="10">
        <v>46329</v>
      </c>
      <c r="E14" s="6"/>
      <c r="F14" s="17" t="str">
        <f t="shared" si="0"/>
        <v/>
      </c>
      <c r="G14" s="2"/>
      <c r="H14" s="2"/>
      <c r="I14" s="2"/>
      <c r="J14" s="14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>
        <v>0.08</v>
      </c>
      <c r="D15" s="10"/>
      <c r="E15" s="6"/>
      <c r="F15" s="17" t="str">
        <f t="shared" si="0"/>
        <v/>
      </c>
      <c r="G15" s="2"/>
      <c r="H15" s="2"/>
      <c r="I15" s="2"/>
      <c r="J15" s="14"/>
      <c r="K15" s="16"/>
      <c r="L15" s="16"/>
      <c r="M15" s="16"/>
      <c r="N15" s="16"/>
      <c r="O15" s="16"/>
      <c r="P15" s="16"/>
      <c r="Q15" s="16"/>
      <c r="X15" s="6">
        <f t="shared" si="1"/>
        <v>0</v>
      </c>
      <c r="Y15" s="3">
        <f t="shared" si="2"/>
        <v>0</v>
      </c>
    </row>
    <row r="16" spans="1:26" x14ac:dyDescent="0.25">
      <c r="A16" s="5" t="s">
        <v>53</v>
      </c>
      <c r="B16" s="3">
        <v>80</v>
      </c>
      <c r="D16" s="10"/>
      <c r="E16" s="6"/>
      <c r="F16" s="17" t="str">
        <f t="shared" si="0"/>
        <v/>
      </c>
      <c r="G16" s="2"/>
      <c r="H16" s="2"/>
      <c r="I16" s="2"/>
      <c r="J16" s="14"/>
      <c r="K16" s="9"/>
      <c r="L16" s="9"/>
      <c r="M16" s="9"/>
      <c r="N16" s="18"/>
      <c r="O16" s="19"/>
      <c r="P16" s="14"/>
      <c r="Q16" s="14"/>
      <c r="X16" s="6">
        <f t="shared" si="1"/>
        <v>0</v>
      </c>
      <c r="Y16" s="3">
        <f t="shared" si="2"/>
        <v>0</v>
      </c>
    </row>
    <row r="17" spans="4:25" x14ac:dyDescent="0.25">
      <c r="D17" s="10"/>
      <c r="E17" s="6"/>
      <c r="F17" s="17" t="str">
        <f t="shared" si="0"/>
        <v/>
      </c>
      <c r="G17" s="2"/>
      <c r="H17" s="2"/>
      <c r="I17" s="2"/>
      <c r="J17" s="14"/>
      <c r="X17" s="6">
        <f t="shared" si="1"/>
        <v>0</v>
      </c>
      <c r="Y17" s="3">
        <f t="shared" si="2"/>
        <v>0</v>
      </c>
    </row>
    <row r="18" spans="4:25" x14ac:dyDescent="0.25">
      <c r="D18" s="10"/>
      <c r="E18" s="6"/>
      <c r="F18" s="17" t="str">
        <f t="shared" si="0"/>
        <v/>
      </c>
      <c r="G18" s="2"/>
      <c r="H18" s="2"/>
      <c r="I18" s="2"/>
      <c r="J18" s="14"/>
      <c r="X18" s="6">
        <f t="shared" si="1"/>
        <v>0</v>
      </c>
      <c r="Y18" s="3">
        <f t="shared" si="2"/>
        <v>0</v>
      </c>
    </row>
    <row r="19" spans="4:25" x14ac:dyDescent="0.25">
      <c r="D19" s="10"/>
      <c r="E19" s="6"/>
      <c r="F19" s="17" t="str">
        <f t="shared" si="0"/>
        <v/>
      </c>
      <c r="G19" s="2"/>
      <c r="H19" s="2"/>
      <c r="I19" s="2"/>
      <c r="J19" s="14"/>
      <c r="X19" s="6">
        <f t="shared" si="1"/>
        <v>0</v>
      </c>
      <c r="Y19" s="3">
        <f t="shared" si="2"/>
        <v>0</v>
      </c>
    </row>
    <row r="20" spans="4:25" x14ac:dyDescent="0.25">
      <c r="D20" s="10"/>
      <c r="E20" s="6"/>
      <c r="F20" s="17" t="str">
        <f t="shared" si="0"/>
        <v/>
      </c>
      <c r="G20" s="2"/>
      <c r="H20" s="2"/>
      <c r="I20" s="2"/>
      <c r="J20" s="14"/>
      <c r="X20" s="6">
        <f t="shared" si="1"/>
        <v>0</v>
      </c>
      <c r="Y20" s="3">
        <f t="shared" si="2"/>
        <v>0</v>
      </c>
    </row>
    <row r="21" spans="4:25" x14ac:dyDescent="0.25">
      <c r="D21" s="10"/>
      <c r="E21" s="6"/>
      <c r="F21" s="17" t="str">
        <f t="shared" si="0"/>
        <v/>
      </c>
      <c r="G21" s="2"/>
      <c r="H21" s="2"/>
      <c r="I21" s="2"/>
      <c r="J21" s="14"/>
      <c r="X21" s="6">
        <f t="shared" si="1"/>
        <v>0</v>
      </c>
      <c r="Y21" s="3">
        <f t="shared" si="2"/>
        <v>0</v>
      </c>
    </row>
    <row r="22" spans="4:25" x14ac:dyDescent="0.25">
      <c r="D22" s="10"/>
      <c r="E22" s="6"/>
      <c r="F22" s="17" t="str">
        <f t="shared" si="0"/>
        <v/>
      </c>
      <c r="G22" s="2"/>
      <c r="H22" s="2"/>
      <c r="I22" s="2"/>
      <c r="J22" s="14"/>
      <c r="X22" s="6">
        <f t="shared" si="1"/>
        <v>0</v>
      </c>
      <c r="Y22" s="3">
        <f t="shared" si="2"/>
        <v>0</v>
      </c>
    </row>
    <row r="23" spans="4:25" x14ac:dyDescent="0.25">
      <c r="D23" s="10"/>
      <c r="E23" s="6"/>
      <c r="F23" s="17" t="str">
        <f t="shared" si="0"/>
        <v/>
      </c>
      <c r="G23" s="2"/>
      <c r="H23" s="2"/>
      <c r="I23" s="2"/>
      <c r="J23" s="14"/>
      <c r="X23" s="6">
        <f t="shared" si="1"/>
        <v>0</v>
      </c>
      <c r="Y23" s="3">
        <f t="shared" si="2"/>
        <v>0</v>
      </c>
    </row>
    <row r="24" spans="4:25" x14ac:dyDescent="0.25">
      <c r="D24" s="10"/>
      <c r="E24" s="6"/>
      <c r="F24" s="17" t="str">
        <f t="shared" si="0"/>
        <v/>
      </c>
      <c r="G24" s="2"/>
      <c r="H24" s="2"/>
      <c r="I24" s="2"/>
      <c r="J24" s="14"/>
      <c r="X24" s="6">
        <f t="shared" si="1"/>
        <v>0</v>
      </c>
      <c r="Y24" s="3">
        <f t="shared" si="2"/>
        <v>0</v>
      </c>
    </row>
    <row r="25" spans="4:25" x14ac:dyDescent="0.25">
      <c r="D25" s="10"/>
      <c r="E25" s="6"/>
      <c r="F25" s="17" t="str">
        <f t="shared" si="0"/>
        <v/>
      </c>
      <c r="G25" s="2"/>
      <c r="H25" s="2"/>
      <c r="I25" s="2"/>
      <c r="J25" s="14"/>
      <c r="X25" s="6">
        <f t="shared" si="1"/>
        <v>0</v>
      </c>
      <c r="Y25" s="3">
        <f t="shared" si="2"/>
        <v>0</v>
      </c>
    </row>
    <row r="26" spans="4:25" x14ac:dyDescent="0.25">
      <c r="D26" s="10"/>
      <c r="E26" s="6"/>
      <c r="F26" s="17" t="str">
        <f t="shared" si="0"/>
        <v/>
      </c>
      <c r="G26" s="2"/>
      <c r="H26" s="2"/>
      <c r="I26" s="2"/>
      <c r="J26" s="14"/>
      <c r="X26" s="6">
        <f t="shared" si="1"/>
        <v>0</v>
      </c>
      <c r="Y26" s="3">
        <f t="shared" si="2"/>
        <v>0</v>
      </c>
    </row>
    <row r="27" spans="4:25" x14ac:dyDescent="0.25">
      <c r="D27" s="10"/>
      <c r="E27" s="6"/>
      <c r="F27" s="17" t="str">
        <f t="shared" si="0"/>
        <v/>
      </c>
      <c r="G27" s="2"/>
      <c r="H27" s="2"/>
      <c r="I27" s="2"/>
      <c r="J27" s="14"/>
      <c r="X27" s="6">
        <f t="shared" si="1"/>
        <v>0</v>
      </c>
      <c r="Y27" s="3">
        <f t="shared" si="2"/>
        <v>0</v>
      </c>
    </row>
    <row r="28" spans="4:25" x14ac:dyDescent="0.25">
      <c r="D28" s="10"/>
      <c r="E28" s="6"/>
      <c r="F28" s="17" t="str">
        <f t="shared" si="0"/>
        <v/>
      </c>
      <c r="G28" s="2"/>
      <c r="H28" s="2"/>
      <c r="I28" s="2"/>
      <c r="J28" s="14"/>
      <c r="X28" s="6">
        <f t="shared" si="1"/>
        <v>0</v>
      </c>
      <c r="Y28" s="3">
        <f t="shared" si="2"/>
        <v>0</v>
      </c>
    </row>
    <row r="29" spans="4:25" x14ac:dyDescent="0.25">
      <c r="D29" s="10"/>
      <c r="E29" s="6"/>
      <c r="F29" s="17" t="str">
        <f t="shared" si="0"/>
        <v/>
      </c>
      <c r="G29" s="2"/>
      <c r="H29" s="2"/>
      <c r="I29" s="2"/>
      <c r="J29" s="14"/>
      <c r="X29" s="6">
        <f t="shared" si="1"/>
        <v>0</v>
      </c>
      <c r="Y29" s="3">
        <f t="shared" si="2"/>
        <v>0</v>
      </c>
    </row>
    <row r="30" spans="4:25" x14ac:dyDescent="0.25">
      <c r="D30" s="10"/>
      <c r="E30" s="6"/>
      <c r="F30" s="17" t="str">
        <f t="shared" si="0"/>
        <v/>
      </c>
      <c r="G30" s="2"/>
      <c r="H30" s="2"/>
      <c r="I30" s="2"/>
      <c r="J30" s="14"/>
      <c r="X30" s="6">
        <f t="shared" si="1"/>
        <v>0</v>
      </c>
      <c r="Y30" s="3">
        <f t="shared" si="2"/>
        <v>0</v>
      </c>
    </row>
    <row r="31" spans="4:25" x14ac:dyDescent="0.25">
      <c r="D31" s="10"/>
      <c r="E31" s="6"/>
      <c r="F31" s="17" t="str">
        <f t="shared" si="0"/>
        <v/>
      </c>
      <c r="G31" s="2"/>
      <c r="H31" s="2"/>
      <c r="I31" s="2"/>
      <c r="J31" s="14"/>
      <c r="X31" s="6">
        <f t="shared" si="1"/>
        <v>0</v>
      </c>
      <c r="Y31" s="3">
        <f t="shared" si="2"/>
        <v>0</v>
      </c>
    </row>
    <row r="32" spans="4:25" x14ac:dyDescent="0.25">
      <c r="D32" s="10"/>
      <c r="E32" s="6"/>
      <c r="F32" s="17" t="str">
        <f t="shared" si="0"/>
        <v/>
      </c>
      <c r="G32" s="2"/>
      <c r="H32" s="2"/>
      <c r="I32" s="2"/>
      <c r="J32" s="14"/>
      <c r="X32" s="6">
        <f t="shared" si="1"/>
        <v>0</v>
      </c>
      <c r="Y32" s="3">
        <f t="shared" si="2"/>
        <v>0</v>
      </c>
    </row>
    <row r="33" spans="4:25" x14ac:dyDescent="0.25">
      <c r="D33" s="10"/>
      <c r="E33" s="6"/>
      <c r="F33" s="17" t="str">
        <f t="shared" si="0"/>
        <v/>
      </c>
      <c r="G33" s="2"/>
      <c r="H33" s="2"/>
      <c r="I33" s="2"/>
      <c r="J33" s="14"/>
      <c r="X33" s="6">
        <f t="shared" si="1"/>
        <v>0</v>
      </c>
      <c r="Y33" s="3">
        <f t="shared" si="2"/>
        <v>0</v>
      </c>
    </row>
    <row r="34" spans="4:25" x14ac:dyDescent="0.25">
      <c r="D34" s="10"/>
      <c r="E34" s="6"/>
      <c r="F34" s="17" t="str">
        <f t="shared" si="0"/>
        <v/>
      </c>
      <c r="G34" s="2"/>
      <c r="H34" s="2"/>
      <c r="I34" s="2"/>
      <c r="J34" s="14"/>
      <c r="X34" s="6">
        <f t="shared" si="1"/>
        <v>0</v>
      </c>
      <c r="Y34" s="3">
        <f t="shared" si="2"/>
        <v>0</v>
      </c>
    </row>
    <row r="35" spans="4:25" x14ac:dyDescent="0.25">
      <c r="D35" s="10"/>
      <c r="E35" s="6"/>
      <c r="F35" s="17" t="str">
        <f t="shared" si="0"/>
        <v/>
      </c>
      <c r="G35" s="2"/>
      <c r="H35" s="2"/>
      <c r="I35" s="2"/>
      <c r="J35" s="14"/>
      <c r="X35" s="6">
        <f t="shared" si="1"/>
        <v>0</v>
      </c>
      <c r="Y35" s="3">
        <f t="shared" si="2"/>
        <v>0</v>
      </c>
    </row>
    <row r="36" spans="4:25" x14ac:dyDescent="0.25">
      <c r="D36" s="10"/>
      <c r="E36" s="6"/>
      <c r="F36" s="17" t="str">
        <f t="shared" si="0"/>
        <v/>
      </c>
      <c r="G36" s="2"/>
      <c r="H36" s="2"/>
      <c r="I36" s="2"/>
      <c r="J36" s="14"/>
      <c r="X36" s="6">
        <f t="shared" si="1"/>
        <v>0</v>
      </c>
      <c r="Y36" s="3">
        <f t="shared" si="2"/>
        <v>0</v>
      </c>
    </row>
    <row r="37" spans="4:25" x14ac:dyDescent="0.25">
      <c r="D37" s="10"/>
      <c r="E37" s="6"/>
      <c r="F37" s="17" t="str">
        <f t="shared" si="0"/>
        <v/>
      </c>
      <c r="G37" s="2"/>
      <c r="H37" s="2"/>
      <c r="I37" s="2"/>
      <c r="J37" s="14"/>
      <c r="X37" s="6">
        <f t="shared" si="1"/>
        <v>0</v>
      </c>
      <c r="Y37" s="3">
        <f t="shared" si="2"/>
        <v>0</v>
      </c>
    </row>
    <row r="38" spans="4:25" x14ac:dyDescent="0.25">
      <c r="D38" s="10"/>
      <c r="E38" s="6"/>
      <c r="F38" s="17" t="str">
        <f t="shared" si="0"/>
        <v/>
      </c>
      <c r="G38" s="2"/>
      <c r="H38" s="2"/>
      <c r="I38" s="2"/>
      <c r="J38" s="14"/>
      <c r="X38" s="6">
        <f t="shared" si="1"/>
        <v>0</v>
      </c>
      <c r="Y38" s="3">
        <f t="shared" si="2"/>
        <v>0</v>
      </c>
    </row>
    <row r="39" spans="4:25" x14ac:dyDescent="0.25">
      <c r="D39" s="10"/>
      <c r="E39" s="6"/>
      <c r="F39" s="17" t="str">
        <f t="shared" si="0"/>
        <v/>
      </c>
      <c r="G39" s="2"/>
      <c r="H39" s="2"/>
      <c r="I39" s="2"/>
      <c r="J39" s="14"/>
      <c r="X39" s="6">
        <f t="shared" si="1"/>
        <v>0</v>
      </c>
      <c r="Y39" s="3">
        <f t="shared" si="2"/>
        <v>0</v>
      </c>
    </row>
    <row r="40" spans="4:25" x14ac:dyDescent="0.25">
      <c r="D40" s="10"/>
      <c r="E40" s="6"/>
      <c r="F40" s="17" t="str">
        <f t="shared" si="0"/>
        <v/>
      </c>
      <c r="G40" s="2"/>
      <c r="H40" s="2"/>
      <c r="I40" s="2"/>
      <c r="J40" s="14"/>
      <c r="X40" s="6">
        <f t="shared" si="1"/>
        <v>0</v>
      </c>
      <c r="Y40" s="3">
        <f t="shared" si="2"/>
        <v>0</v>
      </c>
    </row>
    <row r="41" spans="4:25" x14ac:dyDescent="0.25">
      <c r="D41" s="10"/>
      <c r="E41" s="6"/>
      <c r="F41" s="17" t="str">
        <f t="shared" si="0"/>
        <v/>
      </c>
      <c r="G41" s="2"/>
      <c r="H41" s="2"/>
      <c r="I41" s="2"/>
      <c r="J41" s="14"/>
      <c r="X41" s="6">
        <f t="shared" si="1"/>
        <v>0</v>
      </c>
      <c r="Y41" s="3">
        <f t="shared" si="2"/>
        <v>0</v>
      </c>
    </row>
    <row r="42" spans="4:25" x14ac:dyDescent="0.25">
      <c r="D42" s="10"/>
      <c r="E42" s="6"/>
      <c r="F42" s="17" t="str">
        <f t="shared" si="0"/>
        <v/>
      </c>
      <c r="G42" s="2"/>
      <c r="H42" s="2"/>
      <c r="I42" s="2"/>
      <c r="J42" s="14"/>
      <c r="X42" s="6">
        <f t="shared" si="1"/>
        <v>0</v>
      </c>
      <c r="Y42" s="3">
        <f t="shared" si="2"/>
        <v>0</v>
      </c>
    </row>
    <row r="43" spans="4:25" x14ac:dyDescent="0.25">
      <c r="D43" s="10"/>
      <c r="E43" s="6"/>
      <c r="F43" s="17" t="str">
        <f t="shared" si="0"/>
        <v/>
      </c>
      <c r="G43" s="2"/>
      <c r="H43" s="2"/>
      <c r="I43" s="2"/>
      <c r="J43" s="14"/>
      <c r="X43" s="6">
        <f t="shared" si="1"/>
        <v>0</v>
      </c>
      <c r="Y43" s="3">
        <f t="shared" si="2"/>
        <v>0</v>
      </c>
    </row>
    <row r="44" spans="4:25" x14ac:dyDescent="0.25">
      <c r="D44" s="10"/>
      <c r="E44" s="6"/>
      <c r="F44" s="17" t="str">
        <f t="shared" si="0"/>
        <v/>
      </c>
      <c r="G44" s="2"/>
      <c r="H44" s="2"/>
      <c r="I44" s="2"/>
      <c r="J44" s="14"/>
      <c r="X44" s="6">
        <f t="shared" si="1"/>
        <v>0</v>
      </c>
      <c r="Y44" s="3">
        <f t="shared" si="2"/>
        <v>0</v>
      </c>
    </row>
    <row r="45" spans="4:25" x14ac:dyDescent="0.25">
      <c r="D45" s="10"/>
      <c r="E45" s="6"/>
      <c r="F45" s="17" t="str">
        <f t="shared" si="0"/>
        <v/>
      </c>
      <c r="G45" s="2"/>
      <c r="H45" s="2"/>
      <c r="I45" s="2"/>
      <c r="J45" s="14"/>
      <c r="X45" s="6">
        <f t="shared" si="1"/>
        <v>0</v>
      </c>
      <c r="Y45" s="3">
        <f t="shared" si="2"/>
        <v>0</v>
      </c>
    </row>
    <row r="46" spans="4:25" x14ac:dyDescent="0.25">
      <c r="D46" s="10"/>
      <c r="E46" s="6"/>
      <c r="F46" s="17" t="str">
        <f t="shared" si="0"/>
        <v/>
      </c>
      <c r="G46" s="2"/>
      <c r="H46" s="2"/>
      <c r="I46" s="2"/>
      <c r="J46" s="14"/>
      <c r="X46" s="6">
        <f t="shared" si="1"/>
        <v>0</v>
      </c>
      <c r="Y46" s="3">
        <f t="shared" si="2"/>
        <v>0</v>
      </c>
    </row>
    <row r="47" spans="4:25" x14ac:dyDescent="0.25">
      <c r="D47" s="10"/>
      <c r="E47" s="6"/>
      <c r="F47" s="17" t="str">
        <f t="shared" si="0"/>
        <v/>
      </c>
      <c r="G47" s="2"/>
      <c r="H47" s="2"/>
      <c r="I47" s="2"/>
      <c r="J47" s="14"/>
      <c r="X47" s="6">
        <f t="shared" si="1"/>
        <v>0</v>
      </c>
      <c r="Y47" s="3">
        <f t="shared" si="2"/>
        <v>0</v>
      </c>
    </row>
    <row r="48" spans="4:25" x14ac:dyDescent="0.25">
      <c r="D48" s="10"/>
      <c r="E48" s="6"/>
      <c r="F48" s="17" t="str">
        <f t="shared" si="0"/>
        <v/>
      </c>
      <c r="G48" s="2"/>
      <c r="H48" s="2"/>
      <c r="I48" s="2"/>
      <c r="J48" s="14"/>
      <c r="X48" s="6">
        <f t="shared" si="1"/>
        <v>0</v>
      </c>
      <c r="Y48" s="3">
        <f t="shared" si="2"/>
        <v>0</v>
      </c>
    </row>
    <row r="49" spans="4:25" x14ac:dyDescent="0.25">
      <c r="D49" s="10"/>
      <c r="E49" s="6"/>
      <c r="F49" s="17" t="str">
        <f t="shared" si="0"/>
        <v/>
      </c>
      <c r="G49" s="2"/>
      <c r="H49" s="2"/>
      <c r="I49" s="2"/>
      <c r="J49" s="14"/>
      <c r="X49" s="6">
        <f t="shared" si="1"/>
        <v>0</v>
      </c>
      <c r="Y49" s="3">
        <f t="shared" si="2"/>
        <v>0</v>
      </c>
    </row>
    <row r="50" spans="4:25" x14ac:dyDescent="0.25">
      <c r="D50" s="10"/>
      <c r="E50" s="6"/>
      <c r="F50" s="17" t="str">
        <f t="shared" si="0"/>
        <v/>
      </c>
      <c r="G50" s="2"/>
      <c r="H50" s="2"/>
      <c r="I50" s="2"/>
      <c r="J50" s="14"/>
      <c r="X50" s="6">
        <f t="shared" si="1"/>
        <v>0</v>
      </c>
      <c r="Y50" s="3">
        <f t="shared" si="2"/>
        <v>0</v>
      </c>
    </row>
    <row r="51" spans="4:25" x14ac:dyDescent="0.25">
      <c r="D51" s="10"/>
      <c r="E51" s="6"/>
      <c r="F51" s="17" t="str">
        <f t="shared" si="0"/>
        <v/>
      </c>
      <c r="G51" s="2"/>
      <c r="H51" s="2"/>
      <c r="I51" s="2"/>
      <c r="J51" s="14"/>
      <c r="X51" s="6">
        <f t="shared" si="1"/>
        <v>0</v>
      </c>
      <c r="Y51" s="3">
        <f t="shared" si="2"/>
        <v>0</v>
      </c>
    </row>
    <row r="52" spans="4:25" x14ac:dyDescent="0.25">
      <c r="D52" s="10"/>
      <c r="E52" s="6"/>
      <c r="F52" s="17" t="str">
        <f t="shared" si="0"/>
        <v/>
      </c>
      <c r="G52" s="2"/>
      <c r="H52" s="2"/>
      <c r="I52" s="2"/>
      <c r="J52" s="9"/>
      <c r="X52" s="6">
        <f t="shared" si="1"/>
        <v>0</v>
      </c>
      <c r="Y52" s="3">
        <f t="shared" si="2"/>
        <v>0</v>
      </c>
    </row>
    <row r="53" spans="4:25" x14ac:dyDescent="0.25">
      <c r="D53" s="2" t="s">
        <v>14</v>
      </c>
      <c r="E53" s="25"/>
      <c r="F53" s="3"/>
      <c r="G53" s="3">
        <f>SUM(G3:G52)</f>
        <v>0</v>
      </c>
      <c r="H53" s="3">
        <f t="shared" ref="H53:I53" si="3">SUM(H3:H52)</f>
        <v>5.32</v>
      </c>
      <c r="I53" s="3">
        <f t="shared" si="3"/>
        <v>0.49999999999999994</v>
      </c>
    </row>
  </sheetData>
  <mergeCells count="4">
    <mergeCell ref="D1:F1"/>
    <mergeCell ref="G1:I1"/>
    <mergeCell ref="K1:Q1"/>
    <mergeCell ref="X1:Z1"/>
  </mergeCells>
  <phoneticPr fontId="4" type="noConversion"/>
  <conditionalFormatting sqref="A1:B1">
    <cfRule type="expression" dxfId="3" priority="1">
      <formula>$Z$3="+"</formula>
    </cfRule>
    <cfRule type="expression" dxfId="2" priority="2">
      <formula>$B$16=$K$3</formula>
    </cfRule>
  </conditionalFormatting>
  <conditionalFormatting sqref="P3">
    <cfRule type="expression" dxfId="1" priority="5">
      <formula>$Z$3="+"</formula>
    </cfRule>
  </conditionalFormatting>
  <conditionalFormatting sqref="Z3">
    <cfRule type="expression" dxfId="0" priority="8">
      <formula>$Z$3="+"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Overview</vt:lpstr>
      <vt:lpstr>Pinigai</vt:lpstr>
      <vt:lpstr>10001457</vt:lpstr>
      <vt:lpstr>10001352</vt:lpstr>
      <vt:lpstr>10001244</vt:lpstr>
      <vt:lpstr>10000722</vt:lpstr>
      <vt:lpstr>10000591</vt:lpstr>
      <vt:lpstr>10000437</vt:lpstr>
      <vt:lpstr>10000288</vt:lpstr>
      <vt:lpstr>10000263</vt:lpstr>
      <vt:lpstr>10000212</vt:lpstr>
      <vt:lpstr>10000170</vt:lpstr>
      <vt:lpstr>10000158</vt:lpstr>
      <vt:lpstr>10000160</vt:lpstr>
      <vt:lpstr>10000159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Evaldas</dc:creator>
  <cp:lastModifiedBy>Evaldas Čeilytkas</cp:lastModifiedBy>
  <cp:lastPrinted>2025-11-12T09:16:41Z</cp:lastPrinted>
  <dcterms:created xsi:type="dcterms:W3CDTF">2025-05-22T07:09:11Z</dcterms:created>
  <dcterms:modified xsi:type="dcterms:W3CDTF">2026-09-30T17:18:48Z</dcterms:modified>
</cp:coreProperties>
</file>