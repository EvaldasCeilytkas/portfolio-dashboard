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Afranga\"/>
    </mc:Choice>
  </mc:AlternateContent>
  <xr:revisionPtr revIDLastSave="0" documentId="13_ncr:1_{19A36710-AEB7-416A-B209-B316617BD3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10001457" sheetId="37" r:id="rId3"/>
    <sheet name="10001352" sheetId="36" r:id="rId4"/>
    <sheet name="10001244" sheetId="35" r:id="rId5"/>
    <sheet name="10000722" sheetId="34" r:id="rId6"/>
    <sheet name="10000591" sheetId="33" r:id="rId7"/>
    <sheet name="10000437" sheetId="32" r:id="rId8"/>
    <sheet name="10000288" sheetId="31" r:id="rId9"/>
    <sheet name="10000263" sheetId="30" r:id="rId10"/>
    <sheet name="10000212" sheetId="29" r:id="rId11"/>
    <sheet name="10000170" sheetId="28" r:id="rId12"/>
    <sheet name="10000158" sheetId="27" r:id="rId13"/>
    <sheet name="10000160" sheetId="26" r:id="rId14"/>
    <sheet name="10000159" sheetId="2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N15" i="1"/>
  <c r="M15" i="1"/>
  <c r="J15" i="1"/>
  <c r="I15" i="1"/>
  <c r="H15" i="1"/>
  <c r="G15" i="1"/>
  <c r="F15" i="1"/>
  <c r="E15" i="1"/>
  <c r="D15" i="1"/>
  <c r="C15" i="1"/>
  <c r="B15" i="1"/>
  <c r="I53" i="37"/>
  <c r="M3" i="37" s="1"/>
  <c r="H53" i="37"/>
  <c r="G53" i="37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Z3" i="37"/>
  <c r="P3" i="37" s="1"/>
  <c r="L15" i="1" s="1"/>
  <c r="Y3" i="37"/>
  <c r="X3" i="37"/>
  <c r="N3" i="37"/>
  <c r="L3" i="37"/>
  <c r="K3" i="37"/>
  <c r="O3" i="37" s="1"/>
  <c r="F3" i="37"/>
  <c r="F7" i="32"/>
  <c r="F10" i="29"/>
  <c r="O14" i="1"/>
  <c r="N14" i="1"/>
  <c r="M14" i="1"/>
  <c r="J14" i="1"/>
  <c r="I14" i="1"/>
  <c r="H14" i="1"/>
  <c r="G14" i="1"/>
  <c r="F14" i="1"/>
  <c r="E14" i="1"/>
  <c r="D14" i="1"/>
  <c r="C14" i="1"/>
  <c r="B14" i="1"/>
  <c r="I53" i="36"/>
  <c r="H53" i="36"/>
  <c r="L3" i="36" s="1"/>
  <c r="G53" i="36"/>
  <c r="K3" i="36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Y3" i="36"/>
  <c r="X3" i="36"/>
  <c r="M3" i="36"/>
  <c r="F3" i="36"/>
  <c r="F4" i="34"/>
  <c r="F5" i="34"/>
  <c r="F6" i="34"/>
  <c r="F7" i="34"/>
  <c r="F8" i="34"/>
  <c r="F9" i="34"/>
  <c r="F10" i="34"/>
  <c r="AC15" i="1" l="1"/>
  <c r="Q3" i="37"/>
  <c r="B12" i="37"/>
  <c r="K15" i="1" s="1"/>
  <c r="O3" i="36"/>
  <c r="Z3" i="36"/>
  <c r="B12" i="36"/>
  <c r="N3" i="36"/>
  <c r="Q3" i="36"/>
  <c r="N13" i="1"/>
  <c r="I13" i="1"/>
  <c r="H13" i="1"/>
  <c r="G13" i="1"/>
  <c r="F13" i="1"/>
  <c r="E13" i="1"/>
  <c r="D13" i="1"/>
  <c r="C13" i="1"/>
  <c r="B13" i="1"/>
  <c r="I53" i="35"/>
  <c r="H53" i="35"/>
  <c r="L3" i="35" s="1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Y3" i="35"/>
  <c r="X3" i="35"/>
  <c r="M3" i="35"/>
  <c r="O13" i="1" s="1"/>
  <c r="F3" i="35"/>
  <c r="K14" i="1" l="1"/>
  <c r="N3" i="35"/>
  <c r="M13" i="1"/>
  <c r="Z3" i="35"/>
  <c r="P3" i="35" s="1"/>
  <c r="L13" i="1" s="1"/>
  <c r="O3" i="35"/>
  <c r="J13" i="1" s="1"/>
  <c r="B12" i="35"/>
  <c r="K13" i="1" s="1"/>
  <c r="Q3" i="35"/>
  <c r="P3" i="36"/>
  <c r="L14" i="1" s="1"/>
  <c r="AC14" i="1"/>
  <c r="F4" i="33"/>
  <c r="A200" i="15"/>
  <c r="K3" i="15"/>
  <c r="K4" i="15"/>
  <c r="K5" i="15"/>
  <c r="K6" i="15"/>
  <c r="K7" i="15"/>
  <c r="K8" i="15"/>
  <c r="K9" i="15"/>
  <c r="K10" i="15"/>
  <c r="K11" i="15"/>
  <c r="K12" i="15"/>
  <c r="K13" i="15"/>
  <c r="K14" i="15"/>
  <c r="K2" i="15"/>
  <c r="I12" i="1"/>
  <c r="H12" i="1"/>
  <c r="G12" i="1"/>
  <c r="F12" i="1"/>
  <c r="E12" i="1"/>
  <c r="D12" i="1"/>
  <c r="C12" i="1"/>
  <c r="B12" i="1"/>
  <c r="I53" i="34"/>
  <c r="M3" i="34" s="1"/>
  <c r="O12" i="1" s="1"/>
  <c r="H53" i="34"/>
  <c r="L3" i="34" s="1"/>
  <c r="G53" i="34"/>
  <c r="K3" i="34" s="1"/>
  <c r="M12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Y9" i="34"/>
  <c r="X9" i="34"/>
  <c r="Y8" i="34"/>
  <c r="X8" i="34"/>
  <c r="B8" i="34"/>
  <c r="Y7" i="34"/>
  <c r="X7" i="34"/>
  <c r="Y6" i="34"/>
  <c r="X6" i="34"/>
  <c r="Y5" i="34"/>
  <c r="X5" i="34"/>
  <c r="Y4" i="34"/>
  <c r="X4" i="34"/>
  <c r="Y3" i="34"/>
  <c r="X3" i="34"/>
  <c r="F3" i="34"/>
  <c r="I11" i="1"/>
  <c r="H11" i="1"/>
  <c r="G11" i="1"/>
  <c r="E11" i="1"/>
  <c r="D11" i="1"/>
  <c r="C11" i="1"/>
  <c r="B11" i="1"/>
  <c r="I53" i="33"/>
  <c r="M3" i="33" s="1"/>
  <c r="O11" i="1" s="1"/>
  <c r="H53" i="33"/>
  <c r="L3" i="33" s="1"/>
  <c r="G53" i="33"/>
  <c r="K3" i="33" s="1"/>
  <c r="O3" i="33" s="1"/>
  <c r="J11" i="1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1" i="1" s="1"/>
  <c r="Y7" i="33"/>
  <c r="X7" i="33"/>
  <c r="F7" i="33"/>
  <c r="Y6" i="33"/>
  <c r="X6" i="33"/>
  <c r="F6" i="33"/>
  <c r="Y5" i="33"/>
  <c r="X5" i="33"/>
  <c r="F5" i="33"/>
  <c r="Y4" i="33"/>
  <c r="X4" i="33"/>
  <c r="Y3" i="33"/>
  <c r="X3" i="33"/>
  <c r="F3" i="33"/>
  <c r="I10" i="1"/>
  <c r="H10" i="1"/>
  <c r="G10" i="1"/>
  <c r="F10" i="1"/>
  <c r="E10" i="1"/>
  <c r="D10" i="1"/>
  <c r="C10" i="1"/>
  <c r="B10" i="1"/>
  <c r="I53" i="32"/>
  <c r="M3" i="32" s="1"/>
  <c r="O10" i="1" s="1"/>
  <c r="H53" i="32"/>
  <c r="L3" i="32" s="1"/>
  <c r="G53" i="32"/>
  <c r="K3" i="32" s="1"/>
  <c r="M10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Y6" i="32"/>
  <c r="X6" i="32"/>
  <c r="F6" i="32"/>
  <c r="Y5" i="32"/>
  <c r="X5" i="32"/>
  <c r="F5" i="32"/>
  <c r="Y4" i="32"/>
  <c r="X4" i="32"/>
  <c r="Y3" i="32"/>
  <c r="X3" i="32"/>
  <c r="F3" i="32"/>
  <c r="I9" i="1"/>
  <c r="H9" i="1"/>
  <c r="G9" i="1"/>
  <c r="F9" i="1"/>
  <c r="E9" i="1"/>
  <c r="D9" i="1"/>
  <c r="C9" i="1"/>
  <c r="B9" i="1"/>
  <c r="I53" i="31"/>
  <c r="M3" i="31" s="1"/>
  <c r="O9" i="1" s="1"/>
  <c r="H53" i="31"/>
  <c r="L3" i="31" s="1"/>
  <c r="G53" i="31"/>
  <c r="K3" i="31" s="1"/>
  <c r="Z3" i="31" s="1"/>
  <c r="P3" i="31" s="1"/>
  <c r="L9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8" i="1"/>
  <c r="H8" i="1"/>
  <c r="G8" i="1"/>
  <c r="F8" i="1"/>
  <c r="E8" i="1"/>
  <c r="D8" i="1"/>
  <c r="C8" i="1"/>
  <c r="B8" i="1"/>
  <c r="I53" i="30"/>
  <c r="M3" i="30" s="1"/>
  <c r="O8" i="1" s="1"/>
  <c r="H53" i="30"/>
  <c r="L3" i="30" s="1"/>
  <c r="G53" i="30"/>
  <c r="K3" i="30" s="1"/>
  <c r="M8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I7" i="1"/>
  <c r="H7" i="1"/>
  <c r="G7" i="1"/>
  <c r="E7" i="1"/>
  <c r="D7" i="1"/>
  <c r="C7" i="1"/>
  <c r="B7" i="1"/>
  <c r="I53" i="29"/>
  <c r="M3" i="29" s="1"/>
  <c r="O7" i="1" s="1"/>
  <c r="H53" i="29"/>
  <c r="L3" i="29" s="1"/>
  <c r="G53" i="29"/>
  <c r="K3" i="29" s="1"/>
  <c r="M7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Y9" i="29"/>
  <c r="X9" i="29"/>
  <c r="F9" i="29"/>
  <c r="Y8" i="29"/>
  <c r="X8" i="29"/>
  <c r="F8" i="29"/>
  <c r="B8" i="29"/>
  <c r="F7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6" i="1"/>
  <c r="H6" i="1"/>
  <c r="G6" i="1"/>
  <c r="F6" i="1"/>
  <c r="E6" i="1"/>
  <c r="D6" i="1"/>
  <c r="C6" i="1"/>
  <c r="B6" i="1"/>
  <c r="I53" i="28"/>
  <c r="M3" i="28" s="1"/>
  <c r="O6" i="1" s="1"/>
  <c r="H53" i="28"/>
  <c r="L3" i="28" s="1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5" i="1"/>
  <c r="H5" i="1"/>
  <c r="G5" i="1"/>
  <c r="F5" i="1"/>
  <c r="E5" i="1"/>
  <c r="D5" i="1"/>
  <c r="C5" i="1"/>
  <c r="B5" i="1"/>
  <c r="I53" i="27"/>
  <c r="M3" i="27" s="1"/>
  <c r="O5" i="1" s="1"/>
  <c r="H53" i="27"/>
  <c r="L3" i="27" s="1"/>
  <c r="G53" i="27"/>
  <c r="K3" i="27" s="1"/>
  <c r="M5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4" i="1"/>
  <c r="H4" i="1"/>
  <c r="G4" i="1"/>
  <c r="F4" i="1"/>
  <c r="E4" i="1"/>
  <c r="D4" i="1"/>
  <c r="C4" i="1"/>
  <c r="B4" i="1"/>
  <c r="I3" i="1"/>
  <c r="H3" i="1"/>
  <c r="G3" i="1"/>
  <c r="E3" i="1"/>
  <c r="D3" i="1"/>
  <c r="C3" i="1"/>
  <c r="B3" i="1"/>
  <c r="I53" i="26"/>
  <c r="M3" i="26" s="1"/>
  <c r="O4" i="1" s="1"/>
  <c r="H53" i="26"/>
  <c r="L3" i="26" s="1"/>
  <c r="G53" i="26"/>
  <c r="K3" i="26" s="1"/>
  <c r="M4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F4" i="24"/>
  <c r="I53" i="24"/>
  <c r="M3" i="24" s="1"/>
  <c r="O3" i="1" s="1"/>
  <c r="H53" i="24"/>
  <c r="L3" i="24" s="1"/>
  <c r="G53" i="24"/>
  <c r="K3" i="24" s="1"/>
  <c r="M3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F3" i="1" s="1"/>
  <c r="Y7" i="24"/>
  <c r="X7" i="24"/>
  <c r="F7" i="24"/>
  <c r="Y6" i="24"/>
  <c r="X6" i="24"/>
  <c r="F6" i="24"/>
  <c r="Y5" i="24"/>
  <c r="X5" i="24"/>
  <c r="F5" i="24"/>
  <c r="Y4" i="24"/>
  <c r="X4" i="24"/>
  <c r="Y3" i="24"/>
  <c r="X3" i="24"/>
  <c r="F3" i="24"/>
  <c r="AC13" i="1" l="1"/>
  <c r="AA3" i="1"/>
  <c r="N4" i="1"/>
  <c r="N12" i="1"/>
  <c r="N5" i="1"/>
  <c r="N11" i="1"/>
  <c r="O3" i="34"/>
  <c r="J12" i="1" s="1"/>
  <c r="N3" i="34"/>
  <c r="B12" i="34"/>
  <c r="Q3" i="34"/>
  <c r="Z3" i="34"/>
  <c r="N7" i="1"/>
  <c r="N8" i="1"/>
  <c r="N6" i="1"/>
  <c r="Z3" i="28"/>
  <c r="P3" i="28" s="1"/>
  <c r="L6" i="1" s="1"/>
  <c r="M6" i="1"/>
  <c r="Q3" i="28"/>
  <c r="N3" i="1"/>
  <c r="AC9" i="1"/>
  <c r="M11" i="1"/>
  <c r="U3" i="1" s="1"/>
  <c r="R3" i="1" s="1"/>
  <c r="Z3" i="33"/>
  <c r="Q3" i="33"/>
  <c r="B12" i="33"/>
  <c r="N3" i="33"/>
  <c r="N10" i="1"/>
  <c r="Q3" i="31"/>
  <c r="M9" i="1"/>
  <c r="Z3" i="32"/>
  <c r="O3" i="32"/>
  <c r="J10" i="1" s="1"/>
  <c r="B12" i="32"/>
  <c r="K10" i="1" s="1"/>
  <c r="N3" i="32"/>
  <c r="Q3" i="32"/>
  <c r="N9" i="1"/>
  <c r="N3" i="31"/>
  <c r="B12" i="31"/>
  <c r="K9" i="1" s="1"/>
  <c r="O3" i="31"/>
  <c r="J9" i="1" s="1"/>
  <c r="O3" i="30"/>
  <c r="J8" i="1" s="1"/>
  <c r="Q3" i="30"/>
  <c r="Z3" i="30"/>
  <c r="N3" i="30"/>
  <c r="B12" i="30"/>
  <c r="K8" i="1" s="1"/>
  <c r="Z3" i="29"/>
  <c r="Q3" i="29"/>
  <c r="N3" i="29"/>
  <c r="B12" i="29"/>
  <c r="K7" i="1" s="1"/>
  <c r="O3" i="29"/>
  <c r="J7" i="1" s="1"/>
  <c r="N3" i="28"/>
  <c r="B12" i="28"/>
  <c r="K6" i="1" s="1"/>
  <c r="O3" i="28"/>
  <c r="J6" i="1" s="1"/>
  <c r="Z3" i="27"/>
  <c r="B12" i="27"/>
  <c r="K5" i="1" s="1"/>
  <c r="O3" i="27"/>
  <c r="J5" i="1" s="1"/>
  <c r="N3" i="27"/>
  <c r="Q3" i="27"/>
  <c r="Z3" i="26"/>
  <c r="Q3" i="26"/>
  <c r="N3" i="26"/>
  <c r="B12" i="26"/>
  <c r="K4" i="1" s="1"/>
  <c r="O3" i="26"/>
  <c r="J4" i="1" s="1"/>
  <c r="O3" i="24"/>
  <c r="J3" i="1" s="1"/>
  <c r="N3" i="24"/>
  <c r="B12" i="24"/>
  <c r="K3" i="1" s="1"/>
  <c r="Q3" i="24"/>
  <c r="Z3" i="24"/>
  <c r="V3" i="1" l="1"/>
  <c r="K12" i="1"/>
  <c r="P3" i="34"/>
  <c r="L12" i="1" s="1"/>
  <c r="AC12" i="1"/>
  <c r="K11" i="1"/>
  <c r="AC6" i="1"/>
  <c r="P3" i="33"/>
  <c r="L11" i="1" s="1"/>
  <c r="AC11" i="1"/>
  <c r="P3" i="32"/>
  <c r="L10" i="1" s="1"/>
  <c r="AC10" i="1"/>
  <c r="P3" i="30"/>
  <c r="L8" i="1" s="1"/>
  <c r="AC8" i="1"/>
  <c r="P3" i="29"/>
  <c r="L7" i="1" s="1"/>
  <c r="AC7" i="1"/>
  <c r="P3" i="27"/>
  <c r="L5" i="1" s="1"/>
  <c r="AC5" i="1"/>
  <c r="P3" i="26"/>
  <c r="L4" i="1" s="1"/>
  <c r="AC4" i="1"/>
  <c r="P3" i="24"/>
  <c r="L3" i="1" s="1"/>
  <c r="AC3" i="1"/>
  <c r="H2" i="15"/>
  <c r="S3" i="1" s="1"/>
  <c r="G2" i="15" l="1"/>
  <c r="F2" i="15"/>
  <c r="I2" i="15" l="1"/>
  <c r="Q3" i="1" s="1"/>
  <c r="W3" i="1" s="1"/>
  <c r="K200" i="15" l="1"/>
  <c r="Y3" i="1"/>
  <c r="T3" i="1"/>
  <c r="X3" i="1"/>
  <c r="Z3" i="1"/>
</calcChain>
</file>

<file path=xl/sharedStrings.xml><?xml version="1.0" encoding="utf-8"?>
<sst xmlns="http://schemas.openxmlformats.org/spreadsheetml/2006/main" count="498" uniqueCount="62">
  <si>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</si>
  <si>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</si>
  <si>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</si>
  <si>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</si>
  <si>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</si>
  <si>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</si>
  <si>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</si>
  <si>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</si>
  <si>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</si>
  <si>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</si>
  <si>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</si>
  <si>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</si>
  <si>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</si>
  <si>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</si>
  <si>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</si>
  <si>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</si>
  <si>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</si>
  <si>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ID 205551187 - 10000159</t>
  </si>
  <si>
    <t>Loan ID</t>
  </si>
  <si>
    <t>Bulgaria</t>
  </si>
  <si>
    <t>Skolintojas</t>
  </si>
  <si>
    <t>Lev Credit</t>
  </si>
  <si>
    <t>Tipas</t>
  </si>
  <si>
    <t>Business loan</t>
  </si>
  <si>
    <t>Pradžia</t>
  </si>
  <si>
    <t>ID 205551187 - 10000160</t>
  </si>
  <si>
    <t>ID 205551187 - 10000158</t>
  </si>
  <si>
    <t>ID 202557159 - 10000170</t>
  </si>
  <si>
    <t>Stikcredit</t>
  </si>
  <si>
    <t>Kompanija</t>
  </si>
  <si>
    <t>Pinigai</t>
  </si>
  <si>
    <t>Grąžinta</t>
  </si>
  <si>
    <t>ID 203811241 - 10000212</t>
  </si>
  <si>
    <t>Lendivo</t>
  </si>
  <si>
    <t>ID 205174291 - 10000263</t>
  </si>
  <si>
    <t>Tiberus</t>
  </si>
  <si>
    <t>ID 202557159 - 10000288</t>
  </si>
  <si>
    <t>Stickcredit</t>
  </si>
  <si>
    <t>ID 202557159 - 10000437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</si>
  <si>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</si>
  <si>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</si>
  <si>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</si>
  <si>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</si>
  <si>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</si>
  <si>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</si>
  <si>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</si>
  <si>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</si>
  <si>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ID 205174291 - 10000591</t>
  </si>
  <si>
    <t>Nr.</t>
  </si>
  <si>
    <t>Vėluoja</t>
  </si>
  <si>
    <t>Liko</t>
  </si>
  <si>
    <t>Vėl./Anks.</t>
  </si>
  <si>
    <t>Liko, dienos</t>
  </si>
  <si>
    <t>Investuota, Eur</t>
  </si>
  <si>
    <t>Inv. data</t>
  </si>
  <si>
    <t>ID 205174291 - 10000722</t>
  </si>
  <si>
    <t>ID 205174291 - 10001244</t>
  </si>
  <si>
    <t xml:space="preserve">Premijos </t>
  </si>
  <si>
    <t>Eur.</t>
  </si>
  <si>
    <t>Viso</t>
  </si>
  <si>
    <t>ID 205174291 - 10001352</t>
  </si>
  <si>
    <t>ID 205174291 - 10001457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</si>
</sst>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8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0" fillId="0" borderId="1" xfId="0" applyNumberFormat="1" applyBorder="1"/>
    <xf numFmtId="0" fontId="2" fillId="0" borderId="1" xfId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165" fontId="0" fillId="0" borderId="1" xfId="0" quotePrefix="1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075466-8F55-4EDF-A6FB-15B890F93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5BD4ED-4B57-4162-83D2-854F97D20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0775C4-BAB6-4D13-B640-C0DF738EC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BE527D-4A23-4E4A-AC7E-1AFBA1CAB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E4D48B-03EB-4D83-A46B-315D6745E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FF4319-555E-4F69-8EBB-76B3297F2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A793C6-D2B0-460B-B330-1B6E7FE7C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D16E9C-0AB8-45AB-928F-FA2477F65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7B75D7-93D2-48E8-AD9A-78030D97E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DEFBA9-93E5-4EF0-9E7B-D6DF25DCC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2ECCA0-80A3-426C-A608-F4925BC22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1463A4-8800-48EC-B2CB-1A3F6A0C6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017D47-8ACC-44B1-A3E7-14DB17D7D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41" t="s">
        <v>0</v>
      </c>
      <c r="B1" s="41"/>
      <c r="C1" s="41"/>
      <c r="D1" s="41"/>
      <c r="E1" s="41"/>
      <c r="F1" s="41"/>
      <c r="G1" s="41"/>
      <c r="H1" s="42"/>
      <c r="I1" s="43" t="s">
        <v>44</v>
      </c>
      <c r="J1" s="44"/>
      <c r="K1" s="44"/>
      <c r="L1" s="45"/>
      <c r="M1" s="46" t="s">
        <v>31</v>
      </c>
      <c r="N1" s="46"/>
      <c r="O1" s="46"/>
      <c r="Q1" s="47" t="s">
        <v>30</v>
      </c>
      <c r="R1" s="48"/>
      <c r="S1" s="48"/>
      <c r="T1" s="49"/>
      <c r="U1" s="47" t="s">
        <v>31</v>
      </c>
      <c r="V1" s="49"/>
      <c r="W1" s="43" t="s">
        <v>4</v>
      </c>
      <c r="X1" s="44"/>
      <c r="Y1" s="44"/>
      <c r="Z1" s="45"/>
      <c r="AA1" s="4" t="s">
        <v>39</v>
      </c>
    </row>
    <row r="2" spans="1:29" x14ac:dyDescent="0.25">
      <c r="A2" s="16" t="s">
        <v>48</v>
      </c>
      <c r="B2" s="20" t="s">
        <v>54</v>
      </c>
      <c r="C2" s="4" t="s">
        <v>3</v>
      </c>
      <c r="D2" s="4" t="s">
        <v>15</v>
      </c>
      <c r="E2" s="4" t="s">
        <v>29</v>
      </c>
      <c r="F2" s="4" t="s">
        <v>16</v>
      </c>
      <c r="G2" s="4" t="s">
        <v>5</v>
      </c>
      <c r="H2" s="4" t="s">
        <v>8</v>
      </c>
      <c r="I2" s="4" t="s">
        <v>45</v>
      </c>
      <c r="J2" s="4" t="s">
        <v>46</v>
      </c>
      <c r="K2" s="4" t="s">
        <v>50</v>
      </c>
      <c r="L2" s="4" t="s">
        <v>49</v>
      </c>
      <c r="M2" s="4" t="s">
        <v>0</v>
      </c>
      <c r="N2" s="4" t="s">
        <v>1</v>
      </c>
      <c r="O2" s="4" t="s">
        <v>39</v>
      </c>
      <c r="P2" s="8"/>
      <c r="Q2" s="30" t="s">
        <v>9</v>
      </c>
      <c r="R2" s="30" t="s">
        <v>8</v>
      </c>
      <c r="S2" s="4" t="s">
        <v>57</v>
      </c>
      <c r="T2" s="4" t="s">
        <v>6</v>
      </c>
      <c r="U2" s="20" t="s">
        <v>0</v>
      </c>
      <c r="V2" s="20" t="s">
        <v>1</v>
      </c>
      <c r="W2" s="4" t="s">
        <v>59</v>
      </c>
      <c r="X2" s="4" t="s">
        <v>58</v>
      </c>
      <c r="Y2" s="4" t="s">
        <v>5</v>
      </c>
      <c r="Z2" s="4" t="s">
        <v>40</v>
      </c>
      <c r="AA2" s="4" t="s">
        <v>58</v>
      </c>
      <c r="AC2" s="11" t="s">
        <v>49</v>
      </c>
    </row>
    <row r="3" spans="1:29" x14ac:dyDescent="0.25">
      <c r="A3" s="2">
        <v>1</v>
      </c>
      <c r="B3" s="6">
        <f>'10000159'!B9</f>
        <v>45962</v>
      </c>
      <c r="C3" s="22" t="str">
        <f>'10000159'!B1</f>
        <v>ID 205551187 - 10000159</v>
      </c>
      <c r="D3" s="2" t="str">
        <f>'10000159'!B2</f>
        <v>Bulgaria</v>
      </c>
      <c r="E3" s="2" t="str">
        <f>'10000159'!B3</f>
        <v>Lev Credit</v>
      </c>
      <c r="F3" s="2" t="str">
        <f>'10000159'!B8</f>
        <v>1 m. 0 mėn. 2 d.</v>
      </c>
      <c r="G3" s="7">
        <f>'10000159'!B15</f>
        <v>0.08</v>
      </c>
      <c r="H3" s="3">
        <f>'10000159'!B16</f>
        <v>80</v>
      </c>
      <c r="I3" s="6">
        <f>'10000159'!B11</f>
        <v>46329</v>
      </c>
      <c r="J3" s="6" t="str">
        <f>'10000159'!O3</f>
        <v/>
      </c>
      <c r="K3" s="17">
        <f ca="1">'10000159'!B12</f>
        <v>64</v>
      </c>
      <c r="L3" s="17" t="str">
        <f ca="1">'10000159'!P3</f>
        <v/>
      </c>
      <c r="M3" s="3">
        <f>'10000159'!K3</f>
        <v>0</v>
      </c>
      <c r="N3" s="3">
        <f>'10000159'!L3</f>
        <v>4.78</v>
      </c>
      <c r="O3" s="3">
        <f>'10000159'!M3</f>
        <v>0.44999999999999996</v>
      </c>
      <c r="P3" s="9"/>
      <c r="Q3" s="32">
        <f>Pinigai!I2</f>
        <v>300</v>
      </c>
      <c r="R3" s="32">
        <f>SUM(H3:H100)-U3</f>
        <v>317.40999999999997</v>
      </c>
      <c r="S3" s="33">
        <f>Pinigai!H2</f>
        <v>1.8699999999999999</v>
      </c>
      <c r="T3" s="32">
        <f>W3-R3</f>
        <v>0</v>
      </c>
      <c r="U3" s="32">
        <f>SUM(M3:M100)</f>
        <v>31.82</v>
      </c>
      <c r="V3" s="32">
        <f>SUM(N3:N100)-AA3</f>
        <v>15.54</v>
      </c>
      <c r="W3" s="32">
        <f>Q3+V3+S3</f>
        <v>317.41000000000003</v>
      </c>
      <c r="X3" s="32">
        <f>W3-Q3</f>
        <v>17.410000000000025</v>
      </c>
      <c r="Y3" s="35">
        <f>(W3-Q3)/Q3</f>
        <v>5.8033333333333416E-2</v>
      </c>
      <c r="Z3" s="35">
        <f ca="1">XIRR(Pinigai!K2:K200,Pinigai!A2:A200)</f>
        <v>9.4554528594017001E-2</v>
      </c>
      <c r="AA3" s="32">
        <f>SUM(O3:O100)</f>
        <v>1.8</v>
      </c>
      <c r="AC3" s="3" t="str">
        <f ca="1">'10000159'!Z3</f>
        <v/>
      </c>
    </row>
    <row r="4" spans="1:29" x14ac:dyDescent="0.25">
      <c r="A4" s="2">
        <v>2</v>
      </c>
      <c r="B4" s="6">
        <f>'10000160'!B9</f>
        <v>45962</v>
      </c>
      <c r="C4" s="22" t="str">
        <f>'10000160'!B1</f>
        <v>ID 205551187 - 10000160</v>
      </c>
      <c r="D4" s="2" t="str">
        <f>'10000160'!B2</f>
        <v>Bulgaria</v>
      </c>
      <c r="E4" s="2" t="str">
        <f>'10000160'!B3</f>
        <v>Lev Credit</v>
      </c>
      <c r="F4" s="2" t="str">
        <f>'10000160'!B8</f>
        <v>1 m. 6 mėn. 2 d.</v>
      </c>
      <c r="G4" s="7">
        <f>'10000160'!B15</f>
        <v>8.5000000000000006E-2</v>
      </c>
      <c r="H4" s="3">
        <f>'10000160'!B16</f>
        <v>10</v>
      </c>
      <c r="I4" s="6">
        <f>'10000160'!B11</f>
        <v>46510</v>
      </c>
      <c r="J4" s="6" t="str">
        <f>'10000160'!O3</f>
        <v/>
      </c>
      <c r="K4" s="17">
        <f ca="1">'10000160'!B12</f>
        <v>245</v>
      </c>
      <c r="L4" s="17" t="str">
        <f ca="1">'10000160'!P3</f>
        <v/>
      </c>
      <c r="M4" s="3">
        <f>'10000160'!K3</f>
        <v>0</v>
      </c>
      <c r="N4" s="3">
        <f>'10000160'!L3</f>
        <v>0.63000000000000012</v>
      </c>
      <c r="O4" s="3">
        <f>'10000160'!M3</f>
        <v>0.09</v>
      </c>
      <c r="P4" s="9"/>
      <c r="Q4" s="36"/>
      <c r="R4" s="36"/>
      <c r="S4" s="36"/>
      <c r="T4" s="36"/>
      <c r="U4" s="36"/>
      <c r="V4" s="36"/>
      <c r="W4" s="36"/>
      <c r="X4" s="36"/>
      <c r="Y4" s="34"/>
      <c r="Z4" s="34"/>
      <c r="AA4" s="34"/>
      <c r="AC4" s="3" t="str">
        <f ca="1">'10000160'!Z3</f>
        <v/>
      </c>
    </row>
    <row r="5" spans="1:29" x14ac:dyDescent="0.25">
      <c r="A5" s="2">
        <v>3</v>
      </c>
      <c r="B5" s="6">
        <f>'10000158'!B9</f>
        <v>45962</v>
      </c>
      <c r="C5" s="22" t="str">
        <f>'10000158'!B1</f>
        <v>ID 205551187 - 10000158</v>
      </c>
      <c r="D5" s="2" t="str">
        <f>'10000158'!B2</f>
        <v>Bulgaria</v>
      </c>
      <c r="E5" s="2" t="str">
        <f>'10000158'!B3</f>
        <v>Lev Credit</v>
      </c>
      <c r="F5" s="2" t="str">
        <f>'10000158'!B8</f>
        <v>0 m. 9 mėn. 2 d.</v>
      </c>
      <c r="G5" s="7">
        <f>'10000158'!B15</f>
        <v>7.4999999999999997E-2</v>
      </c>
      <c r="H5" s="3">
        <f>'10000158'!B16</f>
        <v>10</v>
      </c>
      <c r="I5" s="6">
        <f>'10000158'!B11</f>
        <v>46237</v>
      </c>
      <c r="J5" s="6">
        <f>'10000158'!O3</f>
        <v>46237</v>
      </c>
      <c r="K5" s="17" t="str">
        <f ca="1">'10000158'!B12</f>
        <v/>
      </c>
      <c r="L5" s="17" t="str">
        <f ca="1">'10000158'!P3</f>
        <v/>
      </c>
      <c r="M5" s="3">
        <f>'10000158'!K3</f>
        <v>10</v>
      </c>
      <c r="N5" s="3">
        <f>'10000158'!L3</f>
        <v>0.54</v>
      </c>
      <c r="O5" s="3">
        <f>'10000158'!M3</f>
        <v>0.09</v>
      </c>
      <c r="P5" s="9"/>
      <c r="AC5" s="3" t="str">
        <f ca="1">'10000158'!Z3</f>
        <v/>
      </c>
    </row>
    <row r="6" spans="1:29" x14ac:dyDescent="0.25">
      <c r="A6" s="2">
        <v>4</v>
      </c>
      <c r="B6" s="6">
        <f>'10000170'!B9</f>
        <v>45972</v>
      </c>
      <c r="C6" s="22" t="str">
        <f>'10000170'!B1</f>
        <v>ID 202557159 - 10000170</v>
      </c>
      <c r="D6" s="2" t="str">
        <f>'10000170'!B2</f>
        <v>Bulgaria</v>
      </c>
      <c r="E6" s="2" t="str">
        <f>'10000170'!B3</f>
        <v>Stikcredit</v>
      </c>
      <c r="F6" s="2" t="str">
        <f>'10000170'!B8</f>
        <v>1 m. 0 mėn. 3 d.</v>
      </c>
      <c r="G6" s="7">
        <f>'10000170'!B15</f>
        <v>0.11</v>
      </c>
      <c r="H6" s="3">
        <f>'10000170'!B16</f>
        <v>50</v>
      </c>
      <c r="I6" s="6">
        <f>'10000170'!B11</f>
        <v>46340</v>
      </c>
      <c r="J6" s="6" t="str">
        <f>'10000170'!O3</f>
        <v/>
      </c>
      <c r="K6" s="17">
        <f ca="1">'10000170'!B12</f>
        <v>75</v>
      </c>
      <c r="L6" s="17" t="str">
        <f ca="1">'10000170'!P3</f>
        <v/>
      </c>
      <c r="M6" s="3">
        <f>'10000170'!K3</f>
        <v>0</v>
      </c>
      <c r="N6" s="3">
        <f>'10000170'!L3</f>
        <v>4.12</v>
      </c>
      <c r="O6" s="3">
        <f>'10000170'!M3</f>
        <v>0.44</v>
      </c>
      <c r="P6" s="9"/>
      <c r="AC6" s="3" t="str">
        <f ca="1">'10000170'!Z3</f>
        <v/>
      </c>
    </row>
    <row r="7" spans="1:29" x14ac:dyDescent="0.25">
      <c r="A7" s="2">
        <v>5</v>
      </c>
      <c r="B7" s="6">
        <f>'10000212'!B9</f>
        <v>46007</v>
      </c>
      <c r="C7" s="22" t="str">
        <f>'10000212'!B1</f>
        <v>ID 203811241 - 10000212</v>
      </c>
      <c r="D7" s="2" t="str">
        <f>'10000212'!B2</f>
        <v>Bulgaria</v>
      </c>
      <c r="E7" s="2" t="str">
        <f>'10000212'!B3</f>
        <v>Lendivo</v>
      </c>
      <c r="F7" s="2" t="str">
        <f>'10000212'!B8</f>
        <v>1 m. 0 mėn. 3 d.</v>
      </c>
      <c r="G7" s="7">
        <f>'10000212'!B15</f>
        <v>0.11</v>
      </c>
      <c r="H7" s="3">
        <f>'10000212'!B16</f>
        <v>21.49</v>
      </c>
      <c r="I7" s="6">
        <f>'10000212'!B11</f>
        <v>46375</v>
      </c>
      <c r="J7" s="6" t="str">
        <f>'10000212'!O3</f>
        <v/>
      </c>
      <c r="K7" s="17">
        <f ca="1">'10000212'!B12</f>
        <v>110</v>
      </c>
      <c r="L7" s="17" t="str">
        <f ca="1">'10000212'!P3</f>
        <v/>
      </c>
      <c r="M7" s="3">
        <f>'10000212'!K3</f>
        <v>0</v>
      </c>
      <c r="N7" s="3">
        <f>'10000212'!L3</f>
        <v>1.5599999999999998</v>
      </c>
      <c r="O7" s="3">
        <f>'10000212'!M3</f>
        <v>0.16</v>
      </c>
      <c r="P7" s="9"/>
      <c r="AC7" s="3" t="str">
        <f ca="1">'10000212'!Z3</f>
        <v/>
      </c>
    </row>
    <row r="8" spans="1:29" x14ac:dyDescent="0.25">
      <c r="A8" s="2">
        <v>6</v>
      </c>
      <c r="B8" s="6">
        <f>'10000263'!B9</f>
        <v>46042</v>
      </c>
      <c r="C8" s="22" t="str">
        <f>'10000263'!B1</f>
        <v>ID 205174291 - 10000263</v>
      </c>
      <c r="D8" s="2" t="str">
        <f>'10000263'!B2</f>
        <v>Bulgaria</v>
      </c>
      <c r="E8" s="2" t="str">
        <f>'10000263'!B3</f>
        <v>Tiberus</v>
      </c>
      <c r="F8" s="2" t="str">
        <f>'10000263'!B8</f>
        <v>1 m. 0 mėn. 26 d.</v>
      </c>
      <c r="G8" s="7">
        <f>'10000263'!B15</f>
        <v>0.1</v>
      </c>
      <c r="H8" s="3">
        <f>'10000263'!B16</f>
        <v>21.2</v>
      </c>
      <c r="I8" s="6">
        <f>'10000263'!B11</f>
        <v>46433</v>
      </c>
      <c r="J8" s="6" t="str">
        <f>'10000263'!O3</f>
        <v/>
      </c>
      <c r="K8" s="17">
        <f ca="1">'10000263'!B12</f>
        <v>168</v>
      </c>
      <c r="L8" s="17" t="str">
        <f ca="1">'10000263'!P3</f>
        <v/>
      </c>
      <c r="M8" s="3">
        <f>'10000263'!K3</f>
        <v>0</v>
      </c>
      <c r="N8" s="3">
        <f>'10000263'!L3</f>
        <v>1.18</v>
      </c>
      <c r="O8" s="3">
        <f>'10000263'!M3</f>
        <v>0.13</v>
      </c>
      <c r="P8" s="9"/>
      <c r="AC8" s="3" t="str">
        <f ca="1">'10000263'!Z3</f>
        <v/>
      </c>
    </row>
    <row r="9" spans="1:29" x14ac:dyDescent="0.25">
      <c r="A9" s="2">
        <v>7</v>
      </c>
      <c r="B9" s="6">
        <f>'10000288'!B9</f>
        <v>46065</v>
      </c>
      <c r="C9" s="22" t="str">
        <f>'10000288'!B1</f>
        <v>ID 202557159 - 10000288</v>
      </c>
      <c r="D9" s="2" t="str">
        <f>'10000288'!B2</f>
        <v>Bulgaria</v>
      </c>
      <c r="E9" s="2" t="str">
        <f>'10000288'!B3</f>
        <v>Stickcredit</v>
      </c>
      <c r="F9" s="2" t="str">
        <f>'10000288'!B8</f>
        <v>1 m. 0 mėn. 3 d.</v>
      </c>
      <c r="G9" s="7">
        <f>'10000288'!B15</f>
        <v>0.12</v>
      </c>
      <c r="H9" s="3">
        <f>'10000288'!B16</f>
        <v>21.97</v>
      </c>
      <c r="I9" s="6">
        <f>'10000288'!B11</f>
        <v>46433</v>
      </c>
      <c r="J9" s="6" t="str">
        <f>'10000288'!O3</f>
        <v/>
      </c>
      <c r="K9" s="17">
        <f ca="1">'10000288'!B12</f>
        <v>168</v>
      </c>
      <c r="L9" s="17" t="str">
        <f ca="1">'10000288'!P3</f>
        <v/>
      </c>
      <c r="M9" s="3">
        <f>'10000288'!K3</f>
        <v>0</v>
      </c>
      <c r="N9" s="3">
        <f>'10000288'!L3</f>
        <v>1.32</v>
      </c>
      <c r="O9" s="3">
        <f>'10000288'!M3</f>
        <v>0.12000000000000001</v>
      </c>
      <c r="P9" s="9"/>
      <c r="AC9" s="3" t="str">
        <f ca="1">'10000288'!Z3</f>
        <v/>
      </c>
    </row>
    <row r="10" spans="1:29" x14ac:dyDescent="0.25">
      <c r="A10" s="2">
        <v>8</v>
      </c>
      <c r="B10" s="6">
        <f>'10000437'!B9</f>
        <v>46101</v>
      </c>
      <c r="C10" s="22" t="str">
        <f>'10000437'!B1</f>
        <v>ID 202557159 - 10000437</v>
      </c>
      <c r="D10" s="2" t="str">
        <f>'10000437'!B2</f>
        <v>Bulgaria</v>
      </c>
      <c r="E10" s="2" t="str">
        <f>'10000437'!B3</f>
        <v>Stickcredit</v>
      </c>
      <c r="F10" s="2" t="str">
        <f>'10000437'!B8</f>
        <v>3 m. 0 mėn. 8 d.</v>
      </c>
      <c r="G10" s="7">
        <f>'10000437'!B15</f>
        <v>0.16</v>
      </c>
      <c r="H10" s="3">
        <f>'10000437'!B16</f>
        <v>22.16</v>
      </c>
      <c r="I10" s="6">
        <f>'10000437'!B11</f>
        <v>47205</v>
      </c>
      <c r="J10" s="6" t="str">
        <f>'10000437'!O3</f>
        <v/>
      </c>
      <c r="K10" s="17">
        <f ca="1">'10000437'!B12</f>
        <v>940</v>
      </c>
      <c r="L10" s="17" t="str">
        <f ca="1">'10000437'!P3</f>
        <v/>
      </c>
      <c r="M10" s="3">
        <f>'10000437'!K3</f>
        <v>0</v>
      </c>
      <c r="N10" s="3">
        <f>'10000437'!L3</f>
        <v>1.53</v>
      </c>
      <c r="O10" s="3">
        <f>'10000437'!M3</f>
        <v>0.16</v>
      </c>
      <c r="P10" s="9"/>
      <c r="AC10" s="3" t="str">
        <f ca="1">'10000437'!Z3</f>
        <v/>
      </c>
    </row>
    <row r="11" spans="1:29" x14ac:dyDescent="0.25">
      <c r="A11" s="2">
        <v>9</v>
      </c>
      <c r="B11" s="6">
        <f>'10000591'!B9</f>
        <v>46133</v>
      </c>
      <c r="C11" s="22" t="str">
        <f>'10000591'!B1</f>
        <v>ID 205174291 - 10000591</v>
      </c>
      <c r="D11" s="2" t="str">
        <f>'10000591'!B2</f>
        <v>Bulgaria</v>
      </c>
      <c r="E11" s="2" t="str">
        <f>'10000591'!B3</f>
        <v>Tiberus</v>
      </c>
      <c r="F11" s="2" t="str">
        <f>'10000591'!B8</f>
        <v>1 m. 0 mėn. 7 d.</v>
      </c>
      <c r="G11" s="7">
        <f>'10000591'!B15</f>
        <v>0.12</v>
      </c>
      <c r="H11" s="3">
        <f>'10000591'!B16</f>
        <v>21.56</v>
      </c>
      <c r="I11" s="6">
        <f>'10000591'!B11</f>
        <v>46505</v>
      </c>
      <c r="J11" s="6" t="str">
        <f>'10000591'!O3</f>
        <v/>
      </c>
      <c r="K11" s="17">
        <f ca="1">'10000591'!B12</f>
        <v>240</v>
      </c>
      <c r="L11" s="17" t="str">
        <f ca="1">'10000591'!P3</f>
        <v/>
      </c>
      <c r="M11" s="3">
        <f>'10000591'!K3</f>
        <v>0</v>
      </c>
      <c r="N11" s="3">
        <f>'10000591'!L3</f>
        <v>0.88</v>
      </c>
      <c r="O11" s="3">
        <f>'10000591'!M3</f>
        <v>0.08</v>
      </c>
      <c r="P11" s="9"/>
      <c r="AC11" s="3" t="str">
        <f ca="1">'10000591'!Z3</f>
        <v/>
      </c>
    </row>
    <row r="12" spans="1:29" x14ac:dyDescent="0.25">
      <c r="A12" s="2">
        <v>10</v>
      </c>
      <c r="B12" s="6">
        <f>'10000722'!B9</f>
        <v>46165</v>
      </c>
      <c r="C12" s="29" t="str">
        <f>'10000722'!B1</f>
        <v>ID 205174291 - 10000722</v>
      </c>
      <c r="D12" s="2" t="str">
        <f>'10000722'!B2</f>
        <v>Bulgaria</v>
      </c>
      <c r="E12" s="2" t="str">
        <f>'10000722'!B3</f>
        <v>Tiberus</v>
      </c>
      <c r="F12" s="2" t="str">
        <f>'10000722'!B8</f>
        <v>0 m. 3 mėn. 5 d.</v>
      </c>
      <c r="G12" s="7">
        <f>'10000722'!B15</f>
        <v>0.1</v>
      </c>
      <c r="H12" s="3">
        <f>'10000722'!B16</f>
        <v>21.82</v>
      </c>
      <c r="I12" s="6">
        <f>'10000722'!B11</f>
        <v>46262</v>
      </c>
      <c r="J12" s="6">
        <f>'10000722'!O3</f>
        <v>46262</v>
      </c>
      <c r="K12" s="17" t="str">
        <f ca="1">'10000722'!B12</f>
        <v/>
      </c>
      <c r="L12" s="17" t="str">
        <f ca="1">'10000722'!P3</f>
        <v/>
      </c>
      <c r="M12" s="3">
        <f>'10000722'!K3</f>
        <v>21.82</v>
      </c>
      <c r="N12" s="3">
        <f>'10000722'!L3</f>
        <v>0.57000000000000006</v>
      </c>
      <c r="O12" s="3">
        <f>'10000722'!M3</f>
        <v>0.06</v>
      </c>
      <c r="P12" s="9"/>
      <c r="AC12" s="3" t="str">
        <f ca="1">'10000722'!Z3</f>
        <v/>
      </c>
    </row>
    <row r="13" spans="1:29" x14ac:dyDescent="0.25">
      <c r="A13" s="2">
        <v>11</v>
      </c>
      <c r="B13" s="6">
        <f>'10001244'!B9</f>
        <v>46210</v>
      </c>
      <c r="C13" s="26" t="str">
        <f>'10001244'!B1</f>
        <v>ID 205174291 - 10001244</v>
      </c>
      <c r="D13" s="2" t="str">
        <f>'10001244'!B2</f>
        <v>Bulgaria</v>
      </c>
      <c r="E13" s="2" t="str">
        <f>'10001244'!B3</f>
        <v>Tiberus</v>
      </c>
      <c r="F13" s="2" t="str">
        <f>'10001244'!B8</f>
        <v>0 m. 3 mėn. 8 d.</v>
      </c>
      <c r="G13" s="7">
        <f>'10001244'!B15</f>
        <v>0.1</v>
      </c>
      <c r="H13" s="3">
        <f>'10001244'!B16</f>
        <v>23.27</v>
      </c>
      <c r="I13" s="6">
        <f>'10001244'!B11</f>
        <v>46310</v>
      </c>
      <c r="J13" s="6" t="str">
        <f>'10001244'!O3</f>
        <v/>
      </c>
      <c r="K13" s="17">
        <f ca="1">'10001244'!B12</f>
        <v>45</v>
      </c>
      <c r="L13" s="17" t="str">
        <f ca="1">'10001244'!P3</f>
        <v/>
      </c>
      <c r="M13" s="3">
        <f>'10001244'!K3</f>
        <v>0</v>
      </c>
      <c r="N13" s="3">
        <f>'10001244'!L3</f>
        <v>0.23</v>
      </c>
      <c r="O13" s="3">
        <f>'10001244'!M3</f>
        <v>0.02</v>
      </c>
      <c r="AC13" s="3" t="str">
        <f ca="1">'10001244'!Z3</f>
        <v/>
      </c>
    </row>
    <row r="14" spans="1:29" x14ac:dyDescent="0.25">
      <c r="A14" s="2">
        <v>12</v>
      </c>
      <c r="B14" s="6">
        <f>'10001352'!B9</f>
        <v>46238</v>
      </c>
      <c r="C14" s="26" t="str">
        <f>'10001352'!B1</f>
        <v>ID 205174291 - 10001352</v>
      </c>
      <c r="D14" s="2" t="str">
        <f>'10001352'!B2</f>
        <v>Bulgaria</v>
      </c>
      <c r="E14" s="2" t="str">
        <f>'10001352'!B3</f>
        <v>Tiberus</v>
      </c>
      <c r="F14" s="2" t="str">
        <f>'10001352'!B8</f>
        <v>0 m. 3 mėn. 11 d.</v>
      </c>
      <c r="G14" s="7">
        <f>'10001352'!B15</f>
        <v>0.1</v>
      </c>
      <c r="H14" s="3">
        <f>'10001352'!B16</f>
        <v>22.13</v>
      </c>
      <c r="I14" s="6">
        <f>'10001352'!B11</f>
        <v>46341</v>
      </c>
      <c r="J14" s="6" t="str">
        <f>'10001352'!O3</f>
        <v/>
      </c>
      <c r="K14" s="17">
        <f ca="1">'10001352'!B12</f>
        <v>76</v>
      </c>
      <c r="L14" s="17" t="str">
        <f ca="1">'10001352'!P3</f>
        <v/>
      </c>
      <c r="M14" s="3">
        <f>'10001352'!K3</f>
        <v>0</v>
      </c>
      <c r="N14" s="3">
        <f>'10001352'!L3</f>
        <v>0</v>
      </c>
      <c r="O14" s="3">
        <f>'10001352'!M3</f>
        <v>0</v>
      </c>
      <c r="AC14" s="3" t="str">
        <f ca="1">'10001352'!Z3</f>
        <v/>
      </c>
    </row>
    <row r="15" spans="1:29" x14ac:dyDescent="0.25">
      <c r="A15" s="2">
        <v>13</v>
      </c>
      <c r="B15" s="6">
        <f>'10001457'!B9</f>
        <v>46263</v>
      </c>
      <c r="C15" s="26" t="str">
        <f>'10001457'!B1</f>
        <v>ID 205174291 - 10001457</v>
      </c>
      <c r="D15" s="2" t="str">
        <f>'10001457'!B2</f>
        <v>Bulgaria</v>
      </c>
      <c r="E15" s="2" t="str">
        <f>'10001457'!B3</f>
        <v>Tiberus</v>
      </c>
      <c r="F15" s="2" t="str">
        <f>'10001457'!B8</f>
        <v>1 m. 0 mėn. 17 d.</v>
      </c>
      <c r="G15" s="7">
        <f>'10001457'!B15</f>
        <v>0.11</v>
      </c>
      <c r="H15" s="3">
        <f>'10001457'!B16</f>
        <v>23.63</v>
      </c>
      <c r="I15" s="6">
        <f>'10001457'!B11</f>
        <v>46645</v>
      </c>
      <c r="J15" s="6" t="str">
        <f>'10001457'!O3</f>
        <v/>
      </c>
      <c r="K15" s="17">
        <f ca="1">'10001457'!B12</f>
        <v>380</v>
      </c>
      <c r="L15" s="17" t="str">
        <f ca="1">'10001457'!P3</f>
        <v/>
      </c>
      <c r="M15" s="3">
        <f>'10001457'!K3</f>
        <v>0</v>
      </c>
      <c r="N15" s="3">
        <f>'10001457'!L3</f>
        <v>0</v>
      </c>
      <c r="O15" s="3">
        <f>'10001457'!M3</f>
        <v>0</v>
      </c>
      <c r="AC15" s="3" t="str">
        <f ca="1">'10001457'!Z3</f>
        <v/>
      </c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1"/>
      <c r="L16" s="21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1"/>
      <c r="L17" s="21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1"/>
      <c r="L18" s="21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1"/>
      <c r="L19" s="21"/>
      <c r="M19" s="1"/>
      <c r="N19" s="1"/>
      <c r="O19" s="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8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1"/>
      <c r="L20" s="21"/>
      <c r="M20" s="1"/>
      <c r="N20" s="1"/>
      <c r="O20" s="3"/>
      <c r="Q20" s="8"/>
      <c r="R20" s="8"/>
      <c r="S20" s="31"/>
      <c r="T20" s="8"/>
      <c r="U20" s="8"/>
      <c r="V20" s="8"/>
      <c r="W20" s="8"/>
      <c r="X20" s="8"/>
      <c r="Y20" s="8"/>
      <c r="Z20" s="8"/>
      <c r="AA20" s="8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1"/>
      <c r="L21" s="21"/>
      <c r="M21" s="1"/>
      <c r="N21" s="1"/>
      <c r="O21" s="3"/>
      <c r="Q21" s="9"/>
      <c r="R21" s="9"/>
      <c r="S21" s="9"/>
      <c r="T21" s="9"/>
      <c r="U21" s="9"/>
      <c r="V21" s="9"/>
      <c r="W21" s="9"/>
      <c r="X21" s="9"/>
      <c r="Y21" s="18"/>
      <c r="Z21" s="18"/>
      <c r="AA21" s="18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1"/>
      <c r="L22" s="21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1"/>
      <c r="L23" s="21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1"/>
      <c r="L24" s="21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1"/>
      <c r="L25" s="21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1"/>
      <c r="L26" s="21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1"/>
      <c r="L27" s="21"/>
      <c r="M27" s="1"/>
      <c r="N27" s="1"/>
      <c r="O27" s="3"/>
      <c r="AC27" s="1"/>
    </row>
  </sheetData>
  <mergeCells count="9">
    <mergeCell ref="Q19:T19"/>
    <mergeCell ref="U19:V19"/>
    <mergeCell ref="W19:Z19"/>
    <mergeCell ref="A1:H1"/>
    <mergeCell ref="I1:L1"/>
    <mergeCell ref="M1:O1"/>
    <mergeCell ref="Q1:T1"/>
    <mergeCell ref="U1:V1"/>
    <mergeCell ref="W1:Z1"/>
  </mergeCells>
  <conditionalFormatting sqref="A16:N27 A3:O15">
    <cfRule type="expression" dxfId="57" priority="19">
      <formula>$AC3="+"</formula>
    </cfRule>
    <cfRule type="expression" dxfId="56" priority="20">
      <formula>AND($M3&gt;0,$H3=$M3)</formula>
    </cfRule>
  </conditionalFormatting>
  <conditionalFormatting sqref="O16:O27">
    <cfRule type="expression" dxfId="55" priority="21">
      <formula>$AD16="+"</formula>
    </cfRule>
    <cfRule type="expression" dxfId="54" priority="22">
      <formula>AND($M16&gt;0,$H16=$M16)</formula>
    </cfRule>
  </conditionalFormatting>
  <conditionalFormatting sqref="AC3:AC15">
    <cfRule type="expression" dxfId="53" priority="1">
      <formula>$AC3="+"</formula>
    </cfRule>
  </conditionalFormatting>
  <conditionalFormatting sqref="AC3:AC27">
    <cfRule type="expression" dxfId="52" priority="2">
      <formula>AND($M3&gt;0,$H3=$M3)</formula>
    </cfRule>
  </conditionalFormatting>
  <hyperlinks>
    <hyperlink ref="C3" location="'10000159'!A1" display="'10000159'!A1" xr:uid="{71EAA480-0078-4703-BAC8-E10ED5BDF303}"/>
    <hyperlink ref="C4" location="'10000160'!A1" display="'10000160'!A1" xr:uid="{96F32EA7-B2AF-40A5-923E-F3C7DFB2E8B9}"/>
    <hyperlink ref="C5" location="'10000158'!A1" display="'10000158'!A1" xr:uid="{36FF7B31-FFFD-4C3E-AF9A-63B8D8C596AC}"/>
    <hyperlink ref="C6" location="'10000170'!A1" display="'10000170'!A1" xr:uid="{EA726712-0BF9-4ABF-BAAB-6612A90A2071}"/>
    <hyperlink ref="C7" location="'10000212'!A1" display="'10000212'!A1" xr:uid="{59314674-9CB1-4844-B113-9B99FDBBB3E0}"/>
    <hyperlink ref="C8" location="'10000263'!A1" display="'10000263'!A1" xr:uid="{5AC24FAF-83A3-4A9D-BC2A-B1BD58E5895E}"/>
    <hyperlink ref="C9" location="'10000288'!A1" display="'10000288'!A1" xr:uid="{63287A83-09E0-4931-ACB3-FDCC97402A41}"/>
    <hyperlink ref="C10" location="'10000437'!A1" display="'10000437'!A1" xr:uid="{997609F9-6946-4C1A-B5D0-D09CFC889C6A}"/>
    <hyperlink ref="C11" location="'10000591'!A1" display="'10000591'!A1" xr:uid="{7B47A2A7-BE3F-43BD-BB28-A42FD0488833}"/>
    <hyperlink ref="C12" location="'10000722'!A1" display="'10000722'!A1" xr:uid="{53AFE255-A743-4FED-8BCF-22069A94522F}"/>
    <hyperlink ref="C13" location="'10001244'!A1" display="'10001244'!A1" xr:uid="{FC30CDB7-344C-44CB-ACB0-7338CE7FF85C}"/>
    <hyperlink ref="C14" location="'10001352'!A1" display="'10001352'!A1" xr:uid="{CAA6D28E-7838-4CCA-889F-481F0C1FFFCA}"/>
    <hyperlink ref="C15" location="'10001457'!A1" display="'10001457'!A1" xr:uid="{5C3D8390-547B-41DC-8956-6CBD535AD21C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D15" sqref="D15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27" t="s">
        <v>2</v>
      </c>
      <c r="B1" s="11" t="s">
        <v>9</v>
      </c>
      <c r="C1" s="11" t="s">
        <v>10</v>
      </c>
      <c r="D1" s="11" t="s">
        <v>7</v>
      </c>
      <c r="F1" s="11" t="s">
        <v>9</v>
      </c>
      <c r="G1" s="11" t="s">
        <v>10</v>
      </c>
      <c r="H1" s="11" t="s">
        <v>7</v>
      </c>
      <c r="I1" s="11" t="s">
        <v>11</v>
      </c>
      <c r="K1" s="11" t="s">
        <v>40</v>
      </c>
    </row>
    <row r="2" spans="1:11" x14ac:dyDescent="0.25">
      <c r="A2" s="6">
        <v>45962</v>
      </c>
      <c r="B2" s="3">
        <v>100</v>
      </c>
      <c r="C2" s="3">
        <v>0</v>
      </c>
      <c r="D2" s="3">
        <v>0</v>
      </c>
      <c r="F2" s="3">
        <f>SUM(B2:B35)</f>
        <v>300</v>
      </c>
      <c r="G2" s="3">
        <f>SUM(C2:C35)</f>
        <v>0</v>
      </c>
      <c r="H2" s="3">
        <f>SUM(D2:D14)</f>
        <v>1.8699999999999999</v>
      </c>
      <c r="I2" s="3">
        <f>F2-G2</f>
        <v>300</v>
      </c>
      <c r="K2" s="3">
        <f>B2*-1</f>
        <v>-100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ref="K3:K14" si="0">B3*-1</f>
        <v>-50</v>
      </c>
    </row>
    <row r="4" spans="1:11" x14ac:dyDescent="0.25">
      <c r="A4" s="6">
        <v>45986</v>
      </c>
      <c r="B4" s="3">
        <v>0</v>
      </c>
      <c r="C4" s="3">
        <v>0</v>
      </c>
      <c r="D4" s="3">
        <v>0.5</v>
      </c>
      <c r="K4" s="3">
        <f t="shared" si="0"/>
        <v>0</v>
      </c>
    </row>
    <row r="5" spans="1:11" x14ac:dyDescent="0.25">
      <c r="A5" s="6">
        <v>46006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46041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46049</v>
      </c>
      <c r="B7" s="3">
        <v>0</v>
      </c>
      <c r="C7" s="3">
        <v>0</v>
      </c>
      <c r="D7" s="3">
        <v>0.95</v>
      </c>
      <c r="K7" s="3">
        <f t="shared" si="0"/>
        <v>0</v>
      </c>
    </row>
    <row r="8" spans="1:11" x14ac:dyDescent="0.25">
      <c r="A8" s="6">
        <v>46057</v>
      </c>
      <c r="B8" s="3">
        <v>0</v>
      </c>
      <c r="C8" s="3">
        <v>0</v>
      </c>
      <c r="D8" s="3">
        <v>0.42</v>
      </c>
      <c r="K8" s="3">
        <f t="shared" si="0"/>
        <v>0</v>
      </c>
    </row>
    <row r="9" spans="1:11" x14ac:dyDescent="0.25">
      <c r="A9" s="6">
        <v>46064</v>
      </c>
      <c r="B9" s="3">
        <v>20</v>
      </c>
      <c r="C9" s="3">
        <v>0</v>
      </c>
      <c r="D9" s="3">
        <v>0</v>
      </c>
      <c r="K9" s="3">
        <f t="shared" si="0"/>
        <v>-20</v>
      </c>
    </row>
    <row r="10" spans="1:11" x14ac:dyDescent="0.25">
      <c r="A10" s="6">
        <v>46100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46131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46164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46206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>
        <v>46238</v>
      </c>
      <c r="B14" s="3">
        <v>10</v>
      </c>
      <c r="C14" s="3">
        <v>0</v>
      </c>
      <c r="D14" s="3">
        <v>0</v>
      </c>
      <c r="K14" s="3">
        <f t="shared" si="0"/>
        <v>-10</v>
      </c>
    </row>
    <row r="15" spans="1:11" x14ac:dyDescent="0.25">
      <c r="A15" s="6"/>
      <c r="B15" s="1"/>
      <c r="C15" s="1"/>
      <c r="D15" s="1"/>
      <c r="K15" s="1"/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46265</v>
      </c>
      <c r="B200" s="1"/>
      <c r="C200" s="1"/>
      <c r="D200" s="1"/>
      <c r="K200" s="28">
        <f>Overview!W3</f>
        <v>317.41000000000003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C066A-7CFC-4675-A152-C5BCCBB3FD23}">
  <dimension ref="A1:Z53"/>
  <sheetViews>
    <sheetView topLeftCell="B1" workbookViewId="0">
      <selection activeCell="B25" sqref="B2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61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39" t="s">
        <v>45</v>
      </c>
      <c r="E2" s="39" t="s">
        <v>46</v>
      </c>
      <c r="F2" s="38" t="s">
        <v>51</v>
      </c>
      <c r="G2" s="39" t="s">
        <v>12</v>
      </c>
      <c r="H2" s="39" t="s">
        <v>13</v>
      </c>
      <c r="I2" s="39" t="s">
        <v>43</v>
      </c>
      <c r="J2" s="9"/>
      <c r="K2" s="39" t="s">
        <v>0</v>
      </c>
      <c r="L2" s="39" t="s">
        <v>1</v>
      </c>
      <c r="M2" s="39" t="s">
        <v>39</v>
      </c>
      <c r="N2" s="39" t="s">
        <v>40</v>
      </c>
      <c r="O2" s="39" t="s">
        <v>2</v>
      </c>
      <c r="P2" s="39" t="s">
        <v>49</v>
      </c>
      <c r="Q2" s="39" t="s">
        <v>51</v>
      </c>
      <c r="X2" s="39" t="s">
        <v>2</v>
      </c>
      <c r="Y2" s="39" t="s">
        <v>42</v>
      </c>
      <c r="Z2" s="39" t="s">
        <v>49</v>
      </c>
    </row>
    <row r="3" spans="1:26" x14ac:dyDescent="0.25">
      <c r="A3" s="5" t="s">
        <v>20</v>
      </c>
      <c r="B3" s="6" t="s">
        <v>35</v>
      </c>
      <c r="D3" s="10">
        <v>46310</v>
      </c>
      <c r="E3" s="10"/>
      <c r="F3" s="17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46263</v>
      </c>
      <c r="Y3" s="3">
        <f>B16*-1</f>
        <v>-23.63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/>
      <c r="E4" s="10"/>
      <c r="F4" s="17"/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17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46263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46263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46645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380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23.63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1685-29BB-4A41-AE19-A366E62834D1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60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46280</v>
      </c>
      <c r="E3" s="10"/>
      <c r="F3" s="17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46238</v>
      </c>
      <c r="Y3" s="3">
        <f>B16*-1</f>
        <v>-22.13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46310</v>
      </c>
      <c r="E4" s="10"/>
      <c r="F4" s="17"/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>
        <v>46341</v>
      </c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11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46238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46234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46341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76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22.13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B129-A21F-4F7E-842A-943A1C9A9BD5}">
  <dimension ref="A1:Z53"/>
  <sheetViews>
    <sheetView workbookViewId="0">
      <selection activeCell="M26" sqref="M2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56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46249</v>
      </c>
      <c r="E3" s="10">
        <v>46249</v>
      </c>
      <c r="F3" s="17">
        <f>IF(E3&gt;0,E3-D3,"")</f>
        <v>0</v>
      </c>
      <c r="G3" s="3">
        <v>0</v>
      </c>
      <c r="H3" s="3">
        <v>0.23</v>
      </c>
      <c r="I3" s="3">
        <v>0.02</v>
      </c>
      <c r="J3" s="14"/>
      <c r="K3" s="3">
        <f>G53</f>
        <v>0</v>
      </c>
      <c r="L3" s="3">
        <f>H53</f>
        <v>0.23</v>
      </c>
      <c r="M3" s="3">
        <f>I53</f>
        <v>0.02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46210</v>
      </c>
      <c r="Y3" s="3">
        <f>B16*-1</f>
        <v>-23.27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46280</v>
      </c>
      <c r="E4" s="10"/>
      <c r="F4" s="17"/>
      <c r="G4" s="3"/>
      <c r="H4" s="2"/>
      <c r="I4" s="2"/>
      <c r="J4" s="9"/>
      <c r="X4" s="6">
        <f>E3</f>
        <v>46249</v>
      </c>
      <c r="Y4" s="3">
        <f>G3+H3-I3</f>
        <v>0.21000000000000002</v>
      </c>
    </row>
    <row r="5" spans="1:26" x14ac:dyDescent="0.25">
      <c r="A5" s="5"/>
      <c r="B5" s="6"/>
      <c r="D5" s="10">
        <v>46310</v>
      </c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46210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46209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46310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45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23.27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0.23</v>
      </c>
      <c r="I53" s="3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E005-D575-41AB-BBD1-8242CE6C9813}">
  <sheetPr>
    <tabColor rgb="FF92D050"/>
  </sheetPr>
  <dimension ref="A1:Z53"/>
  <sheetViews>
    <sheetView workbookViewId="0">
      <selection activeCell="B30" sqref="B3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55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46201</v>
      </c>
      <c r="E3" s="10">
        <v>46201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21.82</v>
      </c>
      <c r="L3" s="3">
        <f>H53</f>
        <v>0.57000000000000006</v>
      </c>
      <c r="M3" s="3">
        <f>I53</f>
        <v>0.06</v>
      </c>
      <c r="N3" s="7">
        <f>IF(B16=K3,XIRR(Y3:Y52,X3:X52),"")</f>
        <v>9.1536757349967968E-2</v>
      </c>
      <c r="O3" s="6">
        <f>IF(B16=K3,MAX(E:E),"")</f>
        <v>46262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46165</v>
      </c>
      <c r="Y3" s="3">
        <f>B16*-1</f>
        <v>-21.82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46231</v>
      </c>
      <c r="E4" s="10">
        <v>46231</v>
      </c>
      <c r="F4" s="17">
        <f t="shared" ref="F4:F10" si="0"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46201</v>
      </c>
      <c r="Y4" s="3">
        <f>G3+H3-I3</f>
        <v>0.18000000000000002</v>
      </c>
    </row>
    <row r="5" spans="1:26" x14ac:dyDescent="0.25">
      <c r="A5" s="5"/>
      <c r="B5" s="6"/>
      <c r="D5" s="10">
        <v>46262</v>
      </c>
      <c r="E5" s="10">
        <v>46262</v>
      </c>
      <c r="F5" s="17">
        <f t="shared" si="0"/>
        <v>0</v>
      </c>
      <c r="G5" s="3">
        <v>21.82</v>
      </c>
      <c r="H5" s="3">
        <v>0.19</v>
      </c>
      <c r="I5" s="3">
        <v>0.02</v>
      </c>
      <c r="J5" s="9"/>
      <c r="X5" s="6">
        <f t="shared" ref="X5:X52" si="1">E4</f>
        <v>46231</v>
      </c>
      <c r="Y5" s="3">
        <f t="shared" ref="Y5:Y52" si="2">G4+H4-I4</f>
        <v>0.16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46262</v>
      </c>
      <c r="Y6" s="3">
        <f t="shared" si="2"/>
        <v>21.990000000000002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5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46164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46262</v>
      </c>
      <c r="D11" s="10"/>
      <c r="E11" s="6"/>
      <c r="F11" s="17" t="str">
        <f t="shared" ref="F11:F52" si="3">IF(E11&gt;0,E11-D11,"")</f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 t="str">
        <f ca="1">IF(B16&lt;&gt;K3,(TODAY()-B11)*-1,"")</f>
        <v/>
      </c>
      <c r="D12" s="10"/>
      <c r="E12" s="6"/>
      <c r="F12" s="17" t="str">
        <f t="shared" si="3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3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3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3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21.82</v>
      </c>
      <c r="D16" s="10"/>
      <c r="E16" s="6"/>
      <c r="F16" s="17" t="str">
        <f t="shared" si="3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3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3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3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3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3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3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3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3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3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3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3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3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3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3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3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3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3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3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3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3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3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3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3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3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3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3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3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3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3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3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3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3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3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3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3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3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21.82</v>
      </c>
      <c r="H53" s="3">
        <f t="shared" ref="H53:I53" si="4">SUM(H3:H52)</f>
        <v>0.57000000000000006</v>
      </c>
      <c r="I53" s="3">
        <f t="shared" si="4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79F3-0213-4B39-8DBC-0E51B0F9A058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47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46170</v>
      </c>
      <c r="E3" s="10">
        <v>46170</v>
      </c>
      <c r="F3" s="17">
        <f>IF(E3&gt;0,E3-D3,"")</f>
        <v>0</v>
      </c>
      <c r="G3" s="3">
        <v>0</v>
      </c>
      <c r="H3" s="3">
        <v>0.23</v>
      </c>
      <c r="I3" s="3">
        <v>0.02</v>
      </c>
      <c r="J3" s="14"/>
      <c r="K3" s="3">
        <f>G53</f>
        <v>0</v>
      </c>
      <c r="L3" s="3">
        <f>H53</f>
        <v>0.88</v>
      </c>
      <c r="M3" s="3">
        <f>I53</f>
        <v>0.08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46133</v>
      </c>
      <c r="Y3" s="3">
        <f>B16*-1</f>
        <v>-21.56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46201</v>
      </c>
      <c r="E4" s="10">
        <v>46201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46170</v>
      </c>
      <c r="Y4" s="3">
        <f>G3+H3-I3</f>
        <v>0.21000000000000002</v>
      </c>
    </row>
    <row r="5" spans="1:26" x14ac:dyDescent="0.25">
      <c r="A5" s="5"/>
      <c r="B5" s="6"/>
      <c r="D5" s="10">
        <v>46231</v>
      </c>
      <c r="E5" s="10">
        <v>46231</v>
      </c>
      <c r="F5" s="17">
        <f t="shared" ref="F5:F52" si="0">IF(E5&gt;0,E5-D5,"")</f>
        <v>0</v>
      </c>
      <c r="G5" s="3">
        <v>0</v>
      </c>
      <c r="H5" s="3">
        <v>0.21</v>
      </c>
      <c r="I5" s="3">
        <v>0.02</v>
      </c>
      <c r="J5" s="9"/>
      <c r="X5" s="6">
        <f t="shared" ref="X5:X52" si="1">E4</f>
        <v>46201</v>
      </c>
      <c r="Y5" s="3">
        <f t="shared" ref="Y5:Y52" si="2">G4+H4-I4</f>
        <v>0.2</v>
      </c>
    </row>
    <row r="6" spans="1:26" x14ac:dyDescent="0.25">
      <c r="A6" s="5"/>
      <c r="B6" s="6"/>
      <c r="D6" s="10">
        <v>46262</v>
      </c>
      <c r="E6" s="10">
        <v>46262</v>
      </c>
      <c r="F6" s="17">
        <f t="shared" si="0"/>
        <v>0</v>
      </c>
      <c r="G6" s="3">
        <v>0</v>
      </c>
      <c r="H6" s="3">
        <v>0.22</v>
      </c>
      <c r="I6" s="2">
        <v>0.02</v>
      </c>
      <c r="J6" s="9"/>
      <c r="X6" s="6">
        <f t="shared" si="1"/>
        <v>46231</v>
      </c>
      <c r="Y6" s="3">
        <f t="shared" si="2"/>
        <v>0.19</v>
      </c>
    </row>
    <row r="7" spans="1:26" x14ac:dyDescent="0.25">
      <c r="A7" s="5"/>
      <c r="B7" s="6"/>
      <c r="D7" s="10">
        <v>46293</v>
      </c>
      <c r="E7" s="10"/>
      <c r="F7" s="17" t="str">
        <f t="shared" si="0"/>
        <v/>
      </c>
      <c r="G7" s="3"/>
      <c r="H7" s="2"/>
      <c r="I7" s="2"/>
      <c r="J7" s="14"/>
      <c r="X7" s="6">
        <f t="shared" si="1"/>
        <v>46262</v>
      </c>
      <c r="Y7" s="3">
        <f t="shared" si="2"/>
        <v>0.2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7 d.</v>
      </c>
      <c r="D8" s="10">
        <v>46323</v>
      </c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46133</v>
      </c>
      <c r="D9" s="10">
        <v>46354</v>
      </c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46137</v>
      </c>
      <c r="D10" s="10">
        <v>46384</v>
      </c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46505</v>
      </c>
      <c r="D11" s="10">
        <v>46415</v>
      </c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240</v>
      </c>
      <c r="D12" s="10">
        <v>46446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46474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46505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21.56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0.88</v>
      </c>
      <c r="I53" s="3">
        <f t="shared" si="3"/>
        <v>0.08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9">
      <formula>$Z$3="+"</formula>
    </cfRule>
  </conditionalFormatting>
  <conditionalFormatting sqref="Z3">
    <cfRule type="expression" dxfId="36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2114-51C2-4C21-92BC-1004D7B25863}">
  <dimension ref="A1:Z53"/>
  <sheetViews>
    <sheetView workbookViewId="0">
      <selection activeCell="K17" sqref="K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38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46140</v>
      </c>
      <c r="E3" s="10">
        <v>46140</v>
      </c>
      <c r="F3" s="17">
        <f>IF(E3&gt;0,E3-D3,"")</f>
        <v>0</v>
      </c>
      <c r="G3" s="3">
        <v>0</v>
      </c>
      <c r="H3" s="3">
        <v>0.35</v>
      </c>
      <c r="I3" s="3">
        <v>0.04</v>
      </c>
      <c r="J3" s="14"/>
      <c r="K3" s="3">
        <f>G53</f>
        <v>0</v>
      </c>
      <c r="L3" s="3">
        <f>H53</f>
        <v>1.53</v>
      </c>
      <c r="M3" s="3">
        <f>I53</f>
        <v>0.16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46101</v>
      </c>
      <c r="Y3" s="3">
        <f>B16*-1</f>
        <v>-22.16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46170</v>
      </c>
      <c r="E4" s="10">
        <v>46170</v>
      </c>
      <c r="F4" s="17">
        <v>0</v>
      </c>
      <c r="G4" s="3">
        <v>0</v>
      </c>
      <c r="H4" s="2">
        <v>0.28999999999999998</v>
      </c>
      <c r="I4" s="2">
        <v>0.03</v>
      </c>
      <c r="J4" s="9"/>
      <c r="X4" s="6">
        <f>E3</f>
        <v>46140</v>
      </c>
      <c r="Y4" s="3">
        <f>G3+H3-I3</f>
        <v>0.31</v>
      </c>
    </row>
    <row r="5" spans="1:26" x14ac:dyDescent="0.25">
      <c r="A5" s="5"/>
      <c r="B5" s="6"/>
      <c r="D5" s="10">
        <v>46201</v>
      </c>
      <c r="E5" s="10">
        <v>46201</v>
      </c>
      <c r="F5" s="17">
        <f t="shared" ref="F5:F52" si="0">IF(E5&gt;0,E5-D5,"")</f>
        <v>0</v>
      </c>
      <c r="G5" s="3">
        <v>0</v>
      </c>
      <c r="H5" s="3">
        <v>0.3</v>
      </c>
      <c r="I5" s="3">
        <v>0.03</v>
      </c>
      <c r="J5" s="9"/>
      <c r="X5" s="6">
        <f t="shared" ref="X5:X52" si="1">E4</f>
        <v>46170</v>
      </c>
      <c r="Y5" s="3">
        <f t="shared" ref="Y5:Y52" si="2">G4+H4-I4</f>
        <v>0.26</v>
      </c>
    </row>
    <row r="6" spans="1:26" x14ac:dyDescent="0.25">
      <c r="A6" s="5"/>
      <c r="B6" s="6"/>
      <c r="D6" s="10">
        <v>46231</v>
      </c>
      <c r="E6" s="10">
        <v>46231</v>
      </c>
      <c r="F6" s="17">
        <f t="shared" si="0"/>
        <v>0</v>
      </c>
      <c r="G6" s="3">
        <v>0</v>
      </c>
      <c r="H6" s="3">
        <v>0.28999999999999998</v>
      </c>
      <c r="I6" s="2">
        <v>0.03</v>
      </c>
      <c r="J6" s="9"/>
      <c r="X6" s="6">
        <f t="shared" si="1"/>
        <v>46201</v>
      </c>
      <c r="Y6" s="3">
        <f t="shared" si="2"/>
        <v>0.27</v>
      </c>
    </row>
    <row r="7" spans="1:26" x14ac:dyDescent="0.25">
      <c r="A7" s="5"/>
      <c r="B7" s="6"/>
      <c r="D7" s="10">
        <v>46262</v>
      </c>
      <c r="E7" s="10">
        <v>46262</v>
      </c>
      <c r="F7" s="17">
        <f t="shared" si="0"/>
        <v>0</v>
      </c>
      <c r="G7" s="3">
        <v>0</v>
      </c>
      <c r="H7" s="3">
        <v>0.3</v>
      </c>
      <c r="I7" s="2">
        <v>0.03</v>
      </c>
      <c r="J7" s="14"/>
      <c r="X7" s="6">
        <f t="shared" si="1"/>
        <v>46231</v>
      </c>
      <c r="Y7" s="3">
        <f t="shared" si="2"/>
        <v>0.26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3 m. 0 mėn. 8 d.</v>
      </c>
      <c r="D8" s="10">
        <v>46293</v>
      </c>
      <c r="E8" s="6"/>
      <c r="F8" s="17" t="str">
        <f t="shared" si="0"/>
        <v/>
      </c>
      <c r="G8" s="3"/>
      <c r="H8" s="3"/>
      <c r="I8" s="2"/>
      <c r="J8" s="9"/>
      <c r="X8" s="6">
        <f t="shared" si="1"/>
        <v>46262</v>
      </c>
      <c r="Y8" s="3">
        <f t="shared" si="2"/>
        <v>0.27</v>
      </c>
    </row>
    <row r="9" spans="1:26" x14ac:dyDescent="0.25">
      <c r="A9" s="5" t="s">
        <v>8</v>
      </c>
      <c r="B9" s="6">
        <v>46101</v>
      </c>
      <c r="D9" s="10">
        <v>46323</v>
      </c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46104</v>
      </c>
      <c r="D10" s="10">
        <v>46354</v>
      </c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47205</v>
      </c>
      <c r="D11" s="10">
        <v>46384</v>
      </c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940</v>
      </c>
      <c r="D12" s="10">
        <v>46415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46446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46474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0.16</v>
      </c>
      <c r="D15" s="10">
        <v>46505</v>
      </c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22.16</v>
      </c>
      <c r="D16" s="10">
        <v>46535</v>
      </c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>
        <v>46566</v>
      </c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>
        <v>46596</v>
      </c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>
        <v>46627</v>
      </c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>
        <v>46658</v>
      </c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>
        <v>46688</v>
      </c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>
        <v>46719</v>
      </c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>
        <v>46749</v>
      </c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>
        <v>46780</v>
      </c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>
        <v>46811</v>
      </c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>
        <v>46840</v>
      </c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>
        <v>46871</v>
      </c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>
        <v>46901</v>
      </c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>
        <v>46932</v>
      </c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>
        <v>46962</v>
      </c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>
        <v>46993</v>
      </c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>
        <v>47024</v>
      </c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>
        <v>47054</v>
      </c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>
        <v>47085</v>
      </c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>
        <v>47115</v>
      </c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>
        <v>47146</v>
      </c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>
        <v>47177</v>
      </c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>
        <v>47205</v>
      </c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1.53</v>
      </c>
      <c r="I53" s="3">
        <f t="shared" si="3"/>
        <v>0.16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7">
      <formula>$Z$3="+"</formula>
    </cfRule>
  </conditionalFormatting>
  <conditionalFormatting sqref="Z3">
    <cfRule type="expression" dxfId="3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D5263-CE33-4927-93AA-6232274D84F9}"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36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0.22</v>
      </c>
      <c r="I3" s="3">
        <v>0.02</v>
      </c>
      <c r="J3" s="14"/>
      <c r="K3" s="3">
        <f>G53</f>
        <v>0</v>
      </c>
      <c r="L3" s="3">
        <f>H53</f>
        <v>1.32</v>
      </c>
      <c r="M3" s="3">
        <f>I53</f>
        <v>0.12000000000000001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46065</v>
      </c>
      <c r="Y3" s="3">
        <f>B16*-1</f>
        <v>-21.97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46096</v>
      </c>
      <c r="Y4" s="3">
        <f>G3+H3-I3</f>
        <v>0.2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0.22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0.2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0.22</v>
      </c>
      <c r="I6" s="2">
        <v>0.02</v>
      </c>
      <c r="J6" s="9"/>
      <c r="X6" s="6">
        <f t="shared" si="1"/>
        <v>46157</v>
      </c>
      <c r="Y6" s="3">
        <f t="shared" si="2"/>
        <v>0.2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0.22</v>
      </c>
      <c r="I7" s="2">
        <v>0.02</v>
      </c>
      <c r="J7" s="14"/>
      <c r="X7" s="6">
        <f t="shared" si="1"/>
        <v>46188</v>
      </c>
      <c r="Y7" s="3">
        <f t="shared" si="2"/>
        <v>0.2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46249</v>
      </c>
      <c r="E8" s="6">
        <v>46249</v>
      </c>
      <c r="F8" s="17">
        <f t="shared" si="0"/>
        <v>0</v>
      </c>
      <c r="G8" s="3">
        <v>0</v>
      </c>
      <c r="H8" s="3">
        <v>0.22</v>
      </c>
      <c r="I8" s="2">
        <v>0.02</v>
      </c>
      <c r="J8" s="9"/>
      <c r="X8" s="6">
        <f t="shared" si="1"/>
        <v>46218</v>
      </c>
      <c r="Y8" s="3">
        <f t="shared" si="2"/>
        <v>0.2</v>
      </c>
    </row>
    <row r="9" spans="1:26" x14ac:dyDescent="0.25">
      <c r="A9" s="5" t="s">
        <v>8</v>
      </c>
      <c r="B9" s="6">
        <v>46065</v>
      </c>
      <c r="D9" s="10">
        <v>46280</v>
      </c>
      <c r="E9" s="6"/>
      <c r="F9" s="17" t="str">
        <f t="shared" si="0"/>
        <v/>
      </c>
      <c r="G9" s="3"/>
      <c r="H9" s="3"/>
      <c r="I9" s="3"/>
      <c r="J9" s="14"/>
      <c r="X9" s="6">
        <f t="shared" si="1"/>
        <v>46249</v>
      </c>
      <c r="Y9" s="3">
        <f t="shared" si="2"/>
        <v>0.2</v>
      </c>
    </row>
    <row r="10" spans="1:26" x14ac:dyDescent="0.25">
      <c r="A10" s="5" t="s">
        <v>24</v>
      </c>
      <c r="B10" s="6">
        <v>46066</v>
      </c>
      <c r="D10" s="10">
        <v>46310</v>
      </c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>
        <v>46341</v>
      </c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168</v>
      </c>
      <c r="D12" s="10">
        <v>46371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46402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46433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21.97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1.32</v>
      </c>
      <c r="I53" s="3">
        <f t="shared" si="3"/>
        <v>0.12000000000000001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1398-82DC-4A18-83BA-B3E07706D6C6}"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34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0.3</v>
      </c>
      <c r="I3" s="3">
        <v>0.03</v>
      </c>
      <c r="J3" s="14"/>
      <c r="K3" s="3">
        <f>G53</f>
        <v>0</v>
      </c>
      <c r="L3" s="3">
        <f>H53</f>
        <v>1.18</v>
      </c>
      <c r="M3" s="3">
        <f>I53</f>
        <v>0.13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46042</v>
      </c>
      <c r="Y3" s="3">
        <f>B16*-1</f>
        <v>-21.2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46096</v>
      </c>
      <c r="Y4" s="3">
        <f>G3+H3-I3</f>
        <v>0.27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0.17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0.16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0.18</v>
      </c>
      <c r="I6" s="2">
        <v>0.02</v>
      </c>
      <c r="J6" s="9"/>
      <c r="X6" s="6">
        <f t="shared" si="1"/>
        <v>46157</v>
      </c>
      <c r="Y6" s="3">
        <f t="shared" si="2"/>
        <v>0.15000000000000002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0.17</v>
      </c>
      <c r="I7" s="2">
        <v>0.02</v>
      </c>
      <c r="J7" s="14"/>
      <c r="X7" s="6">
        <f t="shared" si="1"/>
        <v>46188</v>
      </c>
      <c r="Y7" s="3">
        <f t="shared" si="2"/>
        <v>0.16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26 d.</v>
      </c>
      <c r="D8" s="10">
        <v>46249</v>
      </c>
      <c r="E8" s="6">
        <v>46249</v>
      </c>
      <c r="F8" s="17">
        <f t="shared" si="0"/>
        <v>0</v>
      </c>
      <c r="G8" s="3">
        <v>0</v>
      </c>
      <c r="H8" s="3">
        <v>0.18</v>
      </c>
      <c r="I8" s="2">
        <v>0.02</v>
      </c>
      <c r="J8" s="9"/>
      <c r="X8" s="6">
        <f t="shared" si="1"/>
        <v>46218</v>
      </c>
      <c r="Y8" s="3">
        <f t="shared" si="2"/>
        <v>0.15000000000000002</v>
      </c>
    </row>
    <row r="9" spans="1:26" x14ac:dyDescent="0.25">
      <c r="A9" s="5" t="s">
        <v>8</v>
      </c>
      <c r="B9" s="6">
        <v>46042</v>
      </c>
      <c r="D9" s="10">
        <v>46280</v>
      </c>
      <c r="E9" s="6"/>
      <c r="F9" s="17" t="str">
        <f t="shared" si="0"/>
        <v/>
      </c>
      <c r="G9" s="3"/>
      <c r="H9" s="3"/>
      <c r="I9" s="3"/>
      <c r="J9" s="14"/>
      <c r="X9" s="6">
        <f t="shared" si="1"/>
        <v>46249</v>
      </c>
      <c r="Y9" s="3">
        <f t="shared" si="2"/>
        <v>0.16</v>
      </c>
    </row>
    <row r="10" spans="1:26" x14ac:dyDescent="0.25">
      <c r="A10" s="5" t="s">
        <v>24</v>
      </c>
      <c r="B10" s="6">
        <v>46045</v>
      </c>
      <c r="D10" s="10">
        <v>46310</v>
      </c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>
        <v>46341</v>
      </c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168</v>
      </c>
      <c r="D12" s="10">
        <v>46371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46402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46433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21.2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1.18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7">
      <formula>$Z$3="+"</formula>
    </cfRule>
  </conditionalFormatting>
  <conditionalFormatting sqref="Z3">
    <cfRule type="expression" dxfId="2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9BB0F-4DAC-47C2-A73D-F62E2AA7D40E}">
  <dimension ref="A1:Z53"/>
  <sheetViews>
    <sheetView workbookViewId="0">
      <selection activeCell="M14" sqref="M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32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33</v>
      </c>
      <c r="D3" s="10">
        <v>46041</v>
      </c>
      <c r="E3" s="10">
        <v>46041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1.5599999999999998</v>
      </c>
      <c r="M3" s="3">
        <f>I53</f>
        <v>0.16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46007</v>
      </c>
      <c r="Y3" s="3">
        <f>B16*-1</f>
        <v>-21.49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46072</v>
      </c>
      <c r="E4" s="10">
        <v>46072</v>
      </c>
      <c r="F4" s="17">
        <f>IF(E4&gt;0,E4-D4,"")</f>
        <v>0</v>
      </c>
      <c r="G4" s="3">
        <v>0</v>
      </c>
      <c r="H4" s="3">
        <v>0.2</v>
      </c>
      <c r="I4" s="2">
        <v>0.02</v>
      </c>
      <c r="J4" s="9"/>
      <c r="X4" s="6">
        <f>E3</f>
        <v>46041</v>
      </c>
      <c r="Y4" s="3">
        <f>G3+H3-I3</f>
        <v>0.18000000000000002</v>
      </c>
    </row>
    <row r="5" spans="1:26" x14ac:dyDescent="0.25">
      <c r="A5" s="5"/>
      <c r="B5" s="6"/>
      <c r="D5" s="10">
        <v>46100</v>
      </c>
      <c r="E5" s="10">
        <v>46100</v>
      </c>
      <c r="F5" s="17">
        <f t="shared" ref="F5:F52" si="0">IF(E5&gt;0,E5-D5,"")</f>
        <v>0</v>
      </c>
      <c r="G5" s="3">
        <v>0</v>
      </c>
      <c r="H5" s="3">
        <v>0.18</v>
      </c>
      <c r="I5" s="3">
        <v>0.02</v>
      </c>
      <c r="J5" s="9"/>
      <c r="X5" s="6">
        <f t="shared" ref="X5:X52" si="1">E4</f>
        <v>46072</v>
      </c>
      <c r="Y5" s="3">
        <f t="shared" ref="Y5:Y52" si="2">G4+H4-I4</f>
        <v>0.18000000000000002</v>
      </c>
    </row>
    <row r="6" spans="1:26" x14ac:dyDescent="0.25">
      <c r="A6" s="5"/>
      <c r="B6" s="6"/>
      <c r="D6" s="10">
        <v>46131</v>
      </c>
      <c r="E6" s="10">
        <v>46131</v>
      </c>
      <c r="F6" s="17">
        <f t="shared" si="0"/>
        <v>0</v>
      </c>
      <c r="G6" s="3">
        <v>0</v>
      </c>
      <c r="H6" s="3">
        <v>0.2</v>
      </c>
      <c r="I6" s="2">
        <v>0.02</v>
      </c>
      <c r="J6" s="9"/>
      <c r="X6" s="6">
        <f t="shared" si="1"/>
        <v>46100</v>
      </c>
      <c r="Y6" s="3">
        <f t="shared" si="2"/>
        <v>0.16</v>
      </c>
    </row>
    <row r="7" spans="1:26" x14ac:dyDescent="0.25">
      <c r="A7" s="5"/>
      <c r="B7" s="6"/>
      <c r="D7" s="10">
        <v>46161</v>
      </c>
      <c r="E7" s="10">
        <v>46161</v>
      </c>
      <c r="F7" s="17">
        <f t="shared" si="0"/>
        <v>0</v>
      </c>
      <c r="G7" s="3">
        <v>0</v>
      </c>
      <c r="H7" s="2">
        <v>0.19</v>
      </c>
      <c r="I7" s="2">
        <v>0.02</v>
      </c>
      <c r="J7" s="14"/>
      <c r="X7" s="6">
        <f t="shared" si="1"/>
        <v>46131</v>
      </c>
      <c r="Y7" s="3">
        <f t="shared" si="2"/>
        <v>0.18000000000000002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46192</v>
      </c>
      <c r="E8" s="6">
        <v>46192</v>
      </c>
      <c r="F8" s="17">
        <f t="shared" si="0"/>
        <v>0</v>
      </c>
      <c r="G8" s="3">
        <v>0</v>
      </c>
      <c r="H8" s="3">
        <v>0.2</v>
      </c>
      <c r="I8" s="2">
        <v>0.02</v>
      </c>
      <c r="J8" s="9"/>
      <c r="X8" s="6">
        <f t="shared" si="1"/>
        <v>46161</v>
      </c>
      <c r="Y8" s="3">
        <f t="shared" si="2"/>
        <v>0.17</v>
      </c>
    </row>
    <row r="9" spans="1:26" x14ac:dyDescent="0.25">
      <c r="A9" s="5" t="s">
        <v>8</v>
      </c>
      <c r="B9" s="6">
        <v>46007</v>
      </c>
      <c r="D9" s="10">
        <v>46222</v>
      </c>
      <c r="E9" s="6">
        <v>46222</v>
      </c>
      <c r="F9" s="17">
        <f t="shared" si="0"/>
        <v>0</v>
      </c>
      <c r="G9" s="3">
        <v>0</v>
      </c>
      <c r="H9" s="3">
        <v>0.19</v>
      </c>
      <c r="I9" s="3">
        <v>0.02</v>
      </c>
      <c r="J9" s="14"/>
      <c r="X9" s="6">
        <f t="shared" si="1"/>
        <v>46192</v>
      </c>
      <c r="Y9" s="3">
        <f t="shared" si="2"/>
        <v>0.18000000000000002</v>
      </c>
    </row>
    <row r="10" spans="1:26" x14ac:dyDescent="0.25">
      <c r="A10" s="5" t="s">
        <v>24</v>
      </c>
      <c r="B10" s="6">
        <v>46010</v>
      </c>
      <c r="D10" s="10">
        <v>46253</v>
      </c>
      <c r="E10" s="6">
        <v>46253</v>
      </c>
      <c r="F10" s="17">
        <f t="shared" si="0"/>
        <v>0</v>
      </c>
      <c r="G10" s="3">
        <v>0</v>
      </c>
      <c r="H10" s="3">
        <v>0.2</v>
      </c>
      <c r="I10" s="2">
        <v>0.02</v>
      </c>
      <c r="J10" s="14"/>
      <c r="X10" s="6">
        <f t="shared" si="1"/>
        <v>46222</v>
      </c>
      <c r="Y10" s="3">
        <f t="shared" si="2"/>
        <v>0.17</v>
      </c>
    </row>
    <row r="11" spans="1:26" x14ac:dyDescent="0.25">
      <c r="A11" s="5" t="s">
        <v>44</v>
      </c>
      <c r="B11" s="6">
        <v>46375</v>
      </c>
      <c r="D11" s="10">
        <v>46284</v>
      </c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46253</v>
      </c>
      <c r="Y11" s="3">
        <f t="shared" si="2"/>
        <v>0.18000000000000002</v>
      </c>
    </row>
    <row r="12" spans="1:26" x14ac:dyDescent="0.25">
      <c r="A12" s="5" t="s">
        <v>52</v>
      </c>
      <c r="B12" s="17">
        <f ca="1">IF(B16&lt;&gt;K3,(TODAY()-B11)*-1,"")</f>
        <v>110</v>
      </c>
      <c r="D12" s="10">
        <v>46314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>
        <v>46345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46375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21.49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1.5599999999999998</v>
      </c>
      <c r="I53" s="3">
        <f t="shared" si="3"/>
        <v>0.16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D5732-D270-469F-AE8D-DB41E9FD857B}">
  <dimension ref="A1:Z53"/>
  <sheetViews>
    <sheetView workbookViewId="0">
      <selection activeCell="L14" sqref="L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27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28</v>
      </c>
      <c r="D3" s="10">
        <v>46005</v>
      </c>
      <c r="E3" s="10">
        <v>46005</v>
      </c>
      <c r="F3" s="17">
        <f>IF(E3&gt;0,E3-D3,"")</f>
        <v>0</v>
      </c>
      <c r="G3" s="3">
        <v>0</v>
      </c>
      <c r="H3" s="3">
        <v>0.45</v>
      </c>
      <c r="I3" s="3">
        <v>0.05</v>
      </c>
      <c r="J3" s="14"/>
      <c r="K3" s="3">
        <f>G53</f>
        <v>0</v>
      </c>
      <c r="L3" s="3">
        <f>H53</f>
        <v>4.12</v>
      </c>
      <c r="M3" s="3">
        <f>I53</f>
        <v>0.44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45972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46036</v>
      </c>
      <c r="E4" s="10">
        <v>46036</v>
      </c>
      <c r="F4" s="17">
        <f>IF(E4&gt;0,E4-D4,"")</f>
        <v>0</v>
      </c>
      <c r="G4" s="3">
        <v>0</v>
      </c>
      <c r="H4" s="3">
        <v>0.47</v>
      </c>
      <c r="I4" s="3">
        <v>0.05</v>
      </c>
      <c r="J4" s="9"/>
      <c r="X4" s="6">
        <f>E3</f>
        <v>46005</v>
      </c>
      <c r="Y4" s="3">
        <f>G3+H3-I3</f>
        <v>0.4</v>
      </c>
    </row>
    <row r="5" spans="1:26" x14ac:dyDescent="0.25">
      <c r="A5" s="5"/>
      <c r="B5" s="6"/>
      <c r="D5" s="10">
        <v>46067</v>
      </c>
      <c r="E5" s="10">
        <v>46067</v>
      </c>
      <c r="F5" s="17">
        <f t="shared" ref="F5:F52" si="0">IF(E5&gt;0,E5-D5,"")</f>
        <v>0</v>
      </c>
      <c r="G5" s="3">
        <v>0</v>
      </c>
      <c r="H5" s="2">
        <v>0.47</v>
      </c>
      <c r="I5" s="2">
        <v>0.05</v>
      </c>
      <c r="J5" s="9"/>
      <c r="X5" s="6">
        <f t="shared" ref="X5:X52" si="1">E4</f>
        <v>46036</v>
      </c>
      <c r="Y5" s="3">
        <f t="shared" ref="Y5:Y52" si="2">G4+H4-I4</f>
        <v>0.42</v>
      </c>
    </row>
    <row r="6" spans="1:26" x14ac:dyDescent="0.25">
      <c r="A6" s="5"/>
      <c r="B6" s="6"/>
      <c r="D6" s="10">
        <v>46095</v>
      </c>
      <c r="E6" s="10">
        <v>46095</v>
      </c>
      <c r="F6" s="17">
        <f t="shared" si="0"/>
        <v>0</v>
      </c>
      <c r="G6" s="3">
        <v>0</v>
      </c>
      <c r="H6" s="3">
        <v>0.42</v>
      </c>
      <c r="I6" s="3">
        <v>0.04</v>
      </c>
      <c r="J6" s="9"/>
      <c r="X6" s="6">
        <f t="shared" si="1"/>
        <v>46067</v>
      </c>
      <c r="Y6" s="3">
        <f t="shared" si="2"/>
        <v>0.42</v>
      </c>
    </row>
    <row r="7" spans="1:26" x14ac:dyDescent="0.25">
      <c r="A7" s="5"/>
      <c r="B7" s="6"/>
      <c r="D7" s="10">
        <v>46126</v>
      </c>
      <c r="E7" s="10">
        <v>46126</v>
      </c>
      <c r="F7" s="17">
        <f t="shared" si="0"/>
        <v>0</v>
      </c>
      <c r="G7" s="3">
        <v>0</v>
      </c>
      <c r="H7" s="2">
        <v>0.47</v>
      </c>
      <c r="I7" s="2">
        <v>0.05</v>
      </c>
      <c r="J7" s="14"/>
      <c r="X7" s="6">
        <f t="shared" si="1"/>
        <v>46095</v>
      </c>
      <c r="Y7" s="3">
        <f t="shared" si="2"/>
        <v>0.38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46156</v>
      </c>
      <c r="E8" s="6">
        <v>46156</v>
      </c>
      <c r="F8" s="17">
        <f t="shared" si="0"/>
        <v>0</v>
      </c>
      <c r="G8" s="3">
        <v>0</v>
      </c>
      <c r="H8" s="3">
        <v>0.45</v>
      </c>
      <c r="I8" s="2">
        <v>0.05</v>
      </c>
      <c r="J8" s="9"/>
      <c r="X8" s="6">
        <f t="shared" si="1"/>
        <v>46126</v>
      </c>
      <c r="Y8" s="3">
        <f t="shared" si="2"/>
        <v>0.42</v>
      </c>
    </row>
    <row r="9" spans="1:26" x14ac:dyDescent="0.25">
      <c r="A9" s="5" t="s">
        <v>8</v>
      </c>
      <c r="B9" s="6">
        <v>45972</v>
      </c>
      <c r="D9" s="10">
        <v>46187</v>
      </c>
      <c r="E9" s="6">
        <v>46187</v>
      </c>
      <c r="F9" s="17">
        <f t="shared" si="0"/>
        <v>0</v>
      </c>
      <c r="G9" s="3">
        <v>0</v>
      </c>
      <c r="H9" s="3">
        <v>0.47</v>
      </c>
      <c r="I9" s="3">
        <v>0.05</v>
      </c>
      <c r="J9" s="14"/>
      <c r="X9" s="6">
        <f t="shared" si="1"/>
        <v>46156</v>
      </c>
      <c r="Y9" s="3">
        <f t="shared" si="2"/>
        <v>0.4</v>
      </c>
    </row>
    <row r="10" spans="1:26" x14ac:dyDescent="0.25">
      <c r="A10" s="5" t="s">
        <v>24</v>
      </c>
      <c r="B10" s="6">
        <v>45975</v>
      </c>
      <c r="D10" s="10">
        <v>46217</v>
      </c>
      <c r="E10" s="6">
        <v>46217</v>
      </c>
      <c r="F10" s="17">
        <f t="shared" si="0"/>
        <v>0</v>
      </c>
      <c r="G10" s="3">
        <v>0</v>
      </c>
      <c r="H10" s="2">
        <v>0.45</v>
      </c>
      <c r="I10" s="2">
        <v>0.05</v>
      </c>
      <c r="J10" s="14"/>
      <c r="X10" s="6">
        <f t="shared" si="1"/>
        <v>46187</v>
      </c>
      <c r="Y10" s="3">
        <f t="shared" si="2"/>
        <v>0.42</v>
      </c>
    </row>
    <row r="11" spans="1:26" x14ac:dyDescent="0.25">
      <c r="A11" s="5" t="s">
        <v>44</v>
      </c>
      <c r="B11" s="6">
        <v>46340</v>
      </c>
      <c r="D11" s="10">
        <v>46248</v>
      </c>
      <c r="E11" s="6">
        <v>46248</v>
      </c>
      <c r="F11" s="17">
        <f t="shared" si="0"/>
        <v>0</v>
      </c>
      <c r="G11" s="3">
        <v>0</v>
      </c>
      <c r="H11" s="2">
        <v>0.47</v>
      </c>
      <c r="I11" s="2">
        <v>0.05</v>
      </c>
      <c r="J11" s="14"/>
      <c r="X11" s="6">
        <f t="shared" si="1"/>
        <v>46217</v>
      </c>
      <c r="Y11" s="3">
        <f t="shared" si="2"/>
        <v>0.4</v>
      </c>
    </row>
    <row r="12" spans="1:26" x14ac:dyDescent="0.25">
      <c r="A12" s="5" t="s">
        <v>52</v>
      </c>
      <c r="B12" s="17">
        <f ca="1">IF(B16&lt;&gt;K3,(TODAY()-B11)*-1,"")</f>
        <v>75</v>
      </c>
      <c r="D12" s="10">
        <v>46279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46248</v>
      </c>
      <c r="Y12" s="3">
        <f t="shared" si="2"/>
        <v>0.42</v>
      </c>
    </row>
    <row r="13" spans="1:26" x14ac:dyDescent="0.25">
      <c r="A13" s="5"/>
      <c r="B13" s="3"/>
      <c r="D13" s="10">
        <v>46309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46340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50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4.12</v>
      </c>
      <c r="I53" s="3">
        <f t="shared" si="3"/>
        <v>0.44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231A-5892-4EFF-BD83-B2EFEC23A29B}">
  <sheetPr>
    <tabColor rgb="FF92D050"/>
  </sheetPr>
  <dimension ref="A1:Z53"/>
  <sheetViews>
    <sheetView workbookViewId="0">
      <selection activeCell="G12" sqref="G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26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0.06</v>
      </c>
      <c r="I3" s="3">
        <v>0.01</v>
      </c>
      <c r="J3" s="14"/>
      <c r="K3" s="3">
        <f>G53</f>
        <v>10</v>
      </c>
      <c r="L3" s="3">
        <f>H53</f>
        <v>0.54</v>
      </c>
      <c r="M3" s="3">
        <f>I53</f>
        <v>0.09</v>
      </c>
      <c r="N3" s="7">
        <f>IF(B16=K3,XIRR(Y3:Y52,X3:X52),"")</f>
        <v>6.1380931735038752E-2</v>
      </c>
      <c r="O3" s="6">
        <f>IF(B16=K3,MAX(E:E),"")</f>
        <v>46237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0.06</v>
      </c>
      <c r="I4" s="2">
        <v>0.01</v>
      </c>
      <c r="J4" s="9"/>
      <c r="X4" s="6">
        <f>E3</f>
        <v>45994</v>
      </c>
      <c r="Y4" s="3">
        <f>G3+H3-I3</f>
        <v>4.9999999999999996E-2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0.06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4.9999999999999996E-2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0.06</v>
      </c>
      <c r="I6" s="2">
        <v>0.01</v>
      </c>
      <c r="J6" s="9"/>
      <c r="X6" s="6">
        <f t="shared" si="1"/>
        <v>46056</v>
      </c>
      <c r="Y6" s="3">
        <f t="shared" si="2"/>
        <v>4.9999999999999996E-2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0.06</v>
      </c>
      <c r="I7" s="3">
        <v>0.01</v>
      </c>
      <c r="J7" s="14"/>
      <c r="X7" s="6">
        <f t="shared" si="1"/>
        <v>46084</v>
      </c>
      <c r="Y7" s="3">
        <f t="shared" si="2"/>
        <v>4.9999999999999996E-2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9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0.06</v>
      </c>
      <c r="I8" s="2">
        <v>0.01</v>
      </c>
      <c r="J8" s="9"/>
      <c r="X8" s="6">
        <f t="shared" si="1"/>
        <v>46115</v>
      </c>
      <c r="Y8" s="3">
        <f t="shared" si="2"/>
        <v>4.9999999999999996E-2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0.06</v>
      </c>
      <c r="I9" s="3">
        <v>0.01</v>
      </c>
      <c r="J9" s="14"/>
      <c r="X9" s="6">
        <f t="shared" si="1"/>
        <v>46147</v>
      </c>
      <c r="Y9" s="3">
        <f t="shared" si="2"/>
        <v>4.9999999999999996E-2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0.06</v>
      </c>
      <c r="I10" s="2">
        <v>0.01</v>
      </c>
      <c r="J10" s="14"/>
      <c r="X10" s="6">
        <f t="shared" si="1"/>
        <v>46176</v>
      </c>
      <c r="Y10" s="3">
        <f t="shared" si="2"/>
        <v>4.9999999999999996E-2</v>
      </c>
    </row>
    <row r="11" spans="1:26" x14ac:dyDescent="0.25">
      <c r="A11" s="5" t="s">
        <v>44</v>
      </c>
      <c r="B11" s="6">
        <v>46237</v>
      </c>
      <c r="D11" s="10">
        <v>46237</v>
      </c>
      <c r="E11" s="6">
        <v>46237</v>
      </c>
      <c r="F11" s="17">
        <f t="shared" si="0"/>
        <v>0</v>
      </c>
      <c r="G11" s="3">
        <v>10</v>
      </c>
      <c r="H11" s="2">
        <v>0.06</v>
      </c>
      <c r="I11" s="2">
        <v>0.01</v>
      </c>
      <c r="J11" s="14"/>
      <c r="X11" s="6">
        <f t="shared" si="1"/>
        <v>46206</v>
      </c>
      <c r="Y11" s="3">
        <f t="shared" si="2"/>
        <v>4.9999999999999996E-2</v>
      </c>
    </row>
    <row r="12" spans="1:26" x14ac:dyDescent="0.25">
      <c r="A12" s="5" t="s">
        <v>52</v>
      </c>
      <c r="B12" s="17" t="str">
        <f ca="1">IF(B16&lt;&gt;K3,(TODAY()-B11)*-1,"")</f>
        <v/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46237</v>
      </c>
      <c r="Y12" s="3">
        <f t="shared" si="2"/>
        <v>10.050000000000001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7.4999999999999997E-2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10</v>
      </c>
      <c r="H53" s="3">
        <f t="shared" ref="H53:I53" si="3">SUM(H3:H52)</f>
        <v>0.54</v>
      </c>
      <c r="I53" s="3">
        <f t="shared" si="3"/>
        <v>0.09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2266-9A58-49E8-A957-D70695644CFF}">
  <dimension ref="A1:Z53"/>
  <sheetViews>
    <sheetView workbookViewId="0">
      <selection activeCell="E13" sqref="E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25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7.0000000000000007E-2</v>
      </c>
      <c r="I3" s="3">
        <v>0.01</v>
      </c>
      <c r="J3" s="14"/>
      <c r="K3" s="3">
        <f>G53</f>
        <v>0</v>
      </c>
      <c r="L3" s="3">
        <f>H53</f>
        <v>0.63000000000000012</v>
      </c>
      <c r="M3" s="3">
        <f>I53</f>
        <v>0.09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7.0000000000000007E-2</v>
      </c>
      <c r="I4" s="2">
        <v>0.01</v>
      </c>
      <c r="J4" s="9"/>
      <c r="X4" s="6">
        <f>E3</f>
        <v>45994</v>
      </c>
      <c r="Y4" s="3">
        <f>G3+H3-I3</f>
        <v>6.0000000000000005E-2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7.0000000000000007E-2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6.0000000000000005E-2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7.0000000000000007E-2</v>
      </c>
      <c r="I6" s="2">
        <v>0.01</v>
      </c>
      <c r="J6" s="9"/>
      <c r="X6" s="6">
        <f t="shared" si="1"/>
        <v>46056</v>
      </c>
      <c r="Y6" s="3">
        <f t="shared" si="2"/>
        <v>6.0000000000000005E-2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7.0000000000000007E-2</v>
      </c>
      <c r="I7" s="3">
        <v>0.01</v>
      </c>
      <c r="J7" s="14"/>
      <c r="X7" s="6">
        <f t="shared" si="1"/>
        <v>46084</v>
      </c>
      <c r="Y7" s="3">
        <f t="shared" si="2"/>
        <v>6.0000000000000005E-2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6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7.0000000000000007E-2</v>
      </c>
      <c r="I8" s="2">
        <v>0.01</v>
      </c>
      <c r="J8" s="9"/>
      <c r="X8" s="6">
        <f t="shared" si="1"/>
        <v>46115</v>
      </c>
      <c r="Y8" s="3">
        <f t="shared" si="2"/>
        <v>6.0000000000000005E-2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7.0000000000000007E-2</v>
      </c>
      <c r="I9" s="3">
        <v>0.01</v>
      </c>
      <c r="J9" s="14"/>
      <c r="X9" s="6">
        <f t="shared" si="1"/>
        <v>46147</v>
      </c>
      <c r="Y9" s="3">
        <f t="shared" si="2"/>
        <v>6.0000000000000005E-2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7.0000000000000007E-2</v>
      </c>
      <c r="I10" s="2">
        <v>0.01</v>
      </c>
      <c r="J10" s="14"/>
      <c r="X10" s="6">
        <f t="shared" si="1"/>
        <v>46176</v>
      </c>
      <c r="Y10" s="3">
        <f t="shared" si="2"/>
        <v>6.0000000000000005E-2</v>
      </c>
    </row>
    <row r="11" spans="1:26" x14ac:dyDescent="0.25">
      <c r="A11" s="5" t="s">
        <v>44</v>
      </c>
      <c r="B11" s="6">
        <v>46510</v>
      </c>
      <c r="D11" s="10">
        <v>46237</v>
      </c>
      <c r="E11" s="6">
        <v>46237</v>
      </c>
      <c r="F11" s="17">
        <f t="shared" si="0"/>
        <v>0</v>
      </c>
      <c r="G11" s="3">
        <v>0</v>
      </c>
      <c r="H11" s="2">
        <v>7.0000000000000007E-2</v>
      </c>
      <c r="I11" s="2">
        <v>0.01</v>
      </c>
      <c r="J11" s="14"/>
      <c r="X11" s="6">
        <f t="shared" si="1"/>
        <v>46206</v>
      </c>
      <c r="Y11" s="3">
        <f t="shared" si="2"/>
        <v>6.0000000000000005E-2</v>
      </c>
    </row>
    <row r="12" spans="1:26" x14ac:dyDescent="0.25">
      <c r="A12" s="5" t="s">
        <v>52</v>
      </c>
      <c r="B12" s="17">
        <f ca="1">IF(B16&lt;&gt;K3,(TODAY()-B11)*-1,"")</f>
        <v>245</v>
      </c>
      <c r="D12" s="10">
        <v>46268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46237</v>
      </c>
      <c r="Y12" s="3">
        <f t="shared" si="2"/>
        <v>6.0000000000000005E-2</v>
      </c>
    </row>
    <row r="13" spans="1:26" x14ac:dyDescent="0.25">
      <c r="A13" s="5"/>
      <c r="B13" s="3"/>
      <c r="D13" s="10">
        <v>46298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46329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12">
        <v>8.5000000000000006E-2</v>
      </c>
      <c r="D15" s="10">
        <v>46359</v>
      </c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>
        <v>46390</v>
      </c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>
        <v>46421</v>
      </c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>
        <v>46449</v>
      </c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>
        <v>46480</v>
      </c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>
        <v>46510</v>
      </c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0.63000000000000012</v>
      </c>
      <c r="I53" s="3">
        <f t="shared" si="3"/>
        <v>0.09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FDB1-6048-4D44-8902-982713D3B194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17</v>
      </c>
      <c r="D1" s="43" t="s">
        <v>2</v>
      </c>
      <c r="E1" s="44"/>
      <c r="F1" s="45"/>
      <c r="G1" s="43" t="s">
        <v>0</v>
      </c>
      <c r="H1" s="44"/>
      <c r="I1" s="45"/>
      <c r="J1" s="16"/>
      <c r="K1" s="43" t="s">
        <v>41</v>
      </c>
      <c r="L1" s="44"/>
      <c r="M1" s="44"/>
      <c r="N1" s="44"/>
      <c r="O1" s="44"/>
      <c r="P1" s="44"/>
      <c r="Q1" s="45"/>
      <c r="X1" s="43"/>
      <c r="Y1" s="44"/>
      <c r="Z1" s="45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0.53</v>
      </c>
      <c r="I3" s="3">
        <v>0.05</v>
      </c>
      <c r="J3" s="14"/>
      <c r="K3" s="3">
        <f>G53</f>
        <v>0</v>
      </c>
      <c r="L3" s="3">
        <f>H53</f>
        <v>4.78</v>
      </c>
      <c r="M3" s="3">
        <f>I53</f>
        <v>0.44999999999999996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-80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0.54</v>
      </c>
      <c r="I4" s="2">
        <v>0.05</v>
      </c>
      <c r="J4" s="9"/>
      <c r="X4" s="6">
        <f>E3</f>
        <v>45994</v>
      </c>
      <c r="Y4" s="3">
        <f>G3+H3-I3</f>
        <v>0.48000000000000004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0.54</v>
      </c>
      <c r="I5" s="3">
        <v>0.05</v>
      </c>
      <c r="J5" s="9"/>
      <c r="X5" s="6">
        <f t="shared" ref="X5:X52" si="1">E4</f>
        <v>46025</v>
      </c>
      <c r="Y5" s="3">
        <f t="shared" ref="Y5:Y52" si="2">G4+H4-I4</f>
        <v>0.49000000000000005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3">
        <v>0.49</v>
      </c>
      <c r="I6" s="3">
        <v>0.05</v>
      </c>
      <c r="J6" s="9"/>
      <c r="X6" s="6">
        <f t="shared" si="1"/>
        <v>46056</v>
      </c>
      <c r="Y6" s="3">
        <f t="shared" si="2"/>
        <v>0.49000000000000005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0.54</v>
      </c>
      <c r="I7" s="3">
        <v>0.05</v>
      </c>
      <c r="J7" s="14"/>
      <c r="X7" s="6">
        <f t="shared" si="1"/>
        <v>46084</v>
      </c>
      <c r="Y7" s="3">
        <f t="shared" si="2"/>
        <v>0.44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0.53</v>
      </c>
      <c r="I8" s="2">
        <v>0.05</v>
      </c>
      <c r="J8" s="9"/>
      <c r="X8" s="6">
        <f t="shared" si="1"/>
        <v>46115</v>
      </c>
      <c r="Y8" s="3">
        <f t="shared" si="2"/>
        <v>0.49000000000000005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0.54</v>
      </c>
      <c r="I9" s="3">
        <v>0.05</v>
      </c>
      <c r="J9" s="14"/>
      <c r="X9" s="6">
        <f t="shared" si="1"/>
        <v>46147</v>
      </c>
      <c r="Y9" s="3">
        <f t="shared" si="2"/>
        <v>0.48000000000000004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0.53</v>
      </c>
      <c r="I10" s="2">
        <v>0.05</v>
      </c>
      <c r="J10" s="14"/>
      <c r="X10" s="6">
        <f t="shared" si="1"/>
        <v>46176</v>
      </c>
      <c r="Y10" s="3">
        <f t="shared" si="2"/>
        <v>0.49000000000000005</v>
      </c>
    </row>
    <row r="11" spans="1:26" x14ac:dyDescent="0.25">
      <c r="A11" s="5" t="s">
        <v>44</v>
      </c>
      <c r="B11" s="6">
        <v>46329</v>
      </c>
      <c r="D11" s="37">
        <v>46237</v>
      </c>
      <c r="E11" s="6">
        <v>46237</v>
      </c>
      <c r="F11" s="17">
        <f t="shared" si="0"/>
        <v>0</v>
      </c>
      <c r="G11" s="3">
        <v>0</v>
      </c>
      <c r="H11" s="2">
        <v>0.54</v>
      </c>
      <c r="I11" s="2">
        <v>0.05</v>
      </c>
      <c r="J11" s="14"/>
      <c r="X11" s="6">
        <f t="shared" si="1"/>
        <v>46206</v>
      </c>
      <c r="Y11" s="3">
        <f t="shared" si="2"/>
        <v>0.48000000000000004</v>
      </c>
    </row>
    <row r="12" spans="1:26" x14ac:dyDescent="0.25">
      <c r="A12" s="5" t="s">
        <v>52</v>
      </c>
      <c r="B12" s="17">
        <f ca="1">IF(B16&lt;&gt;K3,(TODAY()-B11)*-1,"")</f>
        <v>64</v>
      </c>
      <c r="D12" s="10">
        <v>46268</v>
      </c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46237</v>
      </c>
      <c r="Y12" s="3">
        <f t="shared" si="2"/>
        <v>0.49000000000000005</v>
      </c>
    </row>
    <row r="13" spans="1:26" x14ac:dyDescent="0.25">
      <c r="A13" s="5"/>
      <c r="B13" s="3"/>
      <c r="D13" s="10">
        <v>46298</v>
      </c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>
        <v>46329</v>
      </c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0.08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80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4.78</v>
      </c>
      <c r="I53" s="3">
        <f t="shared" si="3"/>
        <v>0.44999999999999996</v>
      </c>
    </row>
  </sheetData>
  <mergeCells count="4">
    <mergeCell ref="D1:F1"/>
    <mergeCell ref="G1:I1"/>
    <mergeCell ref="K1:Q1"/>
    <mergeCell ref="X1:Z1"/>
  </mergeCells>
  <phoneticPr fontId="4" type="noConversion"/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Pinigai</vt:lpstr>
      <vt:lpstr>10001457</vt:lpstr>
      <vt:lpstr>10001352</vt:lpstr>
      <vt:lpstr>10001244</vt:lpstr>
      <vt:lpstr>10000722</vt:lpstr>
      <vt:lpstr>10000591</vt:lpstr>
      <vt:lpstr>10000437</vt:lpstr>
      <vt:lpstr>10000288</vt:lpstr>
      <vt:lpstr>10000263</vt:lpstr>
      <vt:lpstr>10000212</vt:lpstr>
      <vt:lpstr>10000170</vt:lpstr>
      <vt:lpstr>10000158</vt:lpstr>
      <vt:lpstr>10000160</vt:lpstr>
      <vt:lpstr>10000159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2026-08-31T18:28:57Z</dcterms:modified>
</cp:coreProperties>
</file>