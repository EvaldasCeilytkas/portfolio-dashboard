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6.03\Revolut\Robo Advisor\"/>
    </mc:Choice>
  </mc:AlternateContent>
  <xr:revisionPtr revIDLastSave="0" documentId="13_ncr:1_{A0E7C9AE-3E8A-4532-A199-8A76451279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žvalga" sheetId="77" r:id="rId1"/>
    <sheet name="Cash" sheetId="76" r:id="rId2"/>
    <sheet name="XDWI" sheetId="89" r:id="rId3"/>
    <sheet name="WELK" sheetId="97" r:id="rId4"/>
    <sheet name="PRAR" sheetId="98" r:id="rId5"/>
    <sheet name="LKOR" sheetId="116" r:id="rId6"/>
    <sheet name="QDV7" sheetId="99" r:id="rId7"/>
    <sheet name="AMEL" sheetId="100" r:id="rId8"/>
    <sheet name="79U0" sheetId="101" r:id="rId9"/>
    <sheet name="LYTR" sheetId="117" r:id="rId10"/>
    <sheet name="PRAJ" sheetId="102" r:id="rId11"/>
    <sheet name="LEMA" sheetId="103" r:id="rId12"/>
    <sheet name="AEYH" sheetId="104" r:id="rId13"/>
    <sheet name="EMBH" sheetId="105" r:id="rId14"/>
    <sheet name="LYMS" sheetId="107" r:id="rId15"/>
    <sheet name="EBUY" sheetId="106" r:id="rId16"/>
    <sheet name="TRDE" sheetId="109" r:id="rId17"/>
    <sheet name="PRAC" sheetId="110" r:id="rId18"/>
    <sheet name="LYP6" sheetId="112" r:id="rId19"/>
    <sheet name="UBUD" sheetId="108" state="hidden" r:id="rId20"/>
    <sheet name="2B72" sheetId="111" state="hidden" r:id="rId21"/>
    <sheet name="LYP5" sheetId="113" state="hidden" r:id="rId22"/>
    <sheet name="LGQK" sheetId="114" state="hidden" r:id="rId23"/>
    <sheet name="XDWT" sheetId="35" state="hidden" r:id="rId24"/>
    <sheet name="IS3K" sheetId="46" state="hidden" r:id="rId25"/>
    <sheet name="QDVY" sheetId="48" state="hidden" r:id="rId26"/>
    <sheet name="IBCD" sheetId="57" state="hidden" r:id="rId27"/>
    <sheet name="IS3Q" sheetId="58" state="hidden" r:id="rId28"/>
    <sheet name="IUSU" sheetId="73" state="hidden" r:id="rId29"/>
    <sheet name="EXI2" sheetId="74" state="hidden" r:id="rId30"/>
    <sheet name="DBXJ" sheetId="75" state="hidden" r:id="rId31"/>
    <sheet name="2026.06" sheetId="118" r:id="rId32"/>
    <sheet name="2026.05" sheetId="115" r:id="rId33"/>
    <sheet name="2026.04" sheetId="88" r:id="rId34"/>
    <sheet name="2026.03" sheetId="87" r:id="rId35"/>
    <sheet name="2026.02" sheetId="86" r:id="rId36"/>
    <sheet name="2026.01" sheetId="85" r:id="rId37"/>
    <sheet name="2025.12" sheetId="84" r:id="rId38"/>
    <sheet name="2025.11" sheetId="83" r:id="rId39"/>
    <sheet name="2025.10" sheetId="82" r:id="rId40"/>
    <sheet name="2025.09" sheetId="81" r:id="rId41"/>
    <sheet name="2025.08" sheetId="80" r:id="rId42"/>
    <sheet name="2025.07" sheetId="79" r:id="rId43"/>
    <sheet name="2025.06" sheetId="78" r:id="rId44"/>
    <sheet name="2025.05" sheetId="72" r:id="rId45"/>
    <sheet name="2025.04" sheetId="71" r:id="rId46"/>
    <sheet name="2025.03" sheetId="70" r:id="rId47"/>
    <sheet name="2025.02" sheetId="69" r:id="rId48"/>
    <sheet name="2025.01" sheetId="68" r:id="rId49"/>
    <sheet name="2024.12" sheetId="67" r:id="rId50"/>
    <sheet name="2024.11" sheetId="66" r:id="rId51"/>
    <sheet name="2024.10" sheetId="65" r:id="rId52"/>
    <sheet name="2024.09" sheetId="64" r:id="rId53"/>
    <sheet name="2024.08" sheetId="63" r:id="rId54"/>
    <sheet name="2024.07" sheetId="62" r:id="rId55"/>
    <sheet name="2024.06" sheetId="61" r:id="rId56"/>
    <sheet name="2024.05" sheetId="60" r:id="rId57"/>
    <sheet name="2024.04" sheetId="59" r:id="rId58"/>
    <sheet name="2024.03" sheetId="53" r:id="rId59"/>
    <sheet name="2024.02" sheetId="56" r:id="rId6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77" l="1"/>
  <c r="R5" i="118"/>
  <c r="R5" i="115"/>
  <c r="C4" i="77"/>
  <c r="C5" i="77"/>
  <c r="C6" i="77" s="1"/>
  <c r="Q13" i="115"/>
  <c r="Q13" i="88"/>
  <c r="Q5" i="88"/>
  <c r="R5" i="88" s="1"/>
  <c r="S5" i="88"/>
  <c r="P5" i="88"/>
  <c r="S5" i="118"/>
  <c r="Q5" i="118"/>
  <c r="P5" i="118"/>
  <c r="S5" i="115"/>
  <c r="Q5" i="115"/>
  <c r="P5" i="115"/>
  <c r="A30" i="76"/>
  <c r="A29" i="76"/>
  <c r="AM31" i="77"/>
  <c r="V31" i="77"/>
  <c r="W31" i="77"/>
  <c r="X31" i="77"/>
  <c r="Y31" i="77"/>
  <c r="J7" i="112"/>
  <c r="D7" i="112"/>
  <c r="B7" i="112"/>
  <c r="A7" i="112"/>
  <c r="J7" i="110"/>
  <c r="D7" i="110"/>
  <c r="B7" i="110"/>
  <c r="A7" i="110"/>
  <c r="J7" i="109"/>
  <c r="D7" i="109"/>
  <c r="B7" i="109"/>
  <c r="A7" i="109"/>
  <c r="J7" i="106"/>
  <c r="D7" i="106"/>
  <c r="B7" i="106"/>
  <c r="A7" i="106"/>
  <c r="J7" i="107"/>
  <c r="D7" i="107"/>
  <c r="B7" i="107"/>
  <c r="A7" i="107"/>
  <c r="J7" i="105"/>
  <c r="D7" i="105"/>
  <c r="B7" i="105"/>
  <c r="A7" i="105"/>
  <c r="J7" i="104"/>
  <c r="D7" i="104"/>
  <c r="B7" i="104"/>
  <c r="A7" i="104"/>
  <c r="J7" i="103"/>
  <c r="D7" i="103"/>
  <c r="B7" i="103"/>
  <c r="A7" i="103"/>
  <c r="J6" i="117"/>
  <c r="D6" i="117"/>
  <c r="B6" i="117"/>
  <c r="A6" i="117"/>
  <c r="J7" i="102"/>
  <c r="D7" i="102"/>
  <c r="B7" i="102"/>
  <c r="A7" i="102"/>
  <c r="J7" i="101"/>
  <c r="D7" i="101"/>
  <c r="B7" i="101"/>
  <c r="A7" i="101"/>
  <c r="A6" i="101"/>
  <c r="J7" i="100" l="1"/>
  <c r="D7" i="100"/>
  <c r="B7" i="100"/>
  <c r="A7" i="100"/>
  <c r="J7" i="99"/>
  <c r="D7" i="99"/>
  <c r="B7" i="99"/>
  <c r="A7" i="99"/>
  <c r="J5" i="116"/>
  <c r="S5" i="116" s="1"/>
  <c r="J6" i="116"/>
  <c r="D6" i="116"/>
  <c r="B6" i="116"/>
  <c r="A6" i="116"/>
  <c r="J7" i="98"/>
  <c r="D7" i="98"/>
  <c r="B7" i="98"/>
  <c r="A7" i="98"/>
  <c r="J7" i="97"/>
  <c r="D7" i="97"/>
  <c r="B7" i="97"/>
  <c r="A7" i="97"/>
  <c r="J7" i="89"/>
  <c r="D7" i="89"/>
  <c r="B7" i="89"/>
  <c r="A7" i="89"/>
  <c r="A31" i="77"/>
  <c r="A30" i="77"/>
  <c r="H340" i="118" l="1"/>
  <c r="L418" i="118"/>
  <c r="I418" i="118"/>
  <c r="G418" i="118"/>
  <c r="D418" i="118"/>
  <c r="B418" i="118"/>
  <c r="C411" i="118"/>
  <c r="H410" i="118"/>
  <c r="C410" i="118"/>
  <c r="L404" i="118"/>
  <c r="I404" i="118"/>
  <c r="G404" i="118"/>
  <c r="D404" i="118"/>
  <c r="B404" i="118"/>
  <c r="C397" i="118"/>
  <c r="H396" i="118"/>
  <c r="C396" i="118"/>
  <c r="L390" i="118"/>
  <c r="I390" i="118"/>
  <c r="G390" i="118"/>
  <c r="D390" i="118"/>
  <c r="B390" i="118"/>
  <c r="C383" i="118"/>
  <c r="H382" i="118"/>
  <c r="C382" i="118"/>
  <c r="L376" i="118"/>
  <c r="I376" i="118"/>
  <c r="G376" i="118"/>
  <c r="D376" i="118"/>
  <c r="B376" i="118"/>
  <c r="C369" i="118"/>
  <c r="H368" i="118"/>
  <c r="C368" i="118"/>
  <c r="L362" i="118"/>
  <c r="I362" i="118"/>
  <c r="G362" i="118"/>
  <c r="D362" i="118"/>
  <c r="B362" i="118"/>
  <c r="H354" i="118"/>
  <c r="C354" i="118"/>
  <c r="L348" i="118"/>
  <c r="I348" i="118"/>
  <c r="G348" i="118"/>
  <c r="D348" i="118"/>
  <c r="B348" i="118"/>
  <c r="C342" i="118"/>
  <c r="C341" i="118"/>
  <c r="C340" i="118"/>
  <c r="L334" i="118"/>
  <c r="I334" i="118"/>
  <c r="G334" i="118"/>
  <c r="D334" i="118"/>
  <c r="B334" i="118"/>
  <c r="H327" i="118"/>
  <c r="H326" i="118"/>
  <c r="C326" i="118"/>
  <c r="L320" i="118"/>
  <c r="I320" i="118"/>
  <c r="G320" i="118"/>
  <c r="D320" i="118"/>
  <c r="B320" i="118"/>
  <c r="H313" i="118"/>
  <c r="H312" i="118"/>
  <c r="C312" i="118"/>
  <c r="L306" i="118"/>
  <c r="I306" i="118"/>
  <c r="G306" i="118"/>
  <c r="D306" i="118"/>
  <c r="B306" i="118"/>
  <c r="H298" i="118"/>
  <c r="C298" i="118"/>
  <c r="L292" i="118"/>
  <c r="I292" i="118"/>
  <c r="G292" i="118"/>
  <c r="D292" i="118"/>
  <c r="B292" i="118"/>
  <c r="H284" i="118"/>
  <c r="C284" i="118"/>
  <c r="L278" i="118"/>
  <c r="I278" i="118"/>
  <c r="G278" i="118"/>
  <c r="D278" i="118"/>
  <c r="B278" i="118"/>
  <c r="C272" i="118"/>
  <c r="C271" i="118"/>
  <c r="C270" i="118"/>
  <c r="L264" i="118"/>
  <c r="I264" i="118"/>
  <c r="G264" i="118"/>
  <c r="D264" i="118"/>
  <c r="B264" i="118"/>
  <c r="C257" i="118"/>
  <c r="H256" i="118"/>
  <c r="C256" i="118"/>
  <c r="L250" i="118"/>
  <c r="I250" i="118"/>
  <c r="G250" i="118"/>
  <c r="D250" i="118"/>
  <c r="B250" i="118"/>
  <c r="C243" i="118"/>
  <c r="C242" i="118"/>
  <c r="L236" i="118"/>
  <c r="I236" i="118"/>
  <c r="G236" i="118"/>
  <c r="D236" i="118"/>
  <c r="B236" i="118"/>
  <c r="H228" i="118"/>
  <c r="C228" i="118"/>
  <c r="L222" i="118"/>
  <c r="I222" i="118"/>
  <c r="G222" i="118"/>
  <c r="D222" i="118"/>
  <c r="B222" i="118"/>
  <c r="C215" i="118"/>
  <c r="H214" i="118"/>
  <c r="C214" i="118"/>
  <c r="L208" i="118"/>
  <c r="I208" i="118"/>
  <c r="G208" i="118"/>
  <c r="D208" i="118"/>
  <c r="B208" i="118"/>
  <c r="C202" i="118"/>
  <c r="C201" i="118"/>
  <c r="C200" i="118"/>
  <c r="L194" i="118"/>
  <c r="I194" i="118"/>
  <c r="G194" i="118"/>
  <c r="D194" i="118"/>
  <c r="B194" i="118"/>
  <c r="C187" i="118"/>
  <c r="C186" i="118"/>
  <c r="L180" i="118"/>
  <c r="I180" i="118"/>
  <c r="G180" i="118"/>
  <c r="D180" i="118"/>
  <c r="B180" i="118"/>
  <c r="C173" i="118"/>
  <c r="H172" i="118"/>
  <c r="C172" i="118"/>
  <c r="L166" i="118"/>
  <c r="I166" i="118"/>
  <c r="G166" i="118"/>
  <c r="D166" i="118"/>
  <c r="B166" i="118"/>
  <c r="H159" i="118"/>
  <c r="H158" i="118"/>
  <c r="C158" i="118"/>
  <c r="L152" i="118"/>
  <c r="I152" i="118"/>
  <c r="G152" i="118"/>
  <c r="D152" i="118"/>
  <c r="B152" i="118"/>
  <c r="C146" i="118"/>
  <c r="C145" i="118"/>
  <c r="C144" i="118"/>
  <c r="L138" i="118"/>
  <c r="I138" i="118"/>
  <c r="G138" i="118"/>
  <c r="D138" i="118"/>
  <c r="B138" i="118"/>
  <c r="C131" i="118"/>
  <c r="H130" i="118"/>
  <c r="C130" i="118"/>
  <c r="L124" i="118"/>
  <c r="I124" i="118"/>
  <c r="G124" i="118"/>
  <c r="D124" i="118"/>
  <c r="B124" i="118"/>
  <c r="H116" i="118"/>
  <c r="C116" i="118"/>
  <c r="L110" i="118"/>
  <c r="I110" i="118"/>
  <c r="G110" i="118"/>
  <c r="D110" i="118"/>
  <c r="B110" i="118"/>
  <c r="H102" i="118"/>
  <c r="C102" i="118"/>
  <c r="L96" i="118"/>
  <c r="I96" i="118"/>
  <c r="G96" i="118"/>
  <c r="D96" i="118"/>
  <c r="B96" i="118"/>
  <c r="H88" i="118"/>
  <c r="C88" i="118"/>
  <c r="L82" i="118"/>
  <c r="I82" i="118"/>
  <c r="G82" i="118"/>
  <c r="D82" i="118"/>
  <c r="B82" i="118"/>
  <c r="H74" i="118"/>
  <c r="C74" i="118"/>
  <c r="L68" i="118"/>
  <c r="I68" i="118"/>
  <c r="G68" i="118"/>
  <c r="D68" i="118"/>
  <c r="B68" i="118"/>
  <c r="H60" i="118"/>
  <c r="C60" i="118"/>
  <c r="L54" i="118"/>
  <c r="I54" i="118"/>
  <c r="G54" i="118"/>
  <c r="D54" i="118"/>
  <c r="B54" i="118"/>
  <c r="H46" i="118"/>
  <c r="C46" i="118"/>
  <c r="L40" i="118"/>
  <c r="I40" i="118"/>
  <c r="G40" i="118"/>
  <c r="D40" i="118"/>
  <c r="B40" i="118"/>
  <c r="H32" i="118"/>
  <c r="C32" i="118"/>
  <c r="L26" i="118"/>
  <c r="I26" i="118"/>
  <c r="G26" i="118"/>
  <c r="D26" i="118"/>
  <c r="B26" i="118"/>
  <c r="H18" i="118"/>
  <c r="C18" i="118"/>
  <c r="T13" i="118"/>
  <c r="O13" i="118"/>
  <c r="A6" i="114"/>
  <c r="A5" i="114"/>
  <c r="A6" i="113"/>
  <c r="A5" i="113"/>
  <c r="A6" i="112"/>
  <c r="A5" i="112"/>
  <c r="A6" i="111"/>
  <c r="A5" i="111"/>
  <c r="A6" i="110"/>
  <c r="A5" i="110"/>
  <c r="A6" i="109"/>
  <c r="A5" i="109"/>
  <c r="A6" i="108"/>
  <c r="A5" i="108"/>
  <c r="Q13" i="118" l="1"/>
  <c r="S13" i="118"/>
  <c r="AL31" i="77" s="1"/>
  <c r="A6" i="107"/>
  <c r="A5" i="107"/>
  <c r="A6" i="106"/>
  <c r="A5" i="106"/>
  <c r="A6" i="105"/>
  <c r="A5" i="105"/>
  <c r="A6" i="104"/>
  <c r="A5" i="104"/>
  <c r="A6" i="103"/>
  <c r="A5" i="103"/>
  <c r="A6" i="102"/>
  <c r="A5" i="102"/>
  <c r="A5" i="117"/>
  <c r="A5" i="101"/>
  <c r="A6" i="98"/>
  <c r="A6" i="97"/>
  <c r="A6" i="89"/>
  <c r="A6" i="100"/>
  <c r="A5" i="100"/>
  <c r="A6" i="99"/>
  <c r="A5" i="99"/>
  <c r="A5" i="116"/>
  <c r="L418" i="115"/>
  <c r="J5" i="117" s="1"/>
  <c r="S5" i="117" s="1"/>
  <c r="I418" i="115"/>
  <c r="G418" i="115"/>
  <c r="D418" i="115"/>
  <c r="D5" i="117" s="1"/>
  <c r="R5" i="117" s="1"/>
  <c r="B418" i="115"/>
  <c r="B5" i="117" s="1"/>
  <c r="C411" i="115"/>
  <c r="H410" i="115"/>
  <c r="C410" i="115"/>
  <c r="L404" i="115"/>
  <c r="I404" i="115"/>
  <c r="G404" i="115"/>
  <c r="D404" i="115"/>
  <c r="D5" i="116" s="1"/>
  <c r="B404" i="115"/>
  <c r="B5" i="116" s="1"/>
  <c r="C397" i="115"/>
  <c r="H396" i="115"/>
  <c r="C396" i="115"/>
  <c r="C243" i="115"/>
  <c r="C187" i="115"/>
  <c r="C257" i="115"/>
  <c r="H214" i="115"/>
  <c r="H340" i="115"/>
  <c r="M5" i="116" l="1"/>
  <c r="C5" i="116"/>
  <c r="C6" i="116" s="1"/>
  <c r="E5" i="116"/>
  <c r="R5" i="116"/>
  <c r="M5" i="117"/>
  <c r="C5" i="117"/>
  <c r="C6" i="117" s="1"/>
  <c r="P13" i="118"/>
  <c r="R13" i="118"/>
  <c r="E5" i="117"/>
  <c r="D29" i="77"/>
  <c r="G46" i="88"/>
  <c r="G88" i="88"/>
  <c r="H186" i="88"/>
  <c r="L390" i="115"/>
  <c r="J6" i="114" s="1"/>
  <c r="I390" i="115"/>
  <c r="G390" i="115"/>
  <c r="D390" i="115"/>
  <c r="B390" i="115"/>
  <c r="C383" i="115"/>
  <c r="H382" i="115"/>
  <c r="C382" i="115"/>
  <c r="L376" i="115"/>
  <c r="J6" i="113" s="1"/>
  <c r="I376" i="115"/>
  <c r="G376" i="115"/>
  <c r="D376" i="115"/>
  <c r="D6" i="113" s="1"/>
  <c r="B376" i="115"/>
  <c r="B6" i="113" s="1"/>
  <c r="C369" i="115"/>
  <c r="H368" i="115"/>
  <c r="C368" i="115"/>
  <c r="L362" i="115"/>
  <c r="J6" i="112" s="1"/>
  <c r="I362" i="115"/>
  <c r="G362" i="115"/>
  <c r="D362" i="115"/>
  <c r="B362" i="115"/>
  <c r="H354" i="115"/>
  <c r="C354" i="115"/>
  <c r="L348" i="115"/>
  <c r="J6" i="111" s="1"/>
  <c r="I348" i="115"/>
  <c r="G348" i="115"/>
  <c r="D348" i="115"/>
  <c r="D6" i="111" s="1"/>
  <c r="B348" i="115"/>
  <c r="C342" i="115"/>
  <c r="C341" i="115"/>
  <c r="C340" i="115"/>
  <c r="L334" i="115"/>
  <c r="J6" i="110" s="1"/>
  <c r="I334" i="115"/>
  <c r="G334" i="115"/>
  <c r="D334" i="115"/>
  <c r="D6" i="110" s="1"/>
  <c r="B334" i="115"/>
  <c r="B6" i="110" s="1"/>
  <c r="H327" i="115"/>
  <c r="H326" i="115"/>
  <c r="C326" i="115"/>
  <c r="L320" i="115"/>
  <c r="J6" i="109" s="1"/>
  <c r="I320" i="115"/>
  <c r="G320" i="115"/>
  <c r="D320" i="115"/>
  <c r="B320" i="115"/>
  <c r="B6" i="109" s="1"/>
  <c r="H313" i="115"/>
  <c r="H312" i="115"/>
  <c r="C312" i="115"/>
  <c r="L306" i="115"/>
  <c r="J6" i="108" s="1"/>
  <c r="I306" i="115"/>
  <c r="G306" i="115"/>
  <c r="D306" i="115"/>
  <c r="D6" i="108" s="1"/>
  <c r="B306" i="115"/>
  <c r="H298" i="115"/>
  <c r="C298" i="115"/>
  <c r="L292" i="115"/>
  <c r="J6" i="107" s="1"/>
  <c r="I292" i="115"/>
  <c r="G292" i="115"/>
  <c r="D292" i="115"/>
  <c r="B292" i="115"/>
  <c r="B6" i="107" s="1"/>
  <c r="H284" i="115"/>
  <c r="C284" i="115"/>
  <c r="L278" i="115"/>
  <c r="J6" i="106" s="1"/>
  <c r="I278" i="115"/>
  <c r="G278" i="115"/>
  <c r="D278" i="115"/>
  <c r="B278" i="115"/>
  <c r="C272" i="115"/>
  <c r="C271" i="115"/>
  <c r="C270" i="115"/>
  <c r="L264" i="115"/>
  <c r="J6" i="105" s="1"/>
  <c r="I264" i="115"/>
  <c r="G264" i="115"/>
  <c r="D264" i="115"/>
  <c r="D6" i="105" s="1"/>
  <c r="B264" i="115"/>
  <c r="H256" i="115"/>
  <c r="C256" i="115"/>
  <c r="L250" i="115"/>
  <c r="J6" i="104" s="1"/>
  <c r="I250" i="115"/>
  <c r="G250" i="115"/>
  <c r="D250" i="115"/>
  <c r="D6" i="104" s="1"/>
  <c r="B250" i="115"/>
  <c r="C242" i="115"/>
  <c r="L236" i="115"/>
  <c r="J6" i="103" s="1"/>
  <c r="I236" i="115"/>
  <c r="G236" i="115"/>
  <c r="D236" i="115"/>
  <c r="D6" i="103" s="1"/>
  <c r="B236" i="115"/>
  <c r="B6" i="103" s="1"/>
  <c r="H228" i="115"/>
  <c r="C228" i="115"/>
  <c r="L222" i="115"/>
  <c r="J6" i="102" s="1"/>
  <c r="I222" i="115"/>
  <c r="G222" i="115"/>
  <c r="D222" i="115"/>
  <c r="B222" i="115"/>
  <c r="C215" i="115"/>
  <c r="C214" i="115"/>
  <c r="L208" i="115"/>
  <c r="J6" i="101" s="1"/>
  <c r="I208" i="115"/>
  <c r="G208" i="115"/>
  <c r="D208" i="115"/>
  <c r="B208" i="115"/>
  <c r="C202" i="115"/>
  <c r="C201" i="115"/>
  <c r="C200" i="115"/>
  <c r="L194" i="115"/>
  <c r="J6" i="100" s="1"/>
  <c r="I194" i="115"/>
  <c r="G194" i="115"/>
  <c r="D194" i="115"/>
  <c r="D6" i="100" s="1"/>
  <c r="B194" i="115"/>
  <c r="B6" i="100" s="1"/>
  <c r="C186" i="115"/>
  <c r="L180" i="115"/>
  <c r="J6" i="99" s="1"/>
  <c r="I180" i="115"/>
  <c r="G180" i="115"/>
  <c r="D180" i="115"/>
  <c r="B180" i="115"/>
  <c r="C173" i="115"/>
  <c r="H172" i="115"/>
  <c r="C172" i="115"/>
  <c r="L166" i="115"/>
  <c r="J6" i="98" s="1"/>
  <c r="I166" i="115"/>
  <c r="G166" i="115"/>
  <c r="D166" i="115"/>
  <c r="D6" i="98" s="1"/>
  <c r="B166" i="115"/>
  <c r="B6" i="98" s="1"/>
  <c r="H159" i="115"/>
  <c r="H158" i="115"/>
  <c r="C158" i="115"/>
  <c r="L152" i="115"/>
  <c r="J6" i="97" s="1"/>
  <c r="I152" i="115"/>
  <c r="G152" i="115"/>
  <c r="D152" i="115"/>
  <c r="B152" i="115"/>
  <c r="C146" i="115"/>
  <c r="C145" i="115"/>
  <c r="C144" i="115"/>
  <c r="L138" i="115"/>
  <c r="J6" i="89" s="1"/>
  <c r="I138" i="115"/>
  <c r="G138" i="115"/>
  <c r="D138" i="115"/>
  <c r="B138" i="115"/>
  <c r="C131" i="115"/>
  <c r="H130" i="115"/>
  <c r="C130" i="115"/>
  <c r="L124" i="115"/>
  <c r="I124" i="115"/>
  <c r="G124" i="115"/>
  <c r="D124" i="115"/>
  <c r="B124" i="115"/>
  <c r="H116" i="115"/>
  <c r="C116" i="115"/>
  <c r="L110" i="115"/>
  <c r="I110" i="115"/>
  <c r="G110" i="115"/>
  <c r="D110" i="115"/>
  <c r="B110" i="115"/>
  <c r="H102" i="115"/>
  <c r="C102" i="115"/>
  <c r="L96" i="115"/>
  <c r="I96" i="115"/>
  <c r="G96" i="115"/>
  <c r="D96" i="115"/>
  <c r="B96" i="115"/>
  <c r="H88" i="115"/>
  <c r="C88" i="115"/>
  <c r="L82" i="115"/>
  <c r="I82" i="115"/>
  <c r="G82" i="115"/>
  <c r="D82" i="115"/>
  <c r="B82" i="115"/>
  <c r="H74" i="115"/>
  <c r="C74" i="115"/>
  <c r="L68" i="115"/>
  <c r="I68" i="115"/>
  <c r="G68" i="115"/>
  <c r="D68" i="115"/>
  <c r="B68" i="115"/>
  <c r="H60" i="115"/>
  <c r="C60" i="115"/>
  <c r="L54" i="115"/>
  <c r="I54" i="115"/>
  <c r="G54" i="115"/>
  <c r="D54" i="115"/>
  <c r="B54" i="115"/>
  <c r="H46" i="115"/>
  <c r="C46" i="115"/>
  <c r="L40" i="115"/>
  <c r="I40" i="115"/>
  <c r="G40" i="115"/>
  <c r="D40" i="115"/>
  <c r="B40" i="115"/>
  <c r="H32" i="115"/>
  <c r="C32" i="115"/>
  <c r="L26" i="115"/>
  <c r="I26" i="115"/>
  <c r="G26" i="115"/>
  <c r="D26" i="115"/>
  <c r="B26" i="115"/>
  <c r="H18" i="115"/>
  <c r="C18" i="115"/>
  <c r="T13" i="115"/>
  <c r="AM30" i="77" s="1"/>
  <c r="O13" i="115"/>
  <c r="S5" i="100" l="1"/>
  <c r="D6" i="112"/>
  <c r="B6" i="105"/>
  <c r="D6" i="97"/>
  <c r="B6" i="102"/>
  <c r="D6" i="102"/>
  <c r="B6" i="104"/>
  <c r="B6" i="112"/>
  <c r="B6" i="101"/>
  <c r="D6" i="106"/>
  <c r="B6" i="114"/>
  <c r="G5" i="117"/>
  <c r="E6" i="117"/>
  <c r="G6" i="117" s="1"/>
  <c r="D6" i="101"/>
  <c r="B6" i="108"/>
  <c r="B6" i="111"/>
  <c r="D6" i="114"/>
  <c r="D6" i="107"/>
  <c r="R5" i="110"/>
  <c r="R5" i="102"/>
  <c r="M5" i="104"/>
  <c r="B6" i="97"/>
  <c r="G5" i="116"/>
  <c r="E6" i="116"/>
  <c r="G6" i="116" s="1"/>
  <c r="R5" i="105"/>
  <c r="B6" i="89"/>
  <c r="R13" i="115"/>
  <c r="B29" i="76" s="1"/>
  <c r="B30" i="76" s="1"/>
  <c r="B6" i="99"/>
  <c r="D6" i="109"/>
  <c r="R5" i="104"/>
  <c r="D6" i="89"/>
  <c r="D6" i="99"/>
  <c r="B6" i="106"/>
  <c r="S13" i="115"/>
  <c r="AL30" i="77" s="1"/>
  <c r="C342" i="88"/>
  <c r="C215" i="88"/>
  <c r="C369" i="88"/>
  <c r="C202" i="88"/>
  <c r="C355" i="88"/>
  <c r="C146" i="88"/>
  <c r="C243" i="88"/>
  <c r="C272" i="88"/>
  <c r="C383" i="88"/>
  <c r="H327" i="88"/>
  <c r="H159" i="88"/>
  <c r="H228" i="88"/>
  <c r="H313" i="88"/>
  <c r="H284" i="88"/>
  <c r="H172" i="88"/>
  <c r="H298" i="88"/>
  <c r="H256" i="88"/>
  <c r="H130" i="88"/>
  <c r="C173" i="88"/>
  <c r="C187" i="88"/>
  <c r="C201" i="88"/>
  <c r="C271" i="88"/>
  <c r="C145" i="88"/>
  <c r="C341" i="88"/>
  <c r="C131" i="88"/>
  <c r="C257" i="88"/>
  <c r="H158" i="88"/>
  <c r="H312" i="88"/>
  <c r="H382" i="88"/>
  <c r="H326" i="88"/>
  <c r="H354" i="88"/>
  <c r="H368" i="88"/>
  <c r="A382" i="88"/>
  <c r="L390" i="88"/>
  <c r="J5" i="114" s="1"/>
  <c r="S5" i="114" s="1"/>
  <c r="I390" i="88"/>
  <c r="G390" i="88"/>
  <c r="D390" i="88"/>
  <c r="D5" i="114" s="1"/>
  <c r="B390" i="88"/>
  <c r="B5" i="114" s="1"/>
  <c r="C382" i="88"/>
  <c r="C5" i="113"/>
  <c r="C6" i="113" s="1"/>
  <c r="S5" i="113"/>
  <c r="A368" i="88"/>
  <c r="L376" i="88"/>
  <c r="J5" i="113" s="1"/>
  <c r="I376" i="88"/>
  <c r="G376" i="88"/>
  <c r="D376" i="88"/>
  <c r="D5" i="113" s="1"/>
  <c r="B376" i="88"/>
  <c r="B5" i="113" s="1"/>
  <c r="C368" i="88"/>
  <c r="A354" i="88"/>
  <c r="L362" i="88"/>
  <c r="J5" i="112" s="1"/>
  <c r="S5" i="112" s="1"/>
  <c r="I362" i="88"/>
  <c r="G362" i="88"/>
  <c r="D362" i="88"/>
  <c r="D5" i="112" s="1"/>
  <c r="R5" i="112" s="1"/>
  <c r="B362" i="88"/>
  <c r="C354" i="88"/>
  <c r="A340" i="88"/>
  <c r="L348" i="88"/>
  <c r="J5" i="111" s="1"/>
  <c r="S5" i="111" s="1"/>
  <c r="I348" i="88"/>
  <c r="G348" i="88"/>
  <c r="D348" i="88"/>
  <c r="B348" i="88"/>
  <c r="B5" i="111" s="1"/>
  <c r="C340" i="88"/>
  <c r="A326" i="88"/>
  <c r="L334" i="88"/>
  <c r="J5" i="110" s="1"/>
  <c r="S5" i="110" s="1"/>
  <c r="I334" i="88"/>
  <c r="G334" i="88"/>
  <c r="D334" i="88"/>
  <c r="D5" i="110" s="1"/>
  <c r="B334" i="88"/>
  <c r="B5" i="110" s="1"/>
  <c r="M5" i="110" s="1"/>
  <c r="C326" i="88"/>
  <c r="A312" i="88"/>
  <c r="L320" i="88"/>
  <c r="J5" i="109" s="1"/>
  <c r="S5" i="109" s="1"/>
  <c r="I320" i="88"/>
  <c r="G320" i="88"/>
  <c r="D320" i="88"/>
  <c r="D5" i="109" s="1"/>
  <c r="B320" i="88"/>
  <c r="B5" i="109" s="1"/>
  <c r="M5" i="109" s="1"/>
  <c r="C312" i="88"/>
  <c r="A298" i="88"/>
  <c r="L306" i="88"/>
  <c r="J5" i="108" s="1"/>
  <c r="S5" i="108" s="1"/>
  <c r="I306" i="88"/>
  <c r="G306" i="88"/>
  <c r="D306" i="88"/>
  <c r="D5" i="108" s="1"/>
  <c r="E5" i="108" s="1"/>
  <c r="B306" i="88"/>
  <c r="B5" i="108" s="1"/>
  <c r="C5" i="108" s="1"/>
  <c r="C298" i="88"/>
  <c r="E5" i="107"/>
  <c r="G5" i="107" s="1"/>
  <c r="Q29" i="77" s="1"/>
  <c r="A284" i="88"/>
  <c r="L292" i="88"/>
  <c r="J5" i="107" s="1"/>
  <c r="S5" i="107" s="1"/>
  <c r="I292" i="88"/>
  <c r="G292" i="88"/>
  <c r="D292" i="88"/>
  <c r="D5" i="107" s="1"/>
  <c r="B292" i="88"/>
  <c r="C284" i="88"/>
  <c r="A270" i="88"/>
  <c r="L278" i="88"/>
  <c r="J5" i="106" s="1"/>
  <c r="S5" i="106" s="1"/>
  <c r="I278" i="88"/>
  <c r="G278" i="88"/>
  <c r="D278" i="88"/>
  <c r="B278" i="88"/>
  <c r="C270" i="88"/>
  <c r="A256" i="88"/>
  <c r="L264" i="88"/>
  <c r="J5" i="105" s="1"/>
  <c r="S5" i="105" s="1"/>
  <c r="I264" i="88"/>
  <c r="G264" i="88"/>
  <c r="D264" i="88"/>
  <c r="D5" i="105" s="1"/>
  <c r="B264" i="88"/>
  <c r="B5" i="105" s="1"/>
  <c r="M5" i="105" s="1"/>
  <c r="C256" i="88"/>
  <c r="A242" i="88"/>
  <c r="L250" i="88"/>
  <c r="J5" i="104" s="1"/>
  <c r="S5" i="104" s="1"/>
  <c r="I250" i="88"/>
  <c r="G250" i="88"/>
  <c r="D250" i="88"/>
  <c r="D5" i="104" s="1"/>
  <c r="B250" i="88"/>
  <c r="B5" i="104" s="1"/>
  <c r="C242" i="88"/>
  <c r="A228" i="88"/>
  <c r="L236" i="88"/>
  <c r="J5" i="103" s="1"/>
  <c r="S5" i="103" s="1"/>
  <c r="I236" i="88"/>
  <c r="G236" i="88"/>
  <c r="D236" i="88"/>
  <c r="D5" i="103" s="1"/>
  <c r="E5" i="103" s="1"/>
  <c r="B236" i="88"/>
  <c r="C228" i="88"/>
  <c r="A214" i="88"/>
  <c r="L222" i="88"/>
  <c r="J5" i="102" s="1"/>
  <c r="S5" i="102" s="1"/>
  <c r="I222" i="88"/>
  <c r="G222" i="88"/>
  <c r="D222" i="88"/>
  <c r="D5" i="102" s="1"/>
  <c r="B222" i="88"/>
  <c r="B5" i="102" s="1"/>
  <c r="M5" i="102" s="1"/>
  <c r="C214" i="88"/>
  <c r="A200" i="88"/>
  <c r="L208" i="88"/>
  <c r="J5" i="101" s="1"/>
  <c r="S5" i="101" s="1"/>
  <c r="I208" i="88"/>
  <c r="G208" i="88"/>
  <c r="D208" i="88"/>
  <c r="D5" i="101" s="1"/>
  <c r="B208" i="88"/>
  <c r="B5" i="101" s="1"/>
  <c r="C200" i="88"/>
  <c r="A186" i="88"/>
  <c r="L194" i="88"/>
  <c r="J5" i="100" s="1"/>
  <c r="I194" i="88"/>
  <c r="G194" i="88"/>
  <c r="D194" i="88"/>
  <c r="D5" i="100" s="1"/>
  <c r="R5" i="100" s="1"/>
  <c r="B194" i="88"/>
  <c r="C186" i="88"/>
  <c r="A172" i="88"/>
  <c r="L180" i="88"/>
  <c r="J5" i="99" s="1"/>
  <c r="S5" i="99" s="1"/>
  <c r="I180" i="88"/>
  <c r="G180" i="88"/>
  <c r="D180" i="88"/>
  <c r="D5" i="99" s="1"/>
  <c r="B180" i="88"/>
  <c r="B5" i="99" s="1"/>
  <c r="C172" i="88"/>
  <c r="A5" i="98"/>
  <c r="A158" i="88"/>
  <c r="G5" i="103" l="1"/>
  <c r="N29" i="77" s="1"/>
  <c r="E6" i="103"/>
  <c r="G5" i="108"/>
  <c r="V29" i="77" s="1"/>
  <c r="E6" i="108"/>
  <c r="G6" i="108" s="1"/>
  <c r="B5" i="107"/>
  <c r="C5" i="109"/>
  <c r="C6" i="109" s="1"/>
  <c r="C7" i="109" s="1"/>
  <c r="R5" i="103"/>
  <c r="E5" i="111"/>
  <c r="D5" i="111"/>
  <c r="B5" i="106"/>
  <c r="B5" i="100"/>
  <c r="M5" i="100" s="1"/>
  <c r="C6" i="108"/>
  <c r="H6" i="108" s="1"/>
  <c r="B5" i="103"/>
  <c r="D5" i="106"/>
  <c r="R5" i="106" s="1"/>
  <c r="B5" i="112"/>
  <c r="M5" i="112" s="1"/>
  <c r="D31" i="77"/>
  <c r="D30" i="77"/>
  <c r="N5" i="116"/>
  <c r="P5" i="116" s="1"/>
  <c r="Q5" i="116" s="1"/>
  <c r="H30" i="77"/>
  <c r="H5" i="116"/>
  <c r="I5" i="116"/>
  <c r="M5" i="106"/>
  <c r="R5" i="99"/>
  <c r="R5" i="107"/>
  <c r="E6" i="107"/>
  <c r="R5" i="101"/>
  <c r="E6" i="101"/>
  <c r="N5" i="117"/>
  <c r="P5" i="117" s="1"/>
  <c r="Q5" i="117" s="1"/>
  <c r="L31" i="77"/>
  <c r="H6" i="117"/>
  <c r="I6" i="117"/>
  <c r="O5" i="117" s="1"/>
  <c r="L30" i="77"/>
  <c r="H5" i="117"/>
  <c r="I5" i="117"/>
  <c r="E7" i="103"/>
  <c r="G7" i="103" s="1"/>
  <c r="G6" i="103"/>
  <c r="R5" i="109"/>
  <c r="M5" i="99"/>
  <c r="C6" i="99"/>
  <c r="C7" i="99" s="1"/>
  <c r="I6" i="116"/>
  <c r="H31" i="77"/>
  <c r="H6" i="116"/>
  <c r="M5" i="101"/>
  <c r="C6" i="101"/>
  <c r="C7" i="101" s="1"/>
  <c r="P13" i="115"/>
  <c r="E5" i="102"/>
  <c r="C5" i="102"/>
  <c r="C6" i="102" s="1"/>
  <c r="C7" i="102" s="1"/>
  <c r="E5" i="113"/>
  <c r="E5" i="112"/>
  <c r="E5" i="104"/>
  <c r="C5" i="104"/>
  <c r="C6" i="104" s="1"/>
  <c r="C7" i="104" s="1"/>
  <c r="E5" i="114"/>
  <c r="G5" i="114" s="1"/>
  <c r="Y29" i="77" s="1"/>
  <c r="C5" i="114"/>
  <c r="C6" i="114" s="1"/>
  <c r="E5" i="110"/>
  <c r="E5" i="109"/>
  <c r="G5" i="109" s="1"/>
  <c r="S29" i="77" s="1"/>
  <c r="E5" i="99"/>
  <c r="G5" i="99" s="1"/>
  <c r="I29" i="77" s="1"/>
  <c r="E5" i="100"/>
  <c r="E5" i="101"/>
  <c r="G5" i="101" s="1"/>
  <c r="K29" i="77" s="1"/>
  <c r="C5" i="106"/>
  <c r="C6" i="106" s="1"/>
  <c r="C7" i="106" s="1"/>
  <c r="C5" i="111"/>
  <c r="C6" i="111" s="1"/>
  <c r="E5" i="105"/>
  <c r="P5" i="113"/>
  <c r="P5" i="111"/>
  <c r="C5" i="110"/>
  <c r="C6" i="110" s="1"/>
  <c r="C7" i="110" s="1"/>
  <c r="H5" i="108"/>
  <c r="P5" i="108"/>
  <c r="Q5" i="108" s="1"/>
  <c r="I5" i="108"/>
  <c r="C5" i="105"/>
  <c r="C6" i="105" s="1"/>
  <c r="C7" i="105" s="1"/>
  <c r="C5" i="101"/>
  <c r="C5" i="99"/>
  <c r="L166" i="88"/>
  <c r="J5" i="98" s="1"/>
  <c r="S5" i="98" s="1"/>
  <c r="I166" i="88"/>
  <c r="G166" i="88"/>
  <c r="D166" i="88"/>
  <c r="B166" i="88"/>
  <c r="B5" i="98" s="1"/>
  <c r="C158" i="88"/>
  <c r="A5" i="97"/>
  <c r="A5" i="89"/>
  <c r="G5" i="113" l="1"/>
  <c r="X29" i="77" s="1"/>
  <c r="E6" i="113"/>
  <c r="G6" i="113" s="1"/>
  <c r="E6" i="109"/>
  <c r="C5" i="107"/>
  <c r="M5" i="107"/>
  <c r="E6" i="114"/>
  <c r="G6" i="114" s="1"/>
  <c r="E6" i="99"/>
  <c r="E7" i="99" s="1"/>
  <c r="G7" i="99" s="1"/>
  <c r="C5" i="100"/>
  <c r="C6" i="100" s="1"/>
  <c r="C7" i="100" s="1"/>
  <c r="G5" i="110"/>
  <c r="T29" i="77" s="1"/>
  <c r="E6" i="110"/>
  <c r="G5" i="102"/>
  <c r="M29" i="77" s="1"/>
  <c r="E6" i="102"/>
  <c r="C5" i="98"/>
  <c r="C6" i="98" s="1"/>
  <c r="C7" i="98" s="1"/>
  <c r="M5" i="98"/>
  <c r="E5" i="106"/>
  <c r="I6" i="108"/>
  <c r="O5" i="108" s="1"/>
  <c r="V30" i="77"/>
  <c r="G5" i="112"/>
  <c r="U29" i="77" s="1"/>
  <c r="E6" i="112"/>
  <c r="G5" i="100"/>
  <c r="J29" i="77" s="1"/>
  <c r="E6" i="100"/>
  <c r="D5" i="98"/>
  <c r="R5" i="98" s="1"/>
  <c r="G5" i="105"/>
  <c r="P29" i="77" s="1"/>
  <c r="E6" i="105"/>
  <c r="G5" i="104"/>
  <c r="O29" i="77" s="1"/>
  <c r="E6" i="104"/>
  <c r="G5" i="111"/>
  <c r="W29" i="77" s="1"/>
  <c r="E6" i="111"/>
  <c r="G6" i="111" s="1"/>
  <c r="M5" i="103"/>
  <c r="C5" i="103"/>
  <c r="I5" i="111"/>
  <c r="C5" i="112"/>
  <c r="C6" i="112" s="1"/>
  <c r="C7" i="112" s="1"/>
  <c r="O5" i="116"/>
  <c r="E7" i="109"/>
  <c r="G7" i="109" s="1"/>
  <c r="G6" i="109"/>
  <c r="N30" i="77"/>
  <c r="G6" i="99"/>
  <c r="E7" i="107"/>
  <c r="G7" i="107" s="1"/>
  <c r="G6" i="107"/>
  <c r="N5" i="103"/>
  <c r="P5" i="103" s="1"/>
  <c r="Q5" i="103" s="1"/>
  <c r="N31" i="77"/>
  <c r="E7" i="101"/>
  <c r="G7" i="101" s="1"/>
  <c r="G6" i="101"/>
  <c r="I5" i="113"/>
  <c r="I5" i="99"/>
  <c r="H5" i="102"/>
  <c r="I5" i="102"/>
  <c r="H5" i="114"/>
  <c r="I5" i="114"/>
  <c r="P5" i="114"/>
  <c r="Q5" i="114" s="1"/>
  <c r="H5" i="110"/>
  <c r="I5" i="110"/>
  <c r="I5" i="109"/>
  <c r="H5" i="109"/>
  <c r="I5" i="104"/>
  <c r="H5" i="104"/>
  <c r="Q5" i="111"/>
  <c r="H5" i="113"/>
  <c r="H5" i="105"/>
  <c r="I5" i="101"/>
  <c r="H5" i="99"/>
  <c r="H5" i="101"/>
  <c r="H5" i="111"/>
  <c r="I5" i="105"/>
  <c r="Q5" i="113"/>
  <c r="A144" i="88"/>
  <c r="L152" i="88"/>
  <c r="J5" i="97" s="1"/>
  <c r="S5" i="97" s="1"/>
  <c r="I152" i="88"/>
  <c r="G152" i="88"/>
  <c r="D152" i="88"/>
  <c r="D5" i="97" s="1"/>
  <c r="R5" i="97" s="1"/>
  <c r="B152" i="88"/>
  <c r="B5" i="97" s="1"/>
  <c r="M5" i="97" s="1"/>
  <c r="C144" i="88"/>
  <c r="A130" i="88"/>
  <c r="L138" i="88"/>
  <c r="J5" i="89" s="1"/>
  <c r="S5" i="89" s="1"/>
  <c r="I138" i="88"/>
  <c r="G138" i="88"/>
  <c r="D138" i="88"/>
  <c r="D5" i="89" s="1"/>
  <c r="R5" i="89" s="1"/>
  <c r="B138" i="88"/>
  <c r="B5" i="89" s="1"/>
  <c r="M5" i="89" s="1"/>
  <c r="C130" i="88"/>
  <c r="A28" i="76"/>
  <c r="A29" i="77"/>
  <c r="J31" i="75"/>
  <c r="J30" i="75"/>
  <c r="A31" i="75"/>
  <c r="A116" i="88"/>
  <c r="L124" i="88"/>
  <c r="I124" i="88"/>
  <c r="G124" i="88"/>
  <c r="D124" i="88"/>
  <c r="D31" i="75" s="1"/>
  <c r="B124" i="88"/>
  <c r="B31" i="75" s="1"/>
  <c r="H116" i="88"/>
  <c r="C116" i="88"/>
  <c r="A31" i="74"/>
  <c r="A102" i="88"/>
  <c r="L110" i="88"/>
  <c r="J31" i="74" s="1"/>
  <c r="I110" i="88"/>
  <c r="G110" i="88"/>
  <c r="D110" i="88"/>
  <c r="D31" i="74" s="1"/>
  <c r="B110" i="88"/>
  <c r="B31" i="74" s="1"/>
  <c r="H102" i="88"/>
  <c r="C102" i="88"/>
  <c r="A31" i="73"/>
  <c r="A88" i="88"/>
  <c r="L96" i="88"/>
  <c r="J31" i="73" s="1"/>
  <c r="I96" i="88"/>
  <c r="G96" i="88"/>
  <c r="D96" i="88"/>
  <c r="D31" i="73" s="1"/>
  <c r="E31" i="73" s="1"/>
  <c r="B96" i="88"/>
  <c r="B31" i="73" s="1"/>
  <c r="C88" i="88"/>
  <c r="A31" i="58"/>
  <c r="J31" i="58"/>
  <c r="A74" i="88"/>
  <c r="L82" i="88"/>
  <c r="I82" i="88"/>
  <c r="G82" i="88"/>
  <c r="D82" i="88"/>
  <c r="D31" i="58" s="1"/>
  <c r="B82" i="88"/>
  <c r="B31" i="58" s="1"/>
  <c r="H74" i="88"/>
  <c r="C74" i="88"/>
  <c r="A31" i="57"/>
  <c r="A31" i="48"/>
  <c r="A60" i="88"/>
  <c r="L68" i="88"/>
  <c r="J31" i="57" s="1"/>
  <c r="I68" i="88"/>
  <c r="G68" i="88"/>
  <c r="D68" i="88"/>
  <c r="D31" i="57" s="1"/>
  <c r="B68" i="88"/>
  <c r="B31" i="57" s="1"/>
  <c r="H60" i="88"/>
  <c r="C60" i="88"/>
  <c r="A46" i="88"/>
  <c r="A31" i="46"/>
  <c r="L54" i="88"/>
  <c r="J31" i="48" s="1"/>
  <c r="I54" i="88"/>
  <c r="G54" i="88"/>
  <c r="D54" i="88"/>
  <c r="D31" i="48" s="1"/>
  <c r="B54" i="88"/>
  <c r="B31" i="48" s="1"/>
  <c r="C46" i="88"/>
  <c r="A32" i="88"/>
  <c r="L40" i="88"/>
  <c r="J31" i="46" s="1"/>
  <c r="I40" i="88"/>
  <c r="G40" i="88"/>
  <c r="D40" i="88"/>
  <c r="D31" i="46" s="1"/>
  <c r="B40" i="88"/>
  <c r="B31" i="46" s="1"/>
  <c r="H32" i="88"/>
  <c r="C32" i="88"/>
  <c r="A31" i="35"/>
  <c r="H18" i="88"/>
  <c r="C18" i="88"/>
  <c r="A18" i="88"/>
  <c r="T13" i="88"/>
  <c r="AM29" i="77" s="1"/>
  <c r="O13" i="88"/>
  <c r="L26" i="88"/>
  <c r="I26" i="88"/>
  <c r="G26" i="88"/>
  <c r="B26" i="88"/>
  <c r="B31" i="35" s="1"/>
  <c r="D26" i="88"/>
  <c r="D31" i="35" s="1"/>
  <c r="E5" i="98" l="1"/>
  <c r="G6" i="112"/>
  <c r="E7" i="112"/>
  <c r="G7" i="112" s="1"/>
  <c r="E31" i="48"/>
  <c r="G31" i="48" s="1"/>
  <c r="C6" i="103"/>
  <c r="H5" i="103"/>
  <c r="I5" i="103"/>
  <c r="I6" i="114"/>
  <c r="O5" i="114" s="1"/>
  <c r="Y30" i="77"/>
  <c r="H6" i="114"/>
  <c r="E7" i="100"/>
  <c r="G7" i="100" s="1"/>
  <c r="G6" i="100"/>
  <c r="E7" i="110"/>
  <c r="G7" i="110" s="1"/>
  <c r="G6" i="110"/>
  <c r="H5" i="100"/>
  <c r="I5" i="100"/>
  <c r="W30" i="77"/>
  <c r="H6" i="111"/>
  <c r="C6" i="107"/>
  <c r="C7" i="107" s="1"/>
  <c r="I7" i="107" s="1"/>
  <c r="O5" i="107" s="1"/>
  <c r="I5" i="107"/>
  <c r="H5" i="107"/>
  <c r="H5" i="112"/>
  <c r="G5" i="106"/>
  <c r="E6" i="106"/>
  <c r="E7" i="104"/>
  <c r="G7" i="104" s="1"/>
  <c r="G6" i="104"/>
  <c r="X30" i="77"/>
  <c r="H6" i="113"/>
  <c r="I6" i="113"/>
  <c r="I5" i="112"/>
  <c r="O5" i="113"/>
  <c r="E7" i="105"/>
  <c r="G7" i="105" s="1"/>
  <c r="G6" i="105"/>
  <c r="E7" i="102"/>
  <c r="G7" i="102" s="1"/>
  <c r="G6" i="102"/>
  <c r="I6" i="111"/>
  <c r="O5" i="111" s="1"/>
  <c r="H6" i="101"/>
  <c r="K30" i="77"/>
  <c r="I6" i="101"/>
  <c r="I31" i="77"/>
  <c r="N5" i="99"/>
  <c r="P5" i="99" s="1"/>
  <c r="Q5" i="99" s="1"/>
  <c r="I7" i="99"/>
  <c r="O5" i="99" s="1"/>
  <c r="H7" i="99"/>
  <c r="Q30" i="77"/>
  <c r="N5" i="101"/>
  <c r="P5" i="101" s="1"/>
  <c r="Q5" i="101" s="1"/>
  <c r="K31" i="77"/>
  <c r="I7" i="101"/>
  <c r="O5" i="101" s="1"/>
  <c r="H7" i="101"/>
  <c r="H6" i="99"/>
  <c r="I6" i="99"/>
  <c r="I30" i="77"/>
  <c r="H6" i="109"/>
  <c r="I6" i="109"/>
  <c r="S30" i="77"/>
  <c r="N5" i="107"/>
  <c r="P5" i="107" s="1"/>
  <c r="Q5" i="107" s="1"/>
  <c r="Q31" i="77"/>
  <c r="H7" i="109"/>
  <c r="S31" i="77"/>
  <c r="N5" i="109"/>
  <c r="P5" i="109" s="1"/>
  <c r="Q5" i="109" s="1"/>
  <c r="I7" i="109"/>
  <c r="O5" i="109" s="1"/>
  <c r="E5" i="97"/>
  <c r="C5" i="97"/>
  <c r="C6" i="97" s="1"/>
  <c r="C7" i="97" s="1"/>
  <c r="E5" i="89"/>
  <c r="S13" i="88"/>
  <c r="AL29" i="77" s="1"/>
  <c r="J31" i="35"/>
  <c r="I6" i="107" l="1"/>
  <c r="N5" i="104"/>
  <c r="P5" i="104" s="1"/>
  <c r="Q5" i="104" s="1"/>
  <c r="H7" i="104"/>
  <c r="O31" i="77"/>
  <c r="I7" i="104"/>
  <c r="O5" i="104" s="1"/>
  <c r="H6" i="110"/>
  <c r="T30" i="77"/>
  <c r="I6" i="110"/>
  <c r="G5" i="97"/>
  <c r="F29" i="77" s="1"/>
  <c r="E6" i="97"/>
  <c r="N5" i="110"/>
  <c r="P5" i="110" s="1"/>
  <c r="Q5" i="110" s="1"/>
  <c r="T31" i="77"/>
  <c r="I7" i="110"/>
  <c r="O5" i="110" s="1"/>
  <c r="H7" i="110"/>
  <c r="H7" i="112"/>
  <c r="I7" i="112"/>
  <c r="O5" i="112" s="1"/>
  <c r="U31" i="77"/>
  <c r="N5" i="112"/>
  <c r="P5" i="112" s="1"/>
  <c r="Q5" i="112" s="1"/>
  <c r="H6" i="112"/>
  <c r="I6" i="112"/>
  <c r="U30" i="77"/>
  <c r="G5" i="89"/>
  <c r="E29" i="77" s="1"/>
  <c r="E6" i="89"/>
  <c r="H7" i="102"/>
  <c r="I7" i="102"/>
  <c r="O5" i="102" s="1"/>
  <c r="N5" i="102"/>
  <c r="P5" i="102" s="1"/>
  <c r="Q5" i="102" s="1"/>
  <c r="M31" i="77"/>
  <c r="R29" i="77"/>
  <c r="H5" i="106"/>
  <c r="I5" i="106"/>
  <c r="I6" i="100"/>
  <c r="H6" i="100"/>
  <c r="J30" i="77"/>
  <c r="H7" i="107"/>
  <c r="M30" i="77"/>
  <c r="H6" i="102"/>
  <c r="I6" i="102"/>
  <c r="H6" i="105"/>
  <c r="P30" i="77"/>
  <c r="I6" i="105"/>
  <c r="N5" i="100"/>
  <c r="P5" i="100" s="1"/>
  <c r="Q5" i="100" s="1"/>
  <c r="J31" i="77"/>
  <c r="H7" i="100"/>
  <c r="I7" i="100"/>
  <c r="O5" i="100" s="1"/>
  <c r="C7" i="103"/>
  <c r="I6" i="103"/>
  <c r="H6" i="103"/>
  <c r="H6" i="104"/>
  <c r="I6" i="104"/>
  <c r="O30" i="77"/>
  <c r="H6" i="107"/>
  <c r="E7" i="106"/>
  <c r="G7" i="106" s="1"/>
  <c r="G6" i="106"/>
  <c r="I7" i="105"/>
  <c r="O5" i="105" s="1"/>
  <c r="H7" i="105"/>
  <c r="P31" i="77"/>
  <c r="N5" i="105"/>
  <c r="P5" i="105" s="1"/>
  <c r="Q5" i="105" s="1"/>
  <c r="G5" i="98"/>
  <c r="E6" i="98"/>
  <c r="C5" i="89"/>
  <c r="C6" i="89" s="1"/>
  <c r="C7" i="89" s="1"/>
  <c r="R13" i="88"/>
  <c r="P13" i="88"/>
  <c r="E7" i="98" l="1"/>
  <c r="G7" i="98" s="1"/>
  <c r="G6" i="98"/>
  <c r="E7" i="89"/>
  <c r="G7" i="89" s="1"/>
  <c r="G6" i="89"/>
  <c r="G29" i="77"/>
  <c r="AH29" i="77" s="1"/>
  <c r="H5" i="98"/>
  <c r="I5" i="98"/>
  <c r="I7" i="103"/>
  <c r="O5" i="103" s="1"/>
  <c r="H7" i="103"/>
  <c r="I6" i="106"/>
  <c r="H6" i="106"/>
  <c r="R30" i="77"/>
  <c r="I7" i="106"/>
  <c r="O5" i="106" s="1"/>
  <c r="R31" i="77"/>
  <c r="H7" i="106"/>
  <c r="N5" i="106"/>
  <c r="P5" i="106" s="1"/>
  <c r="Q5" i="106" s="1"/>
  <c r="I5" i="97"/>
  <c r="H5" i="97"/>
  <c r="G6" i="97"/>
  <c r="E7" i="97"/>
  <c r="G7" i="97" s="1"/>
  <c r="H5" i="89"/>
  <c r="I5" i="89"/>
  <c r="G31" i="73"/>
  <c r="N5" i="97" l="1"/>
  <c r="P5" i="97" s="1"/>
  <c r="Q5" i="97" s="1"/>
  <c r="I7" i="97"/>
  <c r="O5" i="97" s="1"/>
  <c r="H7" i="97"/>
  <c r="F31" i="77"/>
  <c r="F30" i="77"/>
  <c r="H6" i="97"/>
  <c r="I6" i="97"/>
  <c r="I6" i="89"/>
  <c r="E30" i="77"/>
  <c r="AH30" i="77" s="1"/>
  <c r="AI30" i="77" s="1"/>
  <c r="H6" i="89"/>
  <c r="E31" i="77"/>
  <c r="AH31" i="77" s="1"/>
  <c r="AI31" i="77" s="1"/>
  <c r="I7" i="89"/>
  <c r="O5" i="89" s="1"/>
  <c r="N5" i="89"/>
  <c r="H7" i="89"/>
  <c r="H6" i="98"/>
  <c r="G30" i="77"/>
  <c r="I6" i="98"/>
  <c r="G31" i="77"/>
  <c r="N5" i="98"/>
  <c r="P5" i="98" s="1"/>
  <c r="Q5" i="98" s="1"/>
  <c r="I7" i="98"/>
  <c r="O5" i="98" s="1"/>
  <c r="H7" i="98"/>
  <c r="AM28" i="77"/>
  <c r="A28" i="77"/>
  <c r="A27" i="76"/>
  <c r="B30" i="75"/>
  <c r="A30" i="75"/>
  <c r="D30" i="74"/>
  <c r="B30" i="74"/>
  <c r="A30" i="74"/>
  <c r="D30" i="73"/>
  <c r="B30" i="73"/>
  <c r="A30" i="73"/>
  <c r="D30" i="58"/>
  <c r="A30" i="58"/>
  <c r="J30" i="35"/>
  <c r="A30" i="57"/>
  <c r="A30" i="48"/>
  <c r="D30" i="46"/>
  <c r="A30" i="46"/>
  <c r="D30" i="35"/>
  <c r="A30" i="35"/>
  <c r="E108" i="87"/>
  <c r="D108" i="87"/>
  <c r="D30" i="75" s="1"/>
  <c r="B108" i="87"/>
  <c r="C100" i="87"/>
  <c r="E96" i="87"/>
  <c r="J30" i="74" s="1"/>
  <c r="D96" i="87"/>
  <c r="B96" i="87"/>
  <c r="C88" i="87"/>
  <c r="E84" i="87"/>
  <c r="J30" i="73" s="1"/>
  <c r="D84" i="87"/>
  <c r="B84" i="87"/>
  <c r="C76" i="87"/>
  <c r="E72" i="87"/>
  <c r="J30" i="58" s="1"/>
  <c r="D72" i="87"/>
  <c r="B72" i="87"/>
  <c r="B30" i="58" s="1"/>
  <c r="C64" i="87"/>
  <c r="E60" i="87"/>
  <c r="J30" i="57" s="1"/>
  <c r="D60" i="87"/>
  <c r="D30" i="57" s="1"/>
  <c r="B60" i="87"/>
  <c r="B30" i="57" s="1"/>
  <c r="C52" i="87"/>
  <c r="E48" i="87"/>
  <c r="J30" i="48" s="1"/>
  <c r="D48" i="87"/>
  <c r="D30" i="48" s="1"/>
  <c r="B48" i="87"/>
  <c r="B30" i="48" s="1"/>
  <c r="C40" i="87"/>
  <c r="A40" i="87"/>
  <c r="A76" i="87" s="1"/>
  <c r="E36" i="87"/>
  <c r="J30" i="46" s="1"/>
  <c r="D36" i="87"/>
  <c r="B36" i="87"/>
  <c r="B30" i="46" s="1"/>
  <c r="C28" i="87"/>
  <c r="A28" i="87"/>
  <c r="A64" i="87" s="1"/>
  <c r="A100" i="87" s="1"/>
  <c r="E24" i="87"/>
  <c r="D24" i="87"/>
  <c r="B24" i="87"/>
  <c r="B30" i="35" s="1"/>
  <c r="C16" i="87"/>
  <c r="A16" i="87"/>
  <c r="A52" i="87" s="1"/>
  <c r="A88" i="87" s="1"/>
  <c r="B12" i="87"/>
  <c r="C4" i="87"/>
  <c r="D4" i="87" s="1"/>
  <c r="D12" i="87" s="1"/>
  <c r="E12" i="87" l="1"/>
  <c r="AL28" i="77" s="1"/>
  <c r="C12" i="87"/>
  <c r="AM27" i="77"/>
  <c r="A27" i="77" l="1"/>
  <c r="A26" i="76"/>
  <c r="A29" i="75"/>
  <c r="A29" i="74"/>
  <c r="A29" i="73"/>
  <c r="A29" i="58"/>
  <c r="A29" i="57"/>
  <c r="A29" i="48"/>
  <c r="A29" i="46"/>
  <c r="A29" i="35"/>
  <c r="E108" i="86"/>
  <c r="J29" i="75" s="1"/>
  <c r="D108" i="86"/>
  <c r="D29" i="75" s="1"/>
  <c r="B108" i="86"/>
  <c r="B29" i="75" s="1"/>
  <c r="C100" i="86"/>
  <c r="E96" i="86"/>
  <c r="J29" i="74" s="1"/>
  <c r="D96" i="86"/>
  <c r="D29" i="74" s="1"/>
  <c r="B96" i="86"/>
  <c r="B29" i="74" s="1"/>
  <c r="C88" i="86"/>
  <c r="E84" i="86"/>
  <c r="J29" i="73" s="1"/>
  <c r="D84" i="86"/>
  <c r="D29" i="73" s="1"/>
  <c r="B84" i="86"/>
  <c r="B29" i="73" s="1"/>
  <c r="C76" i="86"/>
  <c r="E72" i="86"/>
  <c r="J29" i="58" s="1"/>
  <c r="D72" i="86"/>
  <c r="D29" i="58" s="1"/>
  <c r="B72" i="86"/>
  <c r="B29" i="58" s="1"/>
  <c r="C64" i="86"/>
  <c r="E60" i="86"/>
  <c r="J29" i="57" s="1"/>
  <c r="D60" i="86"/>
  <c r="D29" i="57" s="1"/>
  <c r="B60" i="86"/>
  <c r="B29" i="57" s="1"/>
  <c r="C52" i="86"/>
  <c r="E48" i="86"/>
  <c r="D48" i="86"/>
  <c r="D29" i="48" s="1"/>
  <c r="B48" i="86"/>
  <c r="B29" i="48" s="1"/>
  <c r="C40" i="86"/>
  <c r="A40" i="86"/>
  <c r="A76" i="86" s="1"/>
  <c r="E36" i="86"/>
  <c r="J29" i="46" s="1"/>
  <c r="D36" i="86"/>
  <c r="D29" i="46" s="1"/>
  <c r="B36" i="86"/>
  <c r="B29" i="46" s="1"/>
  <c r="C28" i="86"/>
  <c r="A28" i="86"/>
  <c r="A64" i="86" s="1"/>
  <c r="A100" i="86" s="1"/>
  <c r="E24" i="86"/>
  <c r="J29" i="35" s="1"/>
  <c r="D24" i="86"/>
  <c r="D29" i="35" s="1"/>
  <c r="B24" i="86"/>
  <c r="B29" i="35" s="1"/>
  <c r="C16" i="86"/>
  <c r="A16" i="86"/>
  <c r="A52" i="86" s="1"/>
  <c r="A88" i="86" s="1"/>
  <c r="B12" i="86"/>
  <c r="C4" i="86"/>
  <c r="C12" i="86" s="1"/>
  <c r="E12" i="86" l="1"/>
  <c r="AL27" i="77" s="1"/>
  <c r="J29" i="48"/>
  <c r="D4" i="86"/>
  <c r="D12" i="86" s="1"/>
  <c r="AM26" i="77" l="1"/>
  <c r="A26" i="77"/>
  <c r="A25" i="76"/>
  <c r="A28" i="75"/>
  <c r="A28" i="74"/>
  <c r="A28" i="73"/>
  <c r="A28" i="58"/>
  <c r="A28" i="57"/>
  <c r="A28" i="48"/>
  <c r="A28" i="46"/>
  <c r="A28" i="35"/>
  <c r="E108" i="85" l="1"/>
  <c r="J28" i="75" s="1"/>
  <c r="D108" i="85"/>
  <c r="D28" i="75" s="1"/>
  <c r="B108" i="85"/>
  <c r="B28" i="75" s="1"/>
  <c r="C100" i="85"/>
  <c r="E96" i="85"/>
  <c r="J28" i="74" s="1"/>
  <c r="D96" i="85"/>
  <c r="D28" i="74" s="1"/>
  <c r="B96" i="85"/>
  <c r="B28" i="74" s="1"/>
  <c r="C88" i="85"/>
  <c r="E84" i="85"/>
  <c r="J28" i="73" s="1"/>
  <c r="D84" i="85"/>
  <c r="D28" i="73" s="1"/>
  <c r="B84" i="85"/>
  <c r="B28" i="73" s="1"/>
  <c r="C76" i="85"/>
  <c r="E72" i="85"/>
  <c r="J28" i="58" s="1"/>
  <c r="D72" i="85"/>
  <c r="D28" i="58" s="1"/>
  <c r="B72" i="85"/>
  <c r="B28" i="58" s="1"/>
  <c r="C64" i="85"/>
  <c r="E60" i="85"/>
  <c r="J28" i="57" s="1"/>
  <c r="D60" i="85"/>
  <c r="D28" i="57" s="1"/>
  <c r="B60" i="85"/>
  <c r="B28" i="57" s="1"/>
  <c r="C52" i="85"/>
  <c r="E48" i="85"/>
  <c r="J28" i="48" s="1"/>
  <c r="D48" i="85"/>
  <c r="D28" i="48" s="1"/>
  <c r="B48" i="85"/>
  <c r="B28" i="48" s="1"/>
  <c r="C40" i="85"/>
  <c r="A40" i="85"/>
  <c r="A76" i="85" s="1"/>
  <c r="E36" i="85"/>
  <c r="J28" i="46" s="1"/>
  <c r="D36" i="85"/>
  <c r="D28" i="46" s="1"/>
  <c r="B36" i="85"/>
  <c r="B28" i="46" s="1"/>
  <c r="C28" i="85"/>
  <c r="A28" i="85"/>
  <c r="A64" i="85" s="1"/>
  <c r="A100" i="85" s="1"/>
  <c r="E24" i="85"/>
  <c r="J28" i="35" s="1"/>
  <c r="D24" i="85"/>
  <c r="D28" i="35" s="1"/>
  <c r="B24" i="85"/>
  <c r="B28" i="35" s="1"/>
  <c r="C16" i="85"/>
  <c r="A16" i="85"/>
  <c r="A52" i="85" s="1"/>
  <c r="A88" i="85" s="1"/>
  <c r="B12" i="85"/>
  <c r="C4" i="85"/>
  <c r="D4" i="85" s="1"/>
  <c r="D12" i="85" s="1"/>
  <c r="E12" i="85" l="1"/>
  <c r="AL26" i="77" s="1"/>
  <c r="C12" i="85"/>
  <c r="AM19" i="77"/>
  <c r="A18" i="76"/>
  <c r="A19" i="77"/>
  <c r="A21" i="75"/>
  <c r="A21" i="74"/>
  <c r="A21" i="73"/>
  <c r="A21" i="58"/>
  <c r="A21" i="57"/>
  <c r="A21" i="48"/>
  <c r="A21" i="46"/>
  <c r="A21" i="35"/>
  <c r="C100" i="78"/>
  <c r="C88" i="78"/>
  <c r="C76" i="78"/>
  <c r="C64" i="78"/>
  <c r="C52" i="78"/>
  <c r="C40" i="78"/>
  <c r="C28" i="78"/>
  <c r="C16" i="78"/>
  <c r="E108" i="78"/>
  <c r="J21" i="75" s="1"/>
  <c r="D108" i="78"/>
  <c r="D21" i="75" s="1"/>
  <c r="B108" i="78"/>
  <c r="B21" i="75" s="1"/>
  <c r="A100" i="78"/>
  <c r="E96" i="78"/>
  <c r="J21" i="74" s="1"/>
  <c r="D96" i="78"/>
  <c r="D21" i="74" s="1"/>
  <c r="B96" i="78"/>
  <c r="B21" i="74" s="1"/>
  <c r="A88" i="78"/>
  <c r="E84" i="78"/>
  <c r="J21" i="73" s="1"/>
  <c r="D84" i="78"/>
  <c r="D21" i="73" s="1"/>
  <c r="B84" i="78"/>
  <c r="B21" i="73" s="1"/>
  <c r="A76" i="78"/>
  <c r="E72" i="78"/>
  <c r="J21" i="58" s="1"/>
  <c r="D72" i="78"/>
  <c r="D21" i="58" s="1"/>
  <c r="B72" i="78"/>
  <c r="B21" i="58" s="1"/>
  <c r="A64" i="78"/>
  <c r="E60" i="78"/>
  <c r="J21" i="57" s="1"/>
  <c r="D60" i="78"/>
  <c r="D21" i="57" s="1"/>
  <c r="B60" i="78"/>
  <c r="B21" i="57" s="1"/>
  <c r="A52" i="78"/>
  <c r="E48" i="78"/>
  <c r="J21" i="48" s="1"/>
  <c r="D48" i="78"/>
  <c r="D21" i="48" s="1"/>
  <c r="B48" i="78"/>
  <c r="B21" i="48" s="1"/>
  <c r="A40" i="78"/>
  <c r="E36" i="78"/>
  <c r="J21" i="46" s="1"/>
  <c r="D36" i="78"/>
  <c r="D21" i="46" s="1"/>
  <c r="B36" i="78"/>
  <c r="B21" i="46" s="1"/>
  <c r="A28" i="78"/>
  <c r="E24" i="78"/>
  <c r="E12" i="78" s="1"/>
  <c r="AL19" i="77" s="1"/>
  <c r="D24" i="78"/>
  <c r="D21" i="35" s="1"/>
  <c r="B24" i="78"/>
  <c r="B21" i="35" s="1"/>
  <c r="A16" i="78"/>
  <c r="B12" i="78"/>
  <c r="C4" i="78"/>
  <c r="D4" i="78" s="1"/>
  <c r="A27" i="75"/>
  <c r="A27" i="73"/>
  <c r="A27" i="58"/>
  <c r="A27" i="57"/>
  <c r="A27" i="48"/>
  <c r="A27" i="46"/>
  <c r="A27" i="74"/>
  <c r="J21" i="35" l="1"/>
  <c r="D12" i="78"/>
  <c r="C12" i="78"/>
  <c r="A27" i="35"/>
  <c r="AM25" i="77"/>
  <c r="A25" i="77"/>
  <c r="A24" i="76"/>
  <c r="C16" i="84"/>
  <c r="E108" i="84"/>
  <c r="J27" i="75" s="1"/>
  <c r="D108" i="84"/>
  <c r="D27" i="75" s="1"/>
  <c r="B108" i="84"/>
  <c r="B27" i="75" s="1"/>
  <c r="C100" i="84"/>
  <c r="E96" i="84"/>
  <c r="J27" i="74" s="1"/>
  <c r="D96" i="84"/>
  <c r="D27" i="74" s="1"/>
  <c r="B96" i="84"/>
  <c r="B27" i="74" s="1"/>
  <c r="C88" i="84"/>
  <c r="E84" i="84"/>
  <c r="J27" i="73" s="1"/>
  <c r="D84" i="84"/>
  <c r="D27" i="73" s="1"/>
  <c r="B84" i="84"/>
  <c r="B27" i="73" s="1"/>
  <c r="C76" i="84"/>
  <c r="E72" i="84"/>
  <c r="J27" i="58" s="1"/>
  <c r="D72" i="84"/>
  <c r="D27" i="58" s="1"/>
  <c r="B72" i="84"/>
  <c r="B27" i="58" s="1"/>
  <c r="C64" i="84"/>
  <c r="E60" i="84"/>
  <c r="J27" i="57" s="1"/>
  <c r="D60" i="84"/>
  <c r="D27" i="57" s="1"/>
  <c r="B60" i="84"/>
  <c r="B27" i="57" s="1"/>
  <c r="C52" i="84"/>
  <c r="E48" i="84"/>
  <c r="J27" i="48" s="1"/>
  <c r="D48" i="84"/>
  <c r="D27" i="48" s="1"/>
  <c r="B48" i="84"/>
  <c r="B27" i="48" s="1"/>
  <c r="C40" i="84"/>
  <c r="A40" i="84"/>
  <c r="A76" i="84" s="1"/>
  <c r="E36" i="84"/>
  <c r="J27" i="46" s="1"/>
  <c r="D36" i="84"/>
  <c r="D27" i="46" s="1"/>
  <c r="B36" i="84"/>
  <c r="B27" i="46" s="1"/>
  <c r="C28" i="84"/>
  <c r="A28" i="84"/>
  <c r="A64" i="84" s="1"/>
  <c r="A100" i="84" s="1"/>
  <c r="E24" i="84"/>
  <c r="J27" i="35" s="1"/>
  <c r="D24" i="84"/>
  <c r="D27" i="35" s="1"/>
  <c r="B24" i="84"/>
  <c r="B27" i="35" s="1"/>
  <c r="A16" i="84"/>
  <c r="A52" i="84" s="1"/>
  <c r="A88" i="84" s="1"/>
  <c r="B12" i="84"/>
  <c r="C4" i="84"/>
  <c r="C12" i="84" s="1"/>
  <c r="E12" i="84" l="1"/>
  <c r="D4" i="84"/>
  <c r="D12" i="84" s="1"/>
  <c r="AM24" i="77"/>
  <c r="A24" i="77"/>
  <c r="AL25" i="77" l="1"/>
  <c r="A26" i="75"/>
  <c r="A26" i="74"/>
  <c r="A26" i="73"/>
  <c r="A26" i="58"/>
  <c r="A26" i="57"/>
  <c r="A26" i="48"/>
  <c r="A26" i="46"/>
  <c r="A26" i="35"/>
  <c r="A23" i="76"/>
  <c r="A16" i="83"/>
  <c r="A28" i="83"/>
  <c r="E108" i="83"/>
  <c r="J26" i="75" s="1"/>
  <c r="D108" i="83"/>
  <c r="D26" i="75" s="1"/>
  <c r="B108" i="83"/>
  <c r="B26" i="75" s="1"/>
  <c r="C100" i="83"/>
  <c r="A100" i="83"/>
  <c r="E96" i="83"/>
  <c r="J26" i="74" s="1"/>
  <c r="D96" i="83"/>
  <c r="D26" i="74" s="1"/>
  <c r="B96" i="83"/>
  <c r="B26" i="74" s="1"/>
  <c r="C88" i="83"/>
  <c r="A88" i="83"/>
  <c r="E84" i="83"/>
  <c r="J26" i="73" s="1"/>
  <c r="D84" i="83"/>
  <c r="D26" i="73" s="1"/>
  <c r="B84" i="83"/>
  <c r="B26" i="73" s="1"/>
  <c r="C76" i="83"/>
  <c r="A76" i="83"/>
  <c r="E72" i="83"/>
  <c r="J26" i="58" s="1"/>
  <c r="D72" i="83"/>
  <c r="D26" i="58" s="1"/>
  <c r="B72" i="83"/>
  <c r="B26" i="58" s="1"/>
  <c r="C64" i="83"/>
  <c r="A64" i="83"/>
  <c r="E60" i="83"/>
  <c r="J26" i="57" s="1"/>
  <c r="D60" i="83"/>
  <c r="D26" i="57" s="1"/>
  <c r="B60" i="83"/>
  <c r="B26" i="57" s="1"/>
  <c r="C52" i="83"/>
  <c r="A52" i="83"/>
  <c r="E48" i="83"/>
  <c r="J26" i="48" s="1"/>
  <c r="D48" i="83"/>
  <c r="D26" i="48" s="1"/>
  <c r="B48" i="83"/>
  <c r="B26" i="48" s="1"/>
  <c r="C40" i="83"/>
  <c r="A40" i="83"/>
  <c r="E36" i="83"/>
  <c r="J26" i="46" s="1"/>
  <c r="D36" i="83"/>
  <c r="D26" i="46" s="1"/>
  <c r="B36" i="83"/>
  <c r="B26" i="46" s="1"/>
  <c r="C28" i="83"/>
  <c r="E24" i="83"/>
  <c r="J26" i="35" s="1"/>
  <c r="D24" i="83"/>
  <c r="D26" i="35" s="1"/>
  <c r="B24" i="83"/>
  <c r="B26" i="35" s="1"/>
  <c r="B12" i="83"/>
  <c r="C4" i="83"/>
  <c r="C12" i="83" s="1"/>
  <c r="E12" i="83" l="1"/>
  <c r="AL24" i="77" s="1"/>
  <c r="D4" i="83"/>
  <c r="D12" i="83" s="1"/>
  <c r="A25" i="75"/>
  <c r="A25" i="74"/>
  <c r="A24" i="74"/>
  <c r="A25" i="73"/>
  <c r="A25" i="58"/>
  <c r="A25" i="57"/>
  <c r="A25" i="48"/>
  <c r="AM23" i="77"/>
  <c r="A23" i="77"/>
  <c r="A22" i="76"/>
  <c r="A25" i="46" l="1"/>
  <c r="A25" i="35"/>
  <c r="E108" i="82"/>
  <c r="J25" i="75" s="1"/>
  <c r="D108" i="82"/>
  <c r="D25" i="75" s="1"/>
  <c r="B108" i="82"/>
  <c r="B25" i="75" s="1"/>
  <c r="C100" i="82"/>
  <c r="A100" i="82"/>
  <c r="E96" i="82"/>
  <c r="J25" i="74" s="1"/>
  <c r="D96" i="82"/>
  <c r="D25" i="74" s="1"/>
  <c r="B96" i="82"/>
  <c r="B25" i="74" s="1"/>
  <c r="C88" i="82"/>
  <c r="A88" i="82"/>
  <c r="E84" i="82"/>
  <c r="J25" i="73" s="1"/>
  <c r="D84" i="82"/>
  <c r="D25" i="73" s="1"/>
  <c r="B84" i="82"/>
  <c r="B25" i="73" s="1"/>
  <c r="C76" i="82"/>
  <c r="A76" i="82"/>
  <c r="E72" i="82"/>
  <c r="J25" i="58" s="1"/>
  <c r="D72" i="82"/>
  <c r="D25" i="58" s="1"/>
  <c r="B72" i="82"/>
  <c r="B25" i="58" s="1"/>
  <c r="C64" i="82"/>
  <c r="A64" i="82"/>
  <c r="E60" i="82"/>
  <c r="J25" i="57" s="1"/>
  <c r="D60" i="82"/>
  <c r="D25" i="57" s="1"/>
  <c r="B60" i="82"/>
  <c r="B25" i="57" s="1"/>
  <c r="C52" i="82"/>
  <c r="A52" i="82"/>
  <c r="E48" i="82"/>
  <c r="J25" i="48" s="1"/>
  <c r="D48" i="82"/>
  <c r="D25" i="48" s="1"/>
  <c r="B48" i="82"/>
  <c r="B25" i="48" s="1"/>
  <c r="C40" i="82"/>
  <c r="A40" i="82"/>
  <c r="E36" i="82"/>
  <c r="J25" i="46" s="1"/>
  <c r="D36" i="82"/>
  <c r="D25" i="46" s="1"/>
  <c r="B36" i="82"/>
  <c r="B25" i="46" s="1"/>
  <c r="C28" i="82"/>
  <c r="A28" i="82"/>
  <c r="E24" i="82"/>
  <c r="J25" i="35" s="1"/>
  <c r="D24" i="82"/>
  <c r="D25" i="35" s="1"/>
  <c r="B24" i="82"/>
  <c r="B25" i="35" s="1"/>
  <c r="C16" i="82"/>
  <c r="A16" i="82"/>
  <c r="B12" i="82"/>
  <c r="C4" i="82"/>
  <c r="C12" i="82" s="1"/>
  <c r="D4" i="82" l="1"/>
  <c r="D12" i="82" s="1"/>
  <c r="E12" i="82"/>
  <c r="AL23" i="77" s="1"/>
  <c r="AM22" i="77" l="1"/>
  <c r="A22" i="77"/>
  <c r="A24" i="75"/>
  <c r="A24" i="73"/>
  <c r="A24" i="58"/>
  <c r="A24" i="57"/>
  <c r="A24" i="48"/>
  <c r="A24" i="46"/>
  <c r="A24" i="35"/>
  <c r="A21" i="76"/>
  <c r="E108" i="81"/>
  <c r="J24" i="75" s="1"/>
  <c r="D108" i="81"/>
  <c r="D24" i="75" s="1"/>
  <c r="B108" i="81"/>
  <c r="B24" i="75" s="1"/>
  <c r="C101" i="81"/>
  <c r="A101" i="81"/>
  <c r="C100" i="81"/>
  <c r="A100" i="81"/>
  <c r="E96" i="81"/>
  <c r="J24" i="74" s="1"/>
  <c r="D96" i="81"/>
  <c r="D24" i="74" s="1"/>
  <c r="B96" i="81"/>
  <c r="B24" i="74" s="1"/>
  <c r="C89" i="81"/>
  <c r="A89" i="81"/>
  <c r="C88" i="81"/>
  <c r="A88" i="81"/>
  <c r="E84" i="81"/>
  <c r="J24" i="73" s="1"/>
  <c r="D84" i="81"/>
  <c r="D24" i="73" s="1"/>
  <c r="B84" i="81"/>
  <c r="B24" i="73" s="1"/>
  <c r="C77" i="81"/>
  <c r="A77" i="81"/>
  <c r="C76" i="81"/>
  <c r="A76" i="81"/>
  <c r="E72" i="81"/>
  <c r="J24" i="58" s="1"/>
  <c r="D72" i="81"/>
  <c r="D24" i="58" s="1"/>
  <c r="B72" i="81"/>
  <c r="B24" i="58" s="1"/>
  <c r="C65" i="81"/>
  <c r="A65" i="81"/>
  <c r="C64" i="81"/>
  <c r="A64" i="81"/>
  <c r="E60" i="81"/>
  <c r="J24" i="57" s="1"/>
  <c r="D60" i="81"/>
  <c r="D24" i="57" s="1"/>
  <c r="B60" i="81"/>
  <c r="B24" i="57" s="1"/>
  <c r="C53" i="81"/>
  <c r="A53" i="81"/>
  <c r="C52" i="81"/>
  <c r="A52" i="81"/>
  <c r="E48" i="81"/>
  <c r="J24" i="48" s="1"/>
  <c r="D48" i="81"/>
  <c r="D24" i="48" s="1"/>
  <c r="B48" i="81"/>
  <c r="B24" i="48" s="1"/>
  <c r="C41" i="81"/>
  <c r="A41" i="81"/>
  <c r="C40" i="81"/>
  <c r="A40" i="81"/>
  <c r="E36" i="81"/>
  <c r="J24" i="46" s="1"/>
  <c r="D36" i="81"/>
  <c r="D24" i="46" s="1"/>
  <c r="B36" i="81"/>
  <c r="B24" i="46" s="1"/>
  <c r="C29" i="81"/>
  <c r="A29" i="81"/>
  <c r="C28" i="81"/>
  <c r="A28" i="81"/>
  <c r="E24" i="81"/>
  <c r="D24" i="81"/>
  <c r="D24" i="35" s="1"/>
  <c r="B24" i="81"/>
  <c r="B24" i="35" s="1"/>
  <c r="C17" i="81"/>
  <c r="A17" i="81"/>
  <c r="C16" i="81"/>
  <c r="A16" i="81"/>
  <c r="B12" i="81"/>
  <c r="C5" i="81"/>
  <c r="D5" i="81" s="1"/>
  <c r="C4" i="81"/>
  <c r="D4" i="81" s="1"/>
  <c r="E12" i="81" l="1"/>
  <c r="AL22" i="77" s="1"/>
  <c r="J24" i="35"/>
  <c r="D12" i="81"/>
  <c r="C12" i="81"/>
  <c r="C8" i="80"/>
  <c r="D8" i="80" s="1"/>
  <c r="C103" i="80"/>
  <c r="A101" i="80"/>
  <c r="A102" i="80"/>
  <c r="A103" i="80"/>
  <c r="C91" i="80"/>
  <c r="A89" i="80"/>
  <c r="A90" i="80"/>
  <c r="A91" i="80"/>
  <c r="C79" i="80"/>
  <c r="A77" i="80"/>
  <c r="A78" i="80"/>
  <c r="A79" i="80"/>
  <c r="C67" i="80"/>
  <c r="A65" i="80"/>
  <c r="A66" i="80"/>
  <c r="A67" i="80"/>
  <c r="C55" i="80"/>
  <c r="A53" i="80"/>
  <c r="A54" i="80"/>
  <c r="A55" i="80"/>
  <c r="C43" i="80"/>
  <c r="A41" i="80"/>
  <c r="A42" i="80"/>
  <c r="A43" i="80"/>
  <c r="C7" i="80"/>
  <c r="D7" i="80" s="1"/>
  <c r="C31" i="80"/>
  <c r="A17" i="80"/>
  <c r="A18" i="80"/>
  <c r="A19" i="80"/>
  <c r="A29" i="80"/>
  <c r="A30" i="80"/>
  <c r="A31" i="80"/>
  <c r="C19" i="80"/>
  <c r="C6" i="80"/>
  <c r="D6" i="80" s="1"/>
  <c r="C102" i="80"/>
  <c r="C101" i="80"/>
  <c r="C89" i="80"/>
  <c r="C90" i="80"/>
  <c r="C78" i="80"/>
  <c r="C66" i="80"/>
  <c r="C65" i="80"/>
  <c r="C53" i="80"/>
  <c r="C54" i="80"/>
  <c r="C42" i="80"/>
  <c r="C30" i="80"/>
  <c r="C17" i="80"/>
  <c r="C18" i="80"/>
  <c r="C5" i="80"/>
  <c r="D5" i="80" s="1"/>
  <c r="C29" i="80"/>
  <c r="C41" i="80"/>
  <c r="C77" i="80"/>
  <c r="A23" i="75" l="1"/>
  <c r="A23" i="74"/>
  <c r="A23" i="73"/>
  <c r="A23" i="58"/>
  <c r="A23" i="57"/>
  <c r="A23" i="48"/>
  <c r="A23" i="46"/>
  <c r="A23" i="35"/>
  <c r="AM21" i="77"/>
  <c r="A21" i="77"/>
  <c r="A20" i="76"/>
  <c r="E108" i="80" l="1"/>
  <c r="J23" i="75" s="1"/>
  <c r="D108" i="80"/>
  <c r="D23" i="75" s="1"/>
  <c r="B108" i="80"/>
  <c r="B23" i="75" s="1"/>
  <c r="C100" i="80"/>
  <c r="A100" i="80"/>
  <c r="E96" i="80"/>
  <c r="J23" i="74" s="1"/>
  <c r="D96" i="80"/>
  <c r="D23" i="74" s="1"/>
  <c r="B96" i="80"/>
  <c r="B23" i="74" s="1"/>
  <c r="C88" i="80"/>
  <c r="A88" i="80"/>
  <c r="E84" i="80"/>
  <c r="J23" i="73" s="1"/>
  <c r="D84" i="80"/>
  <c r="D23" i="73" s="1"/>
  <c r="B84" i="80"/>
  <c r="B23" i="73" s="1"/>
  <c r="C76" i="80"/>
  <c r="A76" i="80"/>
  <c r="E72" i="80"/>
  <c r="J23" i="58" s="1"/>
  <c r="D72" i="80"/>
  <c r="D23" i="58" s="1"/>
  <c r="B72" i="80"/>
  <c r="B23" i="58" s="1"/>
  <c r="C64" i="80"/>
  <c r="A64" i="80"/>
  <c r="E60" i="80"/>
  <c r="J23" i="57" s="1"/>
  <c r="D60" i="80"/>
  <c r="D23" i="57" s="1"/>
  <c r="B60" i="80"/>
  <c r="B23" i="57" s="1"/>
  <c r="C52" i="80"/>
  <c r="A52" i="80"/>
  <c r="E48" i="80"/>
  <c r="D48" i="80"/>
  <c r="D23" i="48" s="1"/>
  <c r="B48" i="80"/>
  <c r="B23" i="48" s="1"/>
  <c r="C40" i="80"/>
  <c r="A40" i="80"/>
  <c r="E36" i="80"/>
  <c r="J23" i="46" s="1"/>
  <c r="D36" i="80"/>
  <c r="D23" i="46" s="1"/>
  <c r="B36" i="80"/>
  <c r="B23" i="46" s="1"/>
  <c r="C28" i="80"/>
  <c r="A28" i="80"/>
  <c r="E24" i="80"/>
  <c r="J23" i="35" s="1"/>
  <c r="D24" i="80"/>
  <c r="D23" i="35" s="1"/>
  <c r="B24" i="80"/>
  <c r="B23" i="35" s="1"/>
  <c r="C16" i="80"/>
  <c r="A16" i="80"/>
  <c r="B12" i="80"/>
  <c r="C4" i="80"/>
  <c r="C12" i="80" s="1"/>
  <c r="C106" i="79"/>
  <c r="A106" i="79"/>
  <c r="C94" i="79"/>
  <c r="A94" i="79"/>
  <c r="C82" i="79"/>
  <c r="A82" i="79"/>
  <c r="C70" i="79"/>
  <c r="A70" i="79"/>
  <c r="C58" i="79"/>
  <c r="A58" i="79"/>
  <c r="C46" i="79"/>
  <c r="A46" i="79"/>
  <c r="C10" i="79"/>
  <c r="D10" i="79" s="1"/>
  <c r="C34" i="79"/>
  <c r="A34" i="79"/>
  <c r="C22" i="79"/>
  <c r="A22" i="79"/>
  <c r="J23" i="48" l="1"/>
  <c r="E12" i="80"/>
  <c r="AL21" i="77" s="1"/>
  <c r="D4" i="80"/>
  <c r="D12" i="80" s="1"/>
  <c r="C105" i="79"/>
  <c r="A105" i="79"/>
  <c r="C93" i="79"/>
  <c r="A93" i="79"/>
  <c r="C81" i="79"/>
  <c r="A81" i="79"/>
  <c r="C69" i="79"/>
  <c r="A69" i="79"/>
  <c r="C57" i="79"/>
  <c r="A57" i="79"/>
  <c r="C45" i="79"/>
  <c r="A45" i="79"/>
  <c r="C33" i="79"/>
  <c r="A33" i="79"/>
  <c r="C21" i="79"/>
  <c r="A21" i="79"/>
  <c r="C9" i="79"/>
  <c r="D9" i="79" s="1"/>
  <c r="A31" i="79"/>
  <c r="A30" i="79"/>
  <c r="A29" i="79"/>
  <c r="A28" i="79"/>
  <c r="A19" i="79"/>
  <c r="A18" i="79"/>
  <c r="A17" i="79"/>
  <c r="A32" i="79"/>
  <c r="A20" i="79"/>
  <c r="C8" i="79"/>
  <c r="D8" i="79" s="1"/>
  <c r="C104" i="79"/>
  <c r="A104" i="79"/>
  <c r="C92" i="79"/>
  <c r="A92" i="79"/>
  <c r="C80" i="79"/>
  <c r="A80" i="79"/>
  <c r="C68" i="79"/>
  <c r="A68" i="79"/>
  <c r="C56" i="79"/>
  <c r="A56" i="79"/>
  <c r="C44" i="79"/>
  <c r="A44" i="79"/>
  <c r="C32" i="79"/>
  <c r="C20" i="79"/>
  <c r="C7" i="79"/>
  <c r="D7" i="79" s="1"/>
  <c r="C103" i="79"/>
  <c r="A103" i="79"/>
  <c r="C91" i="79"/>
  <c r="A91" i="79"/>
  <c r="C79" i="79"/>
  <c r="A79" i="79"/>
  <c r="C67" i="79"/>
  <c r="A67" i="79"/>
  <c r="C55" i="79"/>
  <c r="A55" i="79"/>
  <c r="C43" i="79"/>
  <c r="A43" i="79"/>
  <c r="C31" i="79"/>
  <c r="C19" i="79"/>
  <c r="C6" i="79"/>
  <c r="D6" i="79" s="1"/>
  <c r="C102" i="79"/>
  <c r="A102" i="79"/>
  <c r="C90" i="79"/>
  <c r="A90" i="79"/>
  <c r="C78" i="79"/>
  <c r="A78" i="79"/>
  <c r="C66" i="79"/>
  <c r="A66" i="79"/>
  <c r="C54" i="79"/>
  <c r="A54" i="79"/>
  <c r="C42" i="79"/>
  <c r="A42" i="79"/>
  <c r="C30" i="79"/>
  <c r="C18" i="79"/>
  <c r="C101" i="79"/>
  <c r="A101" i="79"/>
  <c r="A100" i="79"/>
  <c r="C89" i="79"/>
  <c r="A89" i="79"/>
  <c r="C77" i="79"/>
  <c r="A77" i="79"/>
  <c r="C65" i="79"/>
  <c r="A65" i="79"/>
  <c r="C53" i="79"/>
  <c r="A53" i="79"/>
  <c r="C41" i="79"/>
  <c r="A41" i="79"/>
  <c r="C5" i="79"/>
  <c r="D5" i="79" s="1"/>
  <c r="C17" i="79"/>
  <c r="C29" i="79"/>
  <c r="AM20" i="77" l="1"/>
  <c r="A20" i="77"/>
  <c r="A22" i="48"/>
  <c r="A22" i="57"/>
  <c r="A22" i="58"/>
  <c r="A22" i="73"/>
  <c r="A22" i="74"/>
  <c r="A22" i="75"/>
  <c r="A19" i="76"/>
  <c r="C88" i="79"/>
  <c r="A88" i="79"/>
  <c r="A76" i="79"/>
  <c r="A64" i="79"/>
  <c r="A52" i="79"/>
  <c r="A40" i="79"/>
  <c r="A16" i="79"/>
  <c r="A22" i="46" l="1"/>
  <c r="A22" i="35" l="1"/>
  <c r="E108" i="79"/>
  <c r="J22" i="75" s="1"/>
  <c r="D108" i="79"/>
  <c r="D22" i="75" s="1"/>
  <c r="B108" i="79"/>
  <c r="B22" i="75" s="1"/>
  <c r="C100" i="79"/>
  <c r="E96" i="79"/>
  <c r="J22" i="74" s="1"/>
  <c r="D96" i="79"/>
  <c r="D22" i="74" s="1"/>
  <c r="B96" i="79"/>
  <c r="B22" i="74" s="1"/>
  <c r="E84" i="79"/>
  <c r="J22" i="73" s="1"/>
  <c r="D84" i="79"/>
  <c r="D22" i="73" s="1"/>
  <c r="B84" i="79"/>
  <c r="B22" i="73" s="1"/>
  <c r="C76" i="79"/>
  <c r="E72" i="79"/>
  <c r="J22" i="58" s="1"/>
  <c r="D72" i="79"/>
  <c r="D22" i="58" s="1"/>
  <c r="B72" i="79"/>
  <c r="B22" i="58" s="1"/>
  <c r="C64" i="79"/>
  <c r="E60" i="79"/>
  <c r="J22" i="57" s="1"/>
  <c r="D60" i="79"/>
  <c r="D22" i="57" s="1"/>
  <c r="B60" i="79"/>
  <c r="B22" i="57" s="1"/>
  <c r="C52" i="79"/>
  <c r="E48" i="79"/>
  <c r="J22" i="48" s="1"/>
  <c r="D48" i="79"/>
  <c r="D22" i="48" s="1"/>
  <c r="B48" i="79"/>
  <c r="B22" i="48" s="1"/>
  <c r="C40" i="79"/>
  <c r="E36" i="79"/>
  <c r="D36" i="79"/>
  <c r="D22" i="46" s="1"/>
  <c r="B36" i="79"/>
  <c r="B22" i="46" s="1"/>
  <c r="C28" i="79"/>
  <c r="E24" i="79"/>
  <c r="J22" i="35" s="1"/>
  <c r="D24" i="79"/>
  <c r="D22" i="35" s="1"/>
  <c r="B24" i="79"/>
  <c r="B22" i="35" s="1"/>
  <c r="C16" i="79"/>
  <c r="B12" i="79"/>
  <c r="C4" i="79"/>
  <c r="D4" i="79" s="1"/>
  <c r="D12" i="79" s="1"/>
  <c r="E12" i="79" l="1"/>
  <c r="J22" i="46"/>
  <c r="C12" i="79"/>
  <c r="A3" i="77"/>
  <c r="P5" i="89" l="1"/>
  <c r="Q5" i="89" s="1"/>
  <c r="AL20" i="77"/>
  <c r="A6" i="77"/>
  <c r="A7" i="77"/>
  <c r="A8" i="77"/>
  <c r="A9" i="77"/>
  <c r="A10" i="77"/>
  <c r="A11" i="77"/>
  <c r="A12" i="77"/>
  <c r="A13" i="77"/>
  <c r="A14" i="77"/>
  <c r="A15" i="77"/>
  <c r="A16" i="77"/>
  <c r="A17" i="77"/>
  <c r="A18" i="77"/>
  <c r="A5" i="77" l="1"/>
  <c r="A4" i="77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4" i="76"/>
  <c r="A3" i="76"/>
  <c r="A2" i="76"/>
  <c r="J18" i="75"/>
  <c r="A20" i="75"/>
  <c r="A19" i="75"/>
  <c r="A18" i="75"/>
  <c r="A17" i="75"/>
  <c r="A16" i="75"/>
  <c r="A15" i="75"/>
  <c r="A14" i="75"/>
  <c r="A13" i="75"/>
  <c r="A12" i="75"/>
  <c r="A11" i="75"/>
  <c r="A10" i="75"/>
  <c r="A9" i="75"/>
  <c r="A8" i="75"/>
  <c r="A7" i="75"/>
  <c r="A6" i="75"/>
  <c r="A5" i="75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20" i="58"/>
  <c r="A19" i="58"/>
  <c r="A18" i="58"/>
  <c r="A17" i="58"/>
  <c r="A16" i="58"/>
  <c r="A15" i="58"/>
  <c r="A14" i="58"/>
  <c r="A13" i="58"/>
  <c r="A12" i="58"/>
  <c r="A11" i="58"/>
  <c r="A10" i="58"/>
  <c r="A9" i="58"/>
  <c r="A8" i="58"/>
  <c r="A7" i="58"/>
  <c r="A6" i="58"/>
  <c r="A5" i="58"/>
  <c r="A20" i="57"/>
  <c r="A19" i="57"/>
  <c r="A18" i="57"/>
  <c r="A17" i="57"/>
  <c r="A16" i="57"/>
  <c r="A15" i="57"/>
  <c r="A14" i="57"/>
  <c r="A13" i="57"/>
  <c r="A12" i="57"/>
  <c r="A11" i="57"/>
  <c r="A10" i="57"/>
  <c r="A9" i="57"/>
  <c r="A8" i="57"/>
  <c r="A7" i="57"/>
  <c r="A6" i="57"/>
  <c r="A5" i="57"/>
  <c r="A6" i="48"/>
  <c r="A5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20" i="46"/>
  <c r="A19" i="46"/>
  <c r="A18" i="46"/>
  <c r="A17" i="46"/>
  <c r="A16" i="46"/>
  <c r="A15" i="46"/>
  <c r="A14" i="46"/>
  <c r="A13" i="46"/>
  <c r="A12" i="46"/>
  <c r="A11" i="46"/>
  <c r="C22" i="62"/>
  <c r="C31" i="62"/>
  <c r="A10" i="46"/>
  <c r="A9" i="46"/>
  <c r="A8" i="46"/>
  <c r="A7" i="46"/>
  <c r="A20" i="35"/>
  <c r="A6" i="46"/>
  <c r="A5" i="46"/>
  <c r="C5" i="72"/>
  <c r="D5" i="72" s="1"/>
  <c r="D7" i="71"/>
  <c r="E81" i="72"/>
  <c r="J20" i="75" s="1"/>
  <c r="D81" i="72"/>
  <c r="D20" i="75" s="1"/>
  <c r="B81" i="72"/>
  <c r="B20" i="75" s="1"/>
  <c r="C77" i="72"/>
  <c r="C76" i="72"/>
  <c r="E72" i="72"/>
  <c r="J20" i="74" s="1"/>
  <c r="D72" i="72"/>
  <c r="D20" i="74" s="1"/>
  <c r="B72" i="72"/>
  <c r="B20" i="74" s="1"/>
  <c r="C68" i="72"/>
  <c r="C67" i="72"/>
  <c r="E63" i="72"/>
  <c r="J20" i="73" s="1"/>
  <c r="D63" i="72"/>
  <c r="D20" i="73" s="1"/>
  <c r="B63" i="72"/>
  <c r="B20" i="73" s="1"/>
  <c r="C59" i="72"/>
  <c r="C58" i="72"/>
  <c r="E54" i="72"/>
  <c r="J20" i="58" s="1"/>
  <c r="D54" i="72"/>
  <c r="D20" i="58" s="1"/>
  <c r="B54" i="72"/>
  <c r="B20" i="58" s="1"/>
  <c r="C50" i="72"/>
  <c r="C49" i="72"/>
  <c r="E45" i="72"/>
  <c r="J20" i="57" s="1"/>
  <c r="D45" i="72"/>
  <c r="D20" i="57" s="1"/>
  <c r="B45" i="72"/>
  <c r="B20" i="57" s="1"/>
  <c r="C41" i="72"/>
  <c r="C40" i="72"/>
  <c r="E36" i="72"/>
  <c r="J20" i="48" s="1"/>
  <c r="D36" i="72"/>
  <c r="D20" i="48" s="1"/>
  <c r="B36" i="72"/>
  <c r="B20" i="48" s="1"/>
  <c r="C32" i="72"/>
  <c r="C31" i="72"/>
  <c r="E27" i="72"/>
  <c r="J20" i="46" s="1"/>
  <c r="D27" i="72"/>
  <c r="D20" i="46" s="1"/>
  <c r="B27" i="72"/>
  <c r="B20" i="46" s="1"/>
  <c r="C23" i="72"/>
  <c r="C22" i="72"/>
  <c r="E18" i="72"/>
  <c r="D18" i="72"/>
  <c r="D20" i="35" s="1"/>
  <c r="B18" i="72"/>
  <c r="B20" i="35" s="1"/>
  <c r="C14" i="72"/>
  <c r="C13" i="72"/>
  <c r="F9" i="72"/>
  <c r="AM18" i="77" s="1"/>
  <c r="B9" i="72"/>
  <c r="C4" i="72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6" i="35"/>
  <c r="A5" i="35"/>
  <c r="C33" i="71"/>
  <c r="C6" i="71"/>
  <c r="D6" i="71" s="1"/>
  <c r="C24" i="71"/>
  <c r="C78" i="71"/>
  <c r="C42" i="71"/>
  <c r="C51" i="71"/>
  <c r="C69" i="71"/>
  <c r="C60" i="71"/>
  <c r="C15" i="71"/>
  <c r="C5" i="71"/>
  <c r="D5" i="71" s="1"/>
  <c r="C50" i="71"/>
  <c r="C14" i="71"/>
  <c r="C23" i="71"/>
  <c r="C68" i="71"/>
  <c r="C59" i="71"/>
  <c r="C41" i="71"/>
  <c r="C32" i="71"/>
  <c r="C77" i="71"/>
  <c r="E81" i="71"/>
  <c r="J19" i="75" s="1"/>
  <c r="D81" i="71"/>
  <c r="D19" i="75" s="1"/>
  <c r="B81" i="71"/>
  <c r="B19" i="75" s="1"/>
  <c r="C76" i="71"/>
  <c r="E72" i="71"/>
  <c r="J19" i="74" s="1"/>
  <c r="D72" i="71"/>
  <c r="D19" i="74" s="1"/>
  <c r="B72" i="71"/>
  <c r="B19" i="74" s="1"/>
  <c r="C67" i="71"/>
  <c r="E63" i="71"/>
  <c r="J19" i="73" s="1"/>
  <c r="D63" i="71"/>
  <c r="D19" i="73" s="1"/>
  <c r="B63" i="71"/>
  <c r="B19" i="73" s="1"/>
  <c r="C58" i="71"/>
  <c r="E54" i="71"/>
  <c r="J19" i="58" s="1"/>
  <c r="D54" i="71"/>
  <c r="D19" i="58" s="1"/>
  <c r="B54" i="71"/>
  <c r="B19" i="58" s="1"/>
  <c r="C49" i="71"/>
  <c r="E45" i="71"/>
  <c r="J19" i="57" s="1"/>
  <c r="D45" i="71"/>
  <c r="D19" i="57" s="1"/>
  <c r="B45" i="71"/>
  <c r="B19" i="57" s="1"/>
  <c r="C40" i="71"/>
  <c r="E36" i="71"/>
  <c r="J19" i="48" s="1"/>
  <c r="D36" i="71"/>
  <c r="D19" i="48" s="1"/>
  <c r="B36" i="71"/>
  <c r="B19" i="48" s="1"/>
  <c r="C31" i="71"/>
  <c r="E27" i="71"/>
  <c r="J19" i="46" s="1"/>
  <c r="D27" i="71"/>
  <c r="D19" i="46" s="1"/>
  <c r="B27" i="71"/>
  <c r="B19" i="46" s="1"/>
  <c r="C22" i="71"/>
  <c r="E18" i="71"/>
  <c r="E9" i="71" s="1"/>
  <c r="AL17" i="77" s="1"/>
  <c r="D18" i="71"/>
  <c r="D19" i="35" s="1"/>
  <c r="B18" i="71"/>
  <c r="B19" i="35" s="1"/>
  <c r="C13" i="71"/>
  <c r="F9" i="71"/>
  <c r="AM17" i="77" s="1"/>
  <c r="B9" i="71"/>
  <c r="C4" i="71"/>
  <c r="C31" i="70"/>
  <c r="C13" i="70"/>
  <c r="C40" i="70"/>
  <c r="C76" i="70"/>
  <c r="C49" i="70"/>
  <c r="C22" i="70"/>
  <c r="C67" i="70"/>
  <c r="C58" i="70"/>
  <c r="E81" i="70"/>
  <c r="D81" i="70"/>
  <c r="D18" i="75" s="1"/>
  <c r="B81" i="70"/>
  <c r="B18" i="75" s="1"/>
  <c r="E72" i="70"/>
  <c r="J18" i="74" s="1"/>
  <c r="D72" i="70"/>
  <c r="D18" i="74" s="1"/>
  <c r="B72" i="70"/>
  <c r="B18" i="74" s="1"/>
  <c r="E63" i="70"/>
  <c r="J18" i="73" s="1"/>
  <c r="D63" i="70"/>
  <c r="D18" i="73" s="1"/>
  <c r="B63" i="70"/>
  <c r="B18" i="73" s="1"/>
  <c r="E54" i="70"/>
  <c r="J18" i="58" s="1"/>
  <c r="D54" i="70"/>
  <c r="D18" i="58" s="1"/>
  <c r="B54" i="70"/>
  <c r="B18" i="58" s="1"/>
  <c r="E45" i="70"/>
  <c r="J18" i="57" s="1"/>
  <c r="D45" i="70"/>
  <c r="D18" i="57" s="1"/>
  <c r="B45" i="70"/>
  <c r="B18" i="57" s="1"/>
  <c r="E36" i="70"/>
  <c r="J18" i="48" s="1"/>
  <c r="D36" i="70"/>
  <c r="D18" i="48" s="1"/>
  <c r="B36" i="70"/>
  <c r="B18" i="48" s="1"/>
  <c r="E27" i="70"/>
  <c r="J18" i="46" s="1"/>
  <c r="D27" i="70"/>
  <c r="D18" i="46" s="1"/>
  <c r="B27" i="70"/>
  <c r="B18" i="46" s="1"/>
  <c r="E18" i="70"/>
  <c r="J18" i="35" s="1"/>
  <c r="D18" i="70"/>
  <c r="D18" i="35" s="1"/>
  <c r="B18" i="70"/>
  <c r="B18" i="35" s="1"/>
  <c r="F9" i="70"/>
  <c r="AM16" i="77" s="1"/>
  <c r="B9" i="70"/>
  <c r="C4" i="70"/>
  <c r="D4" i="70" s="1"/>
  <c r="D9" i="70" s="1"/>
  <c r="E81" i="69"/>
  <c r="J17" i="75" s="1"/>
  <c r="D81" i="69"/>
  <c r="D17" i="75" s="1"/>
  <c r="B81" i="69"/>
  <c r="B17" i="75" s="1"/>
  <c r="E72" i="69"/>
  <c r="J17" i="74" s="1"/>
  <c r="D72" i="69"/>
  <c r="D17" i="74" s="1"/>
  <c r="B72" i="69"/>
  <c r="B17" i="74" s="1"/>
  <c r="E63" i="69"/>
  <c r="J17" i="73" s="1"/>
  <c r="D63" i="69"/>
  <c r="D17" i="73" s="1"/>
  <c r="B63" i="69"/>
  <c r="B17" i="73" s="1"/>
  <c r="E54" i="69"/>
  <c r="J17" i="58" s="1"/>
  <c r="D54" i="69"/>
  <c r="D17" i="58" s="1"/>
  <c r="B54" i="69"/>
  <c r="B17" i="58" s="1"/>
  <c r="E45" i="69"/>
  <c r="J17" i="57" s="1"/>
  <c r="D45" i="69"/>
  <c r="D17" i="57" s="1"/>
  <c r="B45" i="69"/>
  <c r="B17" i="57" s="1"/>
  <c r="E36" i="69"/>
  <c r="J17" i="48" s="1"/>
  <c r="D36" i="69"/>
  <c r="D17" i="48" s="1"/>
  <c r="B36" i="69"/>
  <c r="B17" i="48" s="1"/>
  <c r="E27" i="69"/>
  <c r="J17" i="46" s="1"/>
  <c r="D27" i="69"/>
  <c r="D17" i="46" s="1"/>
  <c r="B27" i="69"/>
  <c r="B17" i="46" s="1"/>
  <c r="E18" i="69"/>
  <c r="J17" i="35" s="1"/>
  <c r="D18" i="69"/>
  <c r="D17" i="35" s="1"/>
  <c r="B18" i="69"/>
  <c r="B17" i="35" s="1"/>
  <c r="F9" i="69"/>
  <c r="AM15" i="77" s="1"/>
  <c r="B9" i="69"/>
  <c r="C4" i="69"/>
  <c r="F9" i="68"/>
  <c r="AM14" i="77" s="1"/>
  <c r="F9" i="67"/>
  <c r="AM13" i="77" s="1"/>
  <c r="F9" i="66"/>
  <c r="AM12" i="77" s="1"/>
  <c r="E81" i="68"/>
  <c r="J16" i="75" s="1"/>
  <c r="D81" i="68"/>
  <c r="D16" i="75" s="1"/>
  <c r="B81" i="68"/>
  <c r="B16" i="75" s="1"/>
  <c r="E72" i="68"/>
  <c r="J16" i="74" s="1"/>
  <c r="D72" i="68"/>
  <c r="D16" i="74" s="1"/>
  <c r="B72" i="68"/>
  <c r="B16" i="74" s="1"/>
  <c r="E63" i="68"/>
  <c r="J16" i="73" s="1"/>
  <c r="D63" i="68"/>
  <c r="D16" i="73" s="1"/>
  <c r="B63" i="68"/>
  <c r="B16" i="73" s="1"/>
  <c r="E54" i="68"/>
  <c r="J16" i="58" s="1"/>
  <c r="D54" i="68"/>
  <c r="D16" i="58" s="1"/>
  <c r="B54" i="68"/>
  <c r="B16" i="58" s="1"/>
  <c r="E45" i="68"/>
  <c r="J16" i="57" s="1"/>
  <c r="D45" i="68"/>
  <c r="D16" i="57" s="1"/>
  <c r="B45" i="68"/>
  <c r="B16" i="57" s="1"/>
  <c r="E36" i="68"/>
  <c r="J16" i="48" s="1"/>
  <c r="D36" i="68"/>
  <c r="D16" i="48" s="1"/>
  <c r="B36" i="68"/>
  <c r="B16" i="48" s="1"/>
  <c r="E27" i="68"/>
  <c r="J16" i="46" s="1"/>
  <c r="D27" i="68"/>
  <c r="D16" i="46" s="1"/>
  <c r="B27" i="68"/>
  <c r="B16" i="46" s="1"/>
  <c r="E18" i="68"/>
  <c r="J16" i="35" s="1"/>
  <c r="D18" i="68"/>
  <c r="D16" i="35" s="1"/>
  <c r="B18" i="68"/>
  <c r="B16" i="35" s="1"/>
  <c r="B9" i="68"/>
  <c r="C4" i="68"/>
  <c r="C49" i="67"/>
  <c r="C22" i="67"/>
  <c r="C31" i="67"/>
  <c r="C40" i="67"/>
  <c r="C58" i="67"/>
  <c r="C76" i="67"/>
  <c r="E81" i="67"/>
  <c r="J15" i="75" s="1"/>
  <c r="D81" i="67"/>
  <c r="D15" i="75" s="1"/>
  <c r="B81" i="67"/>
  <c r="B15" i="75" s="1"/>
  <c r="E72" i="67"/>
  <c r="J15" i="74" s="1"/>
  <c r="D72" i="67"/>
  <c r="D15" i="74" s="1"/>
  <c r="B72" i="67"/>
  <c r="B15" i="74" s="1"/>
  <c r="E63" i="67"/>
  <c r="J15" i="73" s="1"/>
  <c r="D63" i="67"/>
  <c r="D15" i="73" s="1"/>
  <c r="B63" i="67"/>
  <c r="B15" i="73" s="1"/>
  <c r="E54" i="67"/>
  <c r="J15" i="58" s="1"/>
  <c r="D54" i="67"/>
  <c r="D15" i="58" s="1"/>
  <c r="B54" i="67"/>
  <c r="B15" i="58" s="1"/>
  <c r="E45" i="67"/>
  <c r="J15" i="57" s="1"/>
  <c r="D45" i="67"/>
  <c r="D15" i="57" s="1"/>
  <c r="B45" i="67"/>
  <c r="B15" i="57" s="1"/>
  <c r="E36" i="67"/>
  <c r="J15" i="48" s="1"/>
  <c r="D36" i="67"/>
  <c r="D15" i="48" s="1"/>
  <c r="B36" i="67"/>
  <c r="B15" i="48" s="1"/>
  <c r="E27" i="67"/>
  <c r="J15" i="46" s="1"/>
  <c r="D27" i="67"/>
  <c r="D15" i="46" s="1"/>
  <c r="B27" i="67"/>
  <c r="B15" i="46" s="1"/>
  <c r="E18" i="67"/>
  <c r="J15" i="35" s="1"/>
  <c r="D18" i="67"/>
  <c r="D15" i="35" s="1"/>
  <c r="B18" i="67"/>
  <c r="B15" i="35" s="1"/>
  <c r="B9" i="67"/>
  <c r="C4" i="67"/>
  <c r="C9" i="67" s="1"/>
  <c r="E81" i="66"/>
  <c r="J14" i="75" s="1"/>
  <c r="D81" i="66"/>
  <c r="D14" i="75" s="1"/>
  <c r="B81" i="66"/>
  <c r="B14" i="75" s="1"/>
  <c r="E72" i="66"/>
  <c r="J14" i="74" s="1"/>
  <c r="D72" i="66"/>
  <c r="D14" i="74" s="1"/>
  <c r="B72" i="66"/>
  <c r="B14" i="74" s="1"/>
  <c r="E63" i="66"/>
  <c r="J14" i="73" s="1"/>
  <c r="D63" i="66"/>
  <c r="D14" i="73" s="1"/>
  <c r="B63" i="66"/>
  <c r="B14" i="73" s="1"/>
  <c r="E54" i="66"/>
  <c r="J14" i="58" s="1"/>
  <c r="D54" i="66"/>
  <c r="D14" i="58" s="1"/>
  <c r="B54" i="66"/>
  <c r="B14" i="58" s="1"/>
  <c r="E45" i="66"/>
  <c r="J14" i="57" s="1"/>
  <c r="D45" i="66"/>
  <c r="D14" i="57" s="1"/>
  <c r="B45" i="66"/>
  <c r="B14" i="57" s="1"/>
  <c r="E36" i="66"/>
  <c r="J14" i="48" s="1"/>
  <c r="D36" i="66"/>
  <c r="D14" i="48" s="1"/>
  <c r="B36" i="66"/>
  <c r="B14" i="48" s="1"/>
  <c r="E27" i="66"/>
  <c r="J14" i="46" s="1"/>
  <c r="D27" i="66"/>
  <c r="D14" i="46" s="1"/>
  <c r="B27" i="66"/>
  <c r="B14" i="46" s="1"/>
  <c r="E18" i="66"/>
  <c r="J14" i="35" s="1"/>
  <c r="D18" i="66"/>
  <c r="D14" i="35" s="1"/>
  <c r="B18" i="66"/>
  <c r="B14" i="35" s="1"/>
  <c r="B9" i="66"/>
  <c r="C4" i="66"/>
  <c r="E81" i="65"/>
  <c r="J13" i="75" s="1"/>
  <c r="D81" i="65"/>
  <c r="D13" i="75" s="1"/>
  <c r="B81" i="65"/>
  <c r="B13" i="75" s="1"/>
  <c r="E72" i="65"/>
  <c r="J13" i="74" s="1"/>
  <c r="D72" i="65"/>
  <c r="D13" i="74" s="1"/>
  <c r="B72" i="65"/>
  <c r="B13" i="74" s="1"/>
  <c r="E63" i="65"/>
  <c r="J13" i="73" s="1"/>
  <c r="D63" i="65"/>
  <c r="D13" i="73" s="1"/>
  <c r="B63" i="65"/>
  <c r="B13" i="73" s="1"/>
  <c r="E54" i="65"/>
  <c r="J13" i="58" s="1"/>
  <c r="D54" i="65"/>
  <c r="D13" i="58" s="1"/>
  <c r="B54" i="65"/>
  <c r="B13" i="58" s="1"/>
  <c r="E45" i="65"/>
  <c r="J13" i="57" s="1"/>
  <c r="D45" i="65"/>
  <c r="D13" i="57" s="1"/>
  <c r="B45" i="65"/>
  <c r="B13" i="57" s="1"/>
  <c r="E36" i="65"/>
  <c r="D36" i="65"/>
  <c r="D13" i="48" s="1"/>
  <c r="B36" i="65"/>
  <c r="B13" i="48" s="1"/>
  <c r="E27" i="65"/>
  <c r="J13" i="46" s="1"/>
  <c r="D27" i="65"/>
  <c r="D13" i="46" s="1"/>
  <c r="B27" i="65"/>
  <c r="B13" i="46" s="1"/>
  <c r="E18" i="65"/>
  <c r="J13" i="35" s="1"/>
  <c r="D18" i="65"/>
  <c r="D13" i="35" s="1"/>
  <c r="B18" i="65"/>
  <c r="B13" i="35" s="1"/>
  <c r="F9" i="65"/>
  <c r="AM11" i="77" s="1"/>
  <c r="B9" i="65"/>
  <c r="C4" i="65"/>
  <c r="E81" i="64"/>
  <c r="J12" i="75" s="1"/>
  <c r="D81" i="64"/>
  <c r="D12" i="75" s="1"/>
  <c r="B81" i="64"/>
  <c r="B12" i="75" s="1"/>
  <c r="E72" i="64"/>
  <c r="J12" i="74" s="1"/>
  <c r="D72" i="64"/>
  <c r="D12" i="74" s="1"/>
  <c r="B72" i="64"/>
  <c r="B12" i="74" s="1"/>
  <c r="E63" i="64"/>
  <c r="J12" i="73" s="1"/>
  <c r="D63" i="64"/>
  <c r="D12" i="73" s="1"/>
  <c r="B63" i="64"/>
  <c r="B12" i="73" s="1"/>
  <c r="E54" i="64"/>
  <c r="J12" i="58" s="1"/>
  <c r="D54" i="64"/>
  <c r="D12" i="58" s="1"/>
  <c r="B54" i="64"/>
  <c r="B12" i="58" s="1"/>
  <c r="E45" i="64"/>
  <c r="J12" i="57" s="1"/>
  <c r="D45" i="64"/>
  <c r="D12" i="57" s="1"/>
  <c r="B45" i="64"/>
  <c r="B12" i="57" s="1"/>
  <c r="E36" i="64"/>
  <c r="J12" i="48" s="1"/>
  <c r="D36" i="64"/>
  <c r="D12" i="48" s="1"/>
  <c r="B36" i="64"/>
  <c r="B12" i="48" s="1"/>
  <c r="E27" i="64"/>
  <c r="J12" i="46" s="1"/>
  <c r="D27" i="64"/>
  <c r="D12" i="46" s="1"/>
  <c r="B27" i="64"/>
  <c r="B12" i="46" s="1"/>
  <c r="E18" i="64"/>
  <c r="J12" i="35" s="1"/>
  <c r="D18" i="64"/>
  <c r="D12" i="35" s="1"/>
  <c r="B18" i="64"/>
  <c r="B12" i="35" s="1"/>
  <c r="F9" i="64"/>
  <c r="AM10" i="77" s="1"/>
  <c r="B9" i="64"/>
  <c r="C4" i="64"/>
  <c r="E81" i="63"/>
  <c r="J11" i="75" s="1"/>
  <c r="D81" i="63"/>
  <c r="D11" i="75" s="1"/>
  <c r="B81" i="63"/>
  <c r="B11" i="75" s="1"/>
  <c r="E72" i="63"/>
  <c r="J11" i="74" s="1"/>
  <c r="D72" i="63"/>
  <c r="D11" i="74" s="1"/>
  <c r="B72" i="63"/>
  <c r="B11" i="74" s="1"/>
  <c r="E63" i="63"/>
  <c r="J11" i="73" s="1"/>
  <c r="D63" i="63"/>
  <c r="D11" i="73" s="1"/>
  <c r="B63" i="63"/>
  <c r="B11" i="73" s="1"/>
  <c r="E54" i="63"/>
  <c r="J11" i="58" s="1"/>
  <c r="D54" i="63"/>
  <c r="D11" i="58" s="1"/>
  <c r="B54" i="63"/>
  <c r="B11" i="58" s="1"/>
  <c r="E45" i="63"/>
  <c r="J11" i="57" s="1"/>
  <c r="D45" i="63"/>
  <c r="D11" i="57" s="1"/>
  <c r="B45" i="63"/>
  <c r="B11" i="57" s="1"/>
  <c r="E36" i="63"/>
  <c r="J11" i="48" s="1"/>
  <c r="D36" i="63"/>
  <c r="D11" i="48" s="1"/>
  <c r="B36" i="63"/>
  <c r="B11" i="48" s="1"/>
  <c r="E27" i="63"/>
  <c r="J11" i="46" s="1"/>
  <c r="D27" i="63"/>
  <c r="D11" i="46" s="1"/>
  <c r="B27" i="63"/>
  <c r="B11" i="46" s="1"/>
  <c r="E18" i="63"/>
  <c r="J11" i="35" s="1"/>
  <c r="D18" i="63"/>
  <c r="D11" i="35" s="1"/>
  <c r="B18" i="63"/>
  <c r="B11" i="35" s="1"/>
  <c r="F9" i="63"/>
  <c r="AM9" i="77" s="1"/>
  <c r="B9" i="63"/>
  <c r="C4" i="63"/>
  <c r="E81" i="56"/>
  <c r="J5" i="75" s="1"/>
  <c r="E72" i="56"/>
  <c r="J5" i="74" s="1"/>
  <c r="E63" i="56"/>
  <c r="J5" i="73" s="1"/>
  <c r="S5" i="73" s="1"/>
  <c r="E54" i="56"/>
  <c r="J5" i="58" s="1"/>
  <c r="E45" i="56"/>
  <c r="J5" i="57" s="1"/>
  <c r="E36" i="56"/>
  <c r="J5" i="48" s="1"/>
  <c r="E27" i="56"/>
  <c r="J5" i="46" s="1"/>
  <c r="E18" i="56"/>
  <c r="J5" i="35" s="1"/>
  <c r="E81" i="53"/>
  <c r="J6" i="75" s="1"/>
  <c r="E72" i="53"/>
  <c r="J6" i="74" s="1"/>
  <c r="E63" i="53"/>
  <c r="J6" i="73" s="1"/>
  <c r="E54" i="53"/>
  <c r="J6" i="58" s="1"/>
  <c r="E45" i="53"/>
  <c r="J6" i="57" s="1"/>
  <c r="E36" i="53"/>
  <c r="J6" i="48" s="1"/>
  <c r="E27" i="53"/>
  <c r="J6" i="46" s="1"/>
  <c r="E18" i="53"/>
  <c r="J6" i="35" s="1"/>
  <c r="E81" i="59"/>
  <c r="J7" i="75" s="1"/>
  <c r="E72" i="59"/>
  <c r="J7" i="74" s="1"/>
  <c r="E63" i="59"/>
  <c r="J7" i="73" s="1"/>
  <c r="E54" i="59"/>
  <c r="J7" i="58" s="1"/>
  <c r="E45" i="59"/>
  <c r="J7" i="57" s="1"/>
  <c r="E36" i="59"/>
  <c r="J7" i="48" s="1"/>
  <c r="E27" i="59"/>
  <c r="J7" i="46" s="1"/>
  <c r="E18" i="59"/>
  <c r="J7" i="35" s="1"/>
  <c r="E81" i="60"/>
  <c r="J8" i="75" s="1"/>
  <c r="E72" i="60"/>
  <c r="J8" i="74" s="1"/>
  <c r="E63" i="60"/>
  <c r="J8" i="73" s="1"/>
  <c r="E54" i="60"/>
  <c r="J8" i="58" s="1"/>
  <c r="E45" i="60"/>
  <c r="J8" i="57" s="1"/>
  <c r="E36" i="60"/>
  <c r="J8" i="48" s="1"/>
  <c r="E27" i="60"/>
  <c r="J8" i="46" s="1"/>
  <c r="E18" i="60"/>
  <c r="J8" i="35" s="1"/>
  <c r="E81" i="61"/>
  <c r="J9" i="75" s="1"/>
  <c r="E72" i="61"/>
  <c r="J9" i="74" s="1"/>
  <c r="E63" i="61"/>
  <c r="J9" i="73" s="1"/>
  <c r="E54" i="61"/>
  <c r="J9" i="58" s="1"/>
  <c r="E45" i="61"/>
  <c r="J9" i="57" s="1"/>
  <c r="E36" i="61"/>
  <c r="J9" i="48" s="1"/>
  <c r="E27" i="61"/>
  <c r="J9" i="46" s="1"/>
  <c r="E18" i="61"/>
  <c r="J9" i="35" s="1"/>
  <c r="E81" i="62"/>
  <c r="J10" i="75" s="1"/>
  <c r="E72" i="62"/>
  <c r="J10" i="74" s="1"/>
  <c r="E63" i="62"/>
  <c r="J10" i="73" s="1"/>
  <c r="E54" i="62"/>
  <c r="J10" i="58" s="1"/>
  <c r="E45" i="62"/>
  <c r="J10" i="57" s="1"/>
  <c r="E36" i="62"/>
  <c r="J10" i="48" s="1"/>
  <c r="E27" i="62"/>
  <c r="J10" i="46" s="1"/>
  <c r="E18" i="62"/>
  <c r="J10" i="35" s="1"/>
  <c r="D81" i="62"/>
  <c r="D10" i="75" s="1"/>
  <c r="B81" i="62"/>
  <c r="B10" i="75" s="1"/>
  <c r="D72" i="62"/>
  <c r="D10" i="74" s="1"/>
  <c r="B72" i="62"/>
  <c r="B10" i="74" s="1"/>
  <c r="D63" i="62"/>
  <c r="D10" i="73" s="1"/>
  <c r="B63" i="62"/>
  <c r="B10" i="73" s="1"/>
  <c r="D54" i="62"/>
  <c r="D10" i="58" s="1"/>
  <c r="B54" i="62"/>
  <c r="B10" i="58" s="1"/>
  <c r="D45" i="62"/>
  <c r="D10" i="57" s="1"/>
  <c r="B45" i="62"/>
  <c r="B10" i="57" s="1"/>
  <c r="D36" i="62"/>
  <c r="D10" i="48" s="1"/>
  <c r="B36" i="62"/>
  <c r="B10" i="48" s="1"/>
  <c r="D27" i="62"/>
  <c r="D10" i="46" s="1"/>
  <c r="B27" i="62"/>
  <c r="B10" i="46" s="1"/>
  <c r="D18" i="62"/>
  <c r="D10" i="35" s="1"/>
  <c r="B18" i="62"/>
  <c r="B10" i="35" s="1"/>
  <c r="F9" i="62"/>
  <c r="AM8" i="77" s="1"/>
  <c r="B9" i="62"/>
  <c r="C4" i="62"/>
  <c r="D81" i="61"/>
  <c r="D9" i="75" s="1"/>
  <c r="B81" i="61"/>
  <c r="B9" i="75" s="1"/>
  <c r="D72" i="61"/>
  <c r="D9" i="74" s="1"/>
  <c r="B72" i="61"/>
  <c r="B9" i="74" s="1"/>
  <c r="D63" i="61"/>
  <c r="D9" i="73" s="1"/>
  <c r="B63" i="61"/>
  <c r="B9" i="73" s="1"/>
  <c r="D54" i="61"/>
  <c r="D9" i="58" s="1"/>
  <c r="B54" i="61"/>
  <c r="B9" i="58" s="1"/>
  <c r="D45" i="61"/>
  <c r="D9" i="57" s="1"/>
  <c r="B45" i="61"/>
  <c r="B9" i="57" s="1"/>
  <c r="D36" i="61"/>
  <c r="D9" i="48" s="1"/>
  <c r="B36" i="61"/>
  <c r="B9" i="48" s="1"/>
  <c r="D27" i="61"/>
  <c r="D9" i="46" s="1"/>
  <c r="B27" i="61"/>
  <c r="B9" i="46" s="1"/>
  <c r="D18" i="61"/>
  <c r="D9" i="35" s="1"/>
  <c r="B18" i="61"/>
  <c r="B9" i="35" s="1"/>
  <c r="F9" i="61"/>
  <c r="AM7" i="77" s="1"/>
  <c r="B9" i="61"/>
  <c r="F9" i="60"/>
  <c r="AM6" i="77" s="1"/>
  <c r="F9" i="59"/>
  <c r="AM5" i="77" s="1"/>
  <c r="F9" i="53"/>
  <c r="AM4" i="77" s="1"/>
  <c r="D81" i="60"/>
  <c r="D8" i="75" s="1"/>
  <c r="B81" i="60"/>
  <c r="B8" i="75" s="1"/>
  <c r="D72" i="60"/>
  <c r="D8" i="74" s="1"/>
  <c r="B72" i="60"/>
  <c r="B8" i="74" s="1"/>
  <c r="D63" i="60"/>
  <c r="D8" i="73" s="1"/>
  <c r="B63" i="60"/>
  <c r="B8" i="73" s="1"/>
  <c r="D54" i="60"/>
  <c r="D8" i="58" s="1"/>
  <c r="B54" i="60"/>
  <c r="B8" i="58" s="1"/>
  <c r="D45" i="60"/>
  <c r="D8" i="57" s="1"/>
  <c r="B45" i="60"/>
  <c r="B8" i="57" s="1"/>
  <c r="D36" i="60"/>
  <c r="D8" i="48" s="1"/>
  <c r="B36" i="60"/>
  <c r="B8" i="48" s="1"/>
  <c r="D27" i="60"/>
  <c r="D8" i="46" s="1"/>
  <c r="B27" i="60"/>
  <c r="B8" i="46" s="1"/>
  <c r="D18" i="60"/>
  <c r="D8" i="35" s="1"/>
  <c r="B18" i="60"/>
  <c r="B8" i="35" s="1"/>
  <c r="B9" i="60"/>
  <c r="C4" i="60"/>
  <c r="D81" i="59"/>
  <c r="D7" i="75" s="1"/>
  <c r="B81" i="59"/>
  <c r="B7" i="75" s="1"/>
  <c r="D72" i="59"/>
  <c r="D7" i="74" s="1"/>
  <c r="B72" i="59"/>
  <c r="B7" i="74" s="1"/>
  <c r="D63" i="59"/>
  <c r="D7" i="73" s="1"/>
  <c r="B63" i="59"/>
  <c r="B7" i="73" s="1"/>
  <c r="D54" i="59"/>
  <c r="D7" i="58" s="1"/>
  <c r="B54" i="59"/>
  <c r="B7" i="58" s="1"/>
  <c r="D45" i="59"/>
  <c r="D7" i="57" s="1"/>
  <c r="B45" i="59"/>
  <c r="B7" i="57" s="1"/>
  <c r="D36" i="59"/>
  <c r="D7" i="48" s="1"/>
  <c r="B36" i="59"/>
  <c r="B7" i="48" s="1"/>
  <c r="D27" i="59"/>
  <c r="D7" i="46" s="1"/>
  <c r="B27" i="59"/>
  <c r="B7" i="46" s="1"/>
  <c r="D18" i="59"/>
  <c r="D7" i="35" s="1"/>
  <c r="B18" i="59"/>
  <c r="B7" i="35" s="1"/>
  <c r="B9" i="59"/>
  <c r="C4" i="59"/>
  <c r="C4" i="53"/>
  <c r="C4" i="56"/>
  <c r="C9" i="56" s="1"/>
  <c r="C3" i="77" s="1"/>
  <c r="D81" i="56"/>
  <c r="D5" i="75" s="1"/>
  <c r="B81" i="56"/>
  <c r="B5" i="75" s="1"/>
  <c r="C76" i="56"/>
  <c r="D72" i="56"/>
  <c r="D5" i="74" s="1"/>
  <c r="B72" i="56"/>
  <c r="B5" i="74" s="1"/>
  <c r="C67" i="56"/>
  <c r="D63" i="56"/>
  <c r="D5" i="73" s="1"/>
  <c r="B63" i="56"/>
  <c r="B5" i="73" s="1"/>
  <c r="C58" i="56"/>
  <c r="A58" i="56"/>
  <c r="D54" i="56"/>
  <c r="D5" i="58" s="1"/>
  <c r="B54" i="56"/>
  <c r="B5" i="58" s="1"/>
  <c r="C49" i="56"/>
  <c r="A49" i="56"/>
  <c r="D45" i="56"/>
  <c r="D5" i="57" s="1"/>
  <c r="B45" i="56"/>
  <c r="B5" i="57" s="1"/>
  <c r="C40" i="56"/>
  <c r="A40" i="56"/>
  <c r="D36" i="56"/>
  <c r="D5" i="48" s="1"/>
  <c r="B36" i="56"/>
  <c r="B5" i="48" s="1"/>
  <c r="C31" i="56"/>
  <c r="A31" i="56"/>
  <c r="D27" i="56"/>
  <c r="D5" i="46" s="1"/>
  <c r="B27" i="56"/>
  <c r="B5" i="46" s="1"/>
  <c r="C5" i="46" s="1"/>
  <c r="C22" i="56"/>
  <c r="A22" i="56"/>
  <c r="A76" i="56" s="1"/>
  <c r="D18" i="56"/>
  <c r="D5" i="35" s="1"/>
  <c r="B18" i="56"/>
  <c r="B5" i="35" s="1"/>
  <c r="C5" i="35" s="1"/>
  <c r="C13" i="56"/>
  <c r="A13" i="56"/>
  <c r="A67" i="56" s="1"/>
  <c r="F9" i="56"/>
  <c r="AM3" i="77" s="1"/>
  <c r="B9" i="56"/>
  <c r="B3" i="77" s="1"/>
  <c r="D81" i="53"/>
  <c r="D6" i="75" s="1"/>
  <c r="B81" i="53"/>
  <c r="B6" i="75" s="1"/>
  <c r="D72" i="53"/>
  <c r="D6" i="74" s="1"/>
  <c r="B72" i="53"/>
  <c r="B6" i="74" s="1"/>
  <c r="S5" i="74" l="1"/>
  <c r="M5" i="74"/>
  <c r="R5" i="74"/>
  <c r="E5" i="74"/>
  <c r="E5" i="75"/>
  <c r="G5" i="75" s="1"/>
  <c r="R5" i="75"/>
  <c r="S5" i="75"/>
  <c r="M5" i="75"/>
  <c r="E5" i="73"/>
  <c r="E5" i="58"/>
  <c r="G5" i="58" s="1"/>
  <c r="S5" i="58"/>
  <c r="S5" i="57"/>
  <c r="E5" i="48"/>
  <c r="S5" i="46"/>
  <c r="C9" i="71"/>
  <c r="C9" i="60"/>
  <c r="D4" i="60"/>
  <c r="D9" i="60" s="1"/>
  <c r="D4" i="67"/>
  <c r="D9" i="67" s="1"/>
  <c r="D4" i="72"/>
  <c r="D9" i="72" s="1"/>
  <c r="C9" i="72"/>
  <c r="D4" i="53"/>
  <c r="D9" i="53" s="1"/>
  <c r="C9" i="53"/>
  <c r="C9" i="59"/>
  <c r="D4" i="59"/>
  <c r="D9" i="59" s="1"/>
  <c r="D4" i="63"/>
  <c r="D9" i="63" s="1"/>
  <c r="C9" i="63"/>
  <c r="J19" i="35"/>
  <c r="C9" i="62"/>
  <c r="D4" i="62"/>
  <c r="D9" i="62" s="1"/>
  <c r="E9" i="65"/>
  <c r="AL11" i="77" s="1"/>
  <c r="J13" i="48"/>
  <c r="S5" i="48" s="1"/>
  <c r="E9" i="72"/>
  <c r="AL18" i="77" s="1"/>
  <c r="J20" i="35"/>
  <c r="C5" i="75"/>
  <c r="C6" i="75" s="1"/>
  <c r="C7" i="75" s="1"/>
  <c r="C8" i="75" s="1"/>
  <c r="C9" i="75" s="1"/>
  <c r="C10" i="75" s="1"/>
  <c r="C11" i="75" s="1"/>
  <c r="C12" i="75" s="1"/>
  <c r="C13" i="75" s="1"/>
  <c r="C14" i="75" s="1"/>
  <c r="C15" i="75" s="1"/>
  <c r="C16" i="75" s="1"/>
  <c r="C17" i="75" s="1"/>
  <c r="C18" i="75" s="1"/>
  <c r="C19" i="75" s="1"/>
  <c r="C20" i="75" s="1"/>
  <c r="C21" i="75" s="1"/>
  <c r="C22" i="75" s="1"/>
  <c r="C23" i="75" s="1"/>
  <c r="C24" i="75" s="1"/>
  <c r="C25" i="75" s="1"/>
  <c r="C26" i="75" s="1"/>
  <c r="C27" i="75" s="1"/>
  <c r="C28" i="75" s="1"/>
  <c r="C29" i="75" s="1"/>
  <c r="C30" i="75" s="1"/>
  <c r="C31" i="75" s="1"/>
  <c r="G5" i="74"/>
  <c r="AF3" i="77" s="1"/>
  <c r="E6" i="74"/>
  <c r="C5" i="74"/>
  <c r="G5" i="73"/>
  <c r="C5" i="73"/>
  <c r="C5" i="58"/>
  <c r="E5" i="57"/>
  <c r="C5" i="57"/>
  <c r="G5" i="48"/>
  <c r="C5" i="48"/>
  <c r="E9" i="60"/>
  <c r="AL6" i="77" s="1"/>
  <c r="E9" i="56"/>
  <c r="AL3" i="77" s="1"/>
  <c r="E9" i="70"/>
  <c r="AL16" i="77" s="1"/>
  <c r="E9" i="63"/>
  <c r="AL9" i="77" s="1"/>
  <c r="E9" i="64"/>
  <c r="AL10" i="77" s="1"/>
  <c r="E9" i="69"/>
  <c r="AL15" i="77" s="1"/>
  <c r="C9" i="70"/>
  <c r="D4" i="71"/>
  <c r="D9" i="71" s="1"/>
  <c r="E9" i="68"/>
  <c r="AL14" i="77" s="1"/>
  <c r="E9" i="67"/>
  <c r="AL13" i="77" s="1"/>
  <c r="E9" i="66"/>
  <c r="AL12" i="77" s="1"/>
  <c r="C4" i="61"/>
  <c r="E9" i="61"/>
  <c r="AL7" i="77" s="1"/>
  <c r="E9" i="59"/>
  <c r="AL5" i="77" s="1"/>
  <c r="E9" i="53"/>
  <c r="AL4" i="77" s="1"/>
  <c r="E9" i="62"/>
  <c r="AL8" i="77" s="1"/>
  <c r="D4" i="56"/>
  <c r="D9" i="56" s="1"/>
  <c r="B2" i="76" s="1"/>
  <c r="E6" i="75" l="1"/>
  <c r="C6" i="74"/>
  <c r="I5" i="74"/>
  <c r="AG3" i="77"/>
  <c r="I5" i="75"/>
  <c r="AE3" i="77"/>
  <c r="I5" i="73"/>
  <c r="AD3" i="77"/>
  <c r="I5" i="58"/>
  <c r="AB3" i="77"/>
  <c r="I5" i="48"/>
  <c r="S5" i="35"/>
  <c r="B3" i="76"/>
  <c r="D3" i="77"/>
  <c r="C9" i="61"/>
  <c r="D4" i="61"/>
  <c r="D9" i="61" s="1"/>
  <c r="E7" i="75"/>
  <c r="G6" i="75"/>
  <c r="H5" i="75"/>
  <c r="E7" i="74"/>
  <c r="G6" i="74"/>
  <c r="AF4" i="77" s="1"/>
  <c r="H5" i="74"/>
  <c r="H5" i="73"/>
  <c r="H5" i="58"/>
  <c r="G5" i="57"/>
  <c r="H5" i="48"/>
  <c r="B63" i="53"/>
  <c r="B6" i="73" s="1"/>
  <c r="D63" i="53"/>
  <c r="D6" i="73" s="1"/>
  <c r="R5" i="73" s="1"/>
  <c r="B54" i="53"/>
  <c r="B6" i="58" s="1"/>
  <c r="D54" i="53"/>
  <c r="D6" i="58" s="1"/>
  <c r="R5" i="58" s="1"/>
  <c r="D45" i="53"/>
  <c r="D6" i="57" s="1"/>
  <c r="B45" i="53"/>
  <c r="B6" i="57" s="1"/>
  <c r="D36" i="53"/>
  <c r="D6" i="48" s="1"/>
  <c r="R5" i="48" s="1"/>
  <c r="B36" i="53"/>
  <c r="B6" i="48" s="1"/>
  <c r="D27" i="53"/>
  <c r="D6" i="46" s="1"/>
  <c r="R5" i="46" s="1"/>
  <c r="B27" i="53"/>
  <c r="B6" i="46" s="1"/>
  <c r="B18" i="53"/>
  <c r="B6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D18" i="53"/>
  <c r="D6" i="35" s="1"/>
  <c r="R5" i="35" s="1"/>
  <c r="B9" i="53"/>
  <c r="B4" i="77" s="1"/>
  <c r="B5" i="77" s="1"/>
  <c r="C7" i="74" l="1"/>
  <c r="I6" i="74"/>
  <c r="AG4" i="77"/>
  <c r="I6" i="75"/>
  <c r="M5" i="73"/>
  <c r="M5" i="58"/>
  <c r="M5" i="57"/>
  <c r="R5" i="57"/>
  <c r="AC3" i="77"/>
  <c r="I5" i="57"/>
  <c r="M5" i="48"/>
  <c r="M5" i="46"/>
  <c r="C6" i="46"/>
  <c r="C7" i="46" s="1"/>
  <c r="C8" i="46" s="1"/>
  <c r="C9" i="46" s="1"/>
  <c r="C10" i="46" s="1"/>
  <c r="C11" i="46" s="1"/>
  <c r="C12" i="46" s="1"/>
  <c r="C13" i="46" s="1"/>
  <c r="C14" i="46" s="1"/>
  <c r="C15" i="46" s="1"/>
  <c r="C16" i="46" s="1"/>
  <c r="C17" i="46" s="1"/>
  <c r="C18" i="46" s="1"/>
  <c r="C19" i="46" s="1"/>
  <c r="C20" i="46" s="1"/>
  <c r="C21" i="46" s="1"/>
  <c r="C22" i="46" s="1"/>
  <c r="C23" i="46" s="1"/>
  <c r="C24" i="46" s="1"/>
  <c r="C25" i="46" s="1"/>
  <c r="C26" i="46" s="1"/>
  <c r="C27" i="46" s="1"/>
  <c r="C28" i="46" s="1"/>
  <c r="C29" i="46" s="1"/>
  <c r="C30" i="46" s="1"/>
  <c r="C31" i="46" s="1"/>
  <c r="B6" i="77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C6" i="58"/>
  <c r="C7" i="58" s="1"/>
  <c r="C8" i="58" s="1"/>
  <c r="C9" i="58" s="1"/>
  <c r="C10" i="58" s="1"/>
  <c r="C11" i="58" s="1"/>
  <c r="C12" i="58" s="1"/>
  <c r="C13" i="58" s="1"/>
  <c r="C14" i="58" s="1"/>
  <c r="C15" i="58" s="1"/>
  <c r="C16" i="58" s="1"/>
  <c r="C17" i="58" s="1"/>
  <c r="C18" i="58" s="1"/>
  <c r="C19" i="58" s="1"/>
  <c r="C20" i="58" s="1"/>
  <c r="C21" i="58" s="1"/>
  <c r="C22" i="58" s="1"/>
  <c r="C23" i="58" s="1"/>
  <c r="C24" i="58" s="1"/>
  <c r="C25" i="58" s="1"/>
  <c r="C26" i="58" s="1"/>
  <c r="C27" i="58" s="1"/>
  <c r="C28" i="58" s="1"/>
  <c r="C29" i="58" s="1"/>
  <c r="C30" i="58" s="1"/>
  <c r="C31" i="58" s="1"/>
  <c r="C7" i="77"/>
  <c r="C8" i="77" s="1"/>
  <c r="C9" i="77" s="1"/>
  <c r="C10" i="77" s="1"/>
  <c r="C11" i="77" s="1"/>
  <c r="C12" i="77" s="1"/>
  <c r="C13" i="77" s="1"/>
  <c r="C14" i="77" s="1"/>
  <c r="C15" i="77" s="1"/>
  <c r="C16" i="77" s="1"/>
  <c r="C17" i="77" s="1"/>
  <c r="C18" i="77" s="1"/>
  <c r="E6" i="57"/>
  <c r="E7" i="57" s="1"/>
  <c r="C6" i="57"/>
  <c r="C7" i="57" s="1"/>
  <c r="C8" i="57" s="1"/>
  <c r="C9" i="57" s="1"/>
  <c r="C10" i="57" s="1"/>
  <c r="C11" i="57" s="1"/>
  <c r="C12" i="57" s="1"/>
  <c r="C13" i="57" s="1"/>
  <c r="C14" i="57" s="1"/>
  <c r="C15" i="57" s="1"/>
  <c r="C16" i="57" s="1"/>
  <c r="C17" i="57" s="1"/>
  <c r="C18" i="57" s="1"/>
  <c r="C19" i="57" s="1"/>
  <c r="C20" i="57" s="1"/>
  <c r="C21" i="57" s="1"/>
  <c r="C22" i="57" s="1"/>
  <c r="C23" i="57" s="1"/>
  <c r="C24" i="57" s="1"/>
  <c r="C25" i="57" s="1"/>
  <c r="C26" i="57" s="1"/>
  <c r="C27" i="57" s="1"/>
  <c r="C28" i="57" s="1"/>
  <c r="C29" i="57" s="1"/>
  <c r="C30" i="57" s="1"/>
  <c r="C31" i="57" s="1"/>
  <c r="E6" i="58"/>
  <c r="C6" i="48"/>
  <c r="C7" i="48" s="1"/>
  <c r="C8" i="48" s="1"/>
  <c r="C9" i="48" s="1"/>
  <c r="C10" i="48" s="1"/>
  <c r="C11" i="48" s="1"/>
  <c r="C12" i="48" s="1"/>
  <c r="C13" i="48" s="1"/>
  <c r="C14" i="48" s="1"/>
  <c r="C15" i="48" s="1"/>
  <c r="C16" i="48" s="1"/>
  <c r="C17" i="48" s="1"/>
  <c r="C18" i="48" s="1"/>
  <c r="C19" i="48" s="1"/>
  <c r="C20" i="48" s="1"/>
  <c r="C21" i="48" s="1"/>
  <c r="C22" i="48" s="1"/>
  <c r="C23" i="48" s="1"/>
  <c r="C24" i="48" s="1"/>
  <c r="C25" i="48" s="1"/>
  <c r="C26" i="48" s="1"/>
  <c r="C27" i="48" s="1"/>
  <c r="C28" i="48" s="1"/>
  <c r="C29" i="48" s="1"/>
  <c r="C30" i="48" s="1"/>
  <c r="C31" i="48" s="1"/>
  <c r="E6" i="48"/>
  <c r="E6" i="73"/>
  <c r="C6" i="73"/>
  <c r="C7" i="73" s="1"/>
  <c r="C8" i="73" s="1"/>
  <c r="C9" i="73" s="1"/>
  <c r="C10" i="73" s="1"/>
  <c r="C11" i="73" s="1"/>
  <c r="C12" i="73" s="1"/>
  <c r="C13" i="73" s="1"/>
  <c r="C14" i="73" s="1"/>
  <c r="C15" i="73" s="1"/>
  <c r="C16" i="73" s="1"/>
  <c r="C17" i="73" s="1"/>
  <c r="C18" i="73" s="1"/>
  <c r="C19" i="73" s="1"/>
  <c r="C20" i="73" s="1"/>
  <c r="C21" i="73" s="1"/>
  <c r="C22" i="73" s="1"/>
  <c r="C23" i="73" s="1"/>
  <c r="C24" i="73" s="1"/>
  <c r="C25" i="73" s="1"/>
  <c r="C26" i="73" s="1"/>
  <c r="C27" i="73" s="1"/>
  <c r="C28" i="73" s="1"/>
  <c r="C29" i="73" s="1"/>
  <c r="C30" i="73" s="1"/>
  <c r="C31" i="73" s="1"/>
  <c r="B4" i="76"/>
  <c r="D4" i="77"/>
  <c r="H6" i="75"/>
  <c r="G7" i="75"/>
  <c r="E8" i="75"/>
  <c r="H6" i="74"/>
  <c r="G7" i="74"/>
  <c r="AF5" i="77" s="1"/>
  <c r="E8" i="74"/>
  <c r="H5" i="57"/>
  <c r="E5" i="46"/>
  <c r="E5" i="35"/>
  <c r="M5" i="35"/>
  <c r="H31" i="73" l="1"/>
  <c r="I31" i="73"/>
  <c r="H31" i="48"/>
  <c r="I31" i="48"/>
  <c r="C19" i="77"/>
  <c r="C20" i="77" s="1"/>
  <c r="C21" i="77" s="1"/>
  <c r="C22" i="77" s="1"/>
  <c r="C23" i="77" s="1"/>
  <c r="C24" i="77" s="1"/>
  <c r="C25" i="77" s="1"/>
  <c r="C26" i="77" s="1"/>
  <c r="C27" i="77" s="1"/>
  <c r="C28" i="77" s="1"/>
  <c r="C29" i="77" s="1"/>
  <c r="C31" i="77" s="1"/>
  <c r="C8" i="74"/>
  <c r="I7" i="74"/>
  <c r="AG5" i="77"/>
  <c r="I7" i="75"/>
  <c r="G6" i="57"/>
  <c r="H6" i="57" s="1"/>
  <c r="B20" i="77"/>
  <c r="B21" i="77" s="1"/>
  <c r="B22" i="77" s="1"/>
  <c r="B23" i="77" s="1"/>
  <c r="B24" i="77" s="1"/>
  <c r="B5" i="76"/>
  <c r="D6" i="77" s="1"/>
  <c r="D5" i="77"/>
  <c r="E7" i="48"/>
  <c r="G6" i="48"/>
  <c r="I6" i="48" s="1"/>
  <c r="G6" i="73"/>
  <c r="I6" i="73" s="1"/>
  <c r="E7" i="73"/>
  <c r="G6" i="58"/>
  <c r="I6" i="58" s="1"/>
  <c r="E7" i="58"/>
  <c r="E9" i="75"/>
  <c r="G8" i="75"/>
  <c r="H7" i="75"/>
  <c r="E9" i="74"/>
  <c r="G8" i="74"/>
  <c r="AF6" i="77" s="1"/>
  <c r="H7" i="74"/>
  <c r="G7" i="57"/>
  <c r="E8" i="57"/>
  <c r="G5" i="46"/>
  <c r="E6" i="46"/>
  <c r="E6" i="35"/>
  <c r="G5" i="35"/>
  <c r="C9" i="74" l="1"/>
  <c r="I8" i="74"/>
  <c r="AG6" i="77"/>
  <c r="I8" i="75"/>
  <c r="AC5" i="77"/>
  <c r="I7" i="57"/>
  <c r="AC4" i="77"/>
  <c r="I6" i="57"/>
  <c r="H5" i="46"/>
  <c r="I5" i="46"/>
  <c r="AA3" i="77"/>
  <c r="Z3" i="77"/>
  <c r="I5" i="35"/>
  <c r="H5" i="35"/>
  <c r="B25" i="77"/>
  <c r="B26" i="77" s="1"/>
  <c r="B27" i="77" s="1"/>
  <c r="B28" i="77" s="1"/>
  <c r="B29" i="77" s="1"/>
  <c r="AD4" i="77"/>
  <c r="H6" i="58"/>
  <c r="G7" i="48"/>
  <c r="I7" i="48" s="1"/>
  <c r="E8" i="48"/>
  <c r="G7" i="58"/>
  <c r="I7" i="58" s="1"/>
  <c r="E8" i="58"/>
  <c r="G7" i="73"/>
  <c r="I7" i="73" s="1"/>
  <c r="E8" i="73"/>
  <c r="AB4" i="77"/>
  <c r="H6" i="48"/>
  <c r="G6" i="46"/>
  <c r="E7" i="46"/>
  <c r="AE4" i="77"/>
  <c r="H6" i="73"/>
  <c r="B6" i="76"/>
  <c r="D7" i="77" s="1"/>
  <c r="H8" i="75"/>
  <c r="G9" i="75"/>
  <c r="E10" i="75"/>
  <c r="H8" i="74"/>
  <c r="G9" i="74"/>
  <c r="AF7" i="77" s="1"/>
  <c r="E10" i="74"/>
  <c r="E9" i="57"/>
  <c r="G8" i="57"/>
  <c r="H7" i="57"/>
  <c r="G6" i="35"/>
  <c r="E7" i="35"/>
  <c r="B30" i="77" l="1"/>
  <c r="B31" i="77" s="1"/>
  <c r="AJ31" i="77" s="1"/>
  <c r="AK31" i="77" s="1"/>
  <c r="AH3" i="77"/>
  <c r="AI3" i="77" s="1"/>
  <c r="AJ3" i="77" s="1"/>
  <c r="AK3" i="77" s="1"/>
  <c r="C10" i="74"/>
  <c r="I9" i="74"/>
  <c r="AG7" i="77"/>
  <c r="I9" i="75"/>
  <c r="AC6" i="77"/>
  <c r="I8" i="57"/>
  <c r="I6" i="46"/>
  <c r="H6" i="46"/>
  <c r="AA4" i="77"/>
  <c r="Z4" i="77"/>
  <c r="H6" i="35"/>
  <c r="I6" i="35"/>
  <c r="AB5" i="77"/>
  <c r="H7" i="48"/>
  <c r="E9" i="58"/>
  <c r="G8" i="58"/>
  <c r="B7" i="76"/>
  <c r="D8" i="77" s="1"/>
  <c r="G7" i="46"/>
  <c r="E8" i="46"/>
  <c r="AD5" i="77"/>
  <c r="H7" i="58"/>
  <c r="AE5" i="77"/>
  <c r="H7" i="73"/>
  <c r="E9" i="73"/>
  <c r="G8" i="73"/>
  <c r="E9" i="48"/>
  <c r="G8" i="48"/>
  <c r="E11" i="75"/>
  <c r="G10" i="75"/>
  <c r="H9" i="75"/>
  <c r="E11" i="74"/>
  <c r="G10" i="74"/>
  <c r="AF8" i="77" s="1"/>
  <c r="H9" i="74"/>
  <c r="H8" i="57"/>
  <c r="E10" i="57"/>
  <c r="G9" i="57"/>
  <c r="G7" i="35"/>
  <c r="E8" i="35"/>
  <c r="AJ30" i="77" l="1"/>
  <c r="AK30" i="77" s="1"/>
  <c r="AH4" i="77"/>
  <c r="AI4" i="77" s="1"/>
  <c r="AJ4" i="77" s="1"/>
  <c r="AK4" i="77" s="1"/>
  <c r="C11" i="74"/>
  <c r="I10" i="74"/>
  <c r="AG8" i="77"/>
  <c r="I10" i="75"/>
  <c r="AE6" i="77"/>
  <c r="I8" i="73"/>
  <c r="AD6" i="77"/>
  <c r="I8" i="58"/>
  <c r="AC7" i="77"/>
  <c r="I9" i="57"/>
  <c r="AB6" i="77"/>
  <c r="I8" i="48"/>
  <c r="H7" i="46"/>
  <c r="I7" i="46"/>
  <c r="Z5" i="77"/>
  <c r="H7" i="35"/>
  <c r="I7" i="35"/>
  <c r="G9" i="58"/>
  <c r="E10" i="58"/>
  <c r="G9" i="48"/>
  <c r="E10" i="48"/>
  <c r="H8" i="73"/>
  <c r="B8" i="76"/>
  <c r="D9" i="77" s="1"/>
  <c r="H8" i="48"/>
  <c r="AA5" i="77"/>
  <c r="E10" i="73"/>
  <c r="G9" i="73"/>
  <c r="G8" i="46"/>
  <c r="E9" i="46"/>
  <c r="H8" i="58"/>
  <c r="H10" i="75"/>
  <c r="G11" i="75"/>
  <c r="E12" i="75"/>
  <c r="H10" i="74"/>
  <c r="G11" i="74"/>
  <c r="AF9" i="77" s="1"/>
  <c r="E12" i="74"/>
  <c r="H9" i="57"/>
  <c r="G10" i="57"/>
  <c r="E11" i="57"/>
  <c r="G8" i="35"/>
  <c r="E9" i="35"/>
  <c r="C12" i="74" l="1"/>
  <c r="I11" i="74"/>
  <c r="AG9" i="77"/>
  <c r="I11" i="75"/>
  <c r="AE7" i="77"/>
  <c r="I9" i="73"/>
  <c r="AD7" i="77"/>
  <c r="I9" i="58"/>
  <c r="AC8" i="77"/>
  <c r="I10" i="57"/>
  <c r="AB7" i="77"/>
  <c r="I9" i="48"/>
  <c r="H8" i="46"/>
  <c r="I8" i="46"/>
  <c r="AA6" i="77"/>
  <c r="AH5" i="77"/>
  <c r="AI5" i="77" s="1"/>
  <c r="AJ5" i="77" s="1"/>
  <c r="AK5" i="77" s="1"/>
  <c r="Z6" i="77"/>
  <c r="H8" i="35"/>
  <c r="I8" i="35"/>
  <c r="G9" i="46"/>
  <c r="E10" i="46"/>
  <c r="H9" i="48"/>
  <c r="B9" i="76"/>
  <c r="D10" i="77" s="1"/>
  <c r="H9" i="73"/>
  <c r="E11" i="58"/>
  <c r="G10" i="58"/>
  <c r="G10" i="48"/>
  <c r="E11" i="48"/>
  <c r="G10" i="73"/>
  <c r="E11" i="73"/>
  <c r="H9" i="58"/>
  <c r="E13" i="75"/>
  <c r="G12" i="75"/>
  <c r="H11" i="75"/>
  <c r="E13" i="74"/>
  <c r="G12" i="74"/>
  <c r="AF10" i="77" s="1"/>
  <c r="H11" i="74"/>
  <c r="G11" i="57"/>
  <c r="E12" i="57"/>
  <c r="H10" i="57"/>
  <c r="G9" i="35"/>
  <c r="E10" i="35"/>
  <c r="C13" i="74" l="1"/>
  <c r="I12" i="74"/>
  <c r="AG10" i="77"/>
  <c r="I12" i="75"/>
  <c r="AE8" i="77"/>
  <c r="I10" i="73"/>
  <c r="AD8" i="77"/>
  <c r="I10" i="58"/>
  <c r="AC9" i="77"/>
  <c r="I11" i="57"/>
  <c r="AB8" i="77"/>
  <c r="I10" i="48"/>
  <c r="H9" i="46"/>
  <c r="I9" i="46"/>
  <c r="AA7" i="77"/>
  <c r="AH6" i="77"/>
  <c r="AI6" i="77" s="1"/>
  <c r="AJ6" i="77" s="1"/>
  <c r="AK6" i="77" s="1"/>
  <c r="Z7" i="77"/>
  <c r="H9" i="35"/>
  <c r="I9" i="35"/>
  <c r="G11" i="73"/>
  <c r="E12" i="73"/>
  <c r="H10" i="48"/>
  <c r="H10" i="73"/>
  <c r="G11" i="58"/>
  <c r="E12" i="58"/>
  <c r="B10" i="76"/>
  <c r="D11" i="77" s="1"/>
  <c r="G10" i="46"/>
  <c r="E11" i="46"/>
  <c r="H10" i="58"/>
  <c r="E12" i="48"/>
  <c r="G11" i="48"/>
  <c r="G13" i="75"/>
  <c r="E14" i="75"/>
  <c r="H12" i="75"/>
  <c r="H12" i="74"/>
  <c r="G13" i="74"/>
  <c r="AF11" i="77" s="1"/>
  <c r="E14" i="74"/>
  <c r="E13" i="57"/>
  <c r="G12" i="57"/>
  <c r="H11" i="57"/>
  <c r="G10" i="35"/>
  <c r="E11" i="35"/>
  <c r="AH7" i="77" l="1"/>
  <c r="AI7" i="77" s="1"/>
  <c r="AJ7" i="77" s="1"/>
  <c r="AK7" i="77" s="1"/>
  <c r="C14" i="74"/>
  <c r="I13" i="74"/>
  <c r="AG11" i="77"/>
  <c r="I13" i="75"/>
  <c r="AE9" i="77"/>
  <c r="I11" i="73"/>
  <c r="AD9" i="77"/>
  <c r="I11" i="58"/>
  <c r="AC10" i="77"/>
  <c r="I12" i="57"/>
  <c r="AB9" i="77"/>
  <c r="I11" i="48"/>
  <c r="I10" i="46"/>
  <c r="H10" i="46"/>
  <c r="AA8" i="77"/>
  <c r="Z8" i="77"/>
  <c r="H10" i="35"/>
  <c r="I10" i="35"/>
  <c r="H11" i="48"/>
  <c r="B11" i="76"/>
  <c r="D12" i="77" s="1"/>
  <c r="G11" i="46"/>
  <c r="E12" i="46"/>
  <c r="E13" i="58"/>
  <c r="G12" i="58"/>
  <c r="E13" i="73"/>
  <c r="G12" i="73"/>
  <c r="G12" i="48"/>
  <c r="E13" i="48"/>
  <c r="H11" i="58"/>
  <c r="H11" i="73"/>
  <c r="H13" i="75"/>
  <c r="E15" i="75"/>
  <c r="G14" i="75"/>
  <c r="E15" i="74"/>
  <c r="G14" i="74"/>
  <c r="AF12" i="77" s="1"/>
  <c r="H13" i="74"/>
  <c r="H12" i="57"/>
  <c r="E14" i="57"/>
  <c r="G13" i="57"/>
  <c r="G11" i="35"/>
  <c r="E12" i="35"/>
  <c r="AH8" i="77" l="1"/>
  <c r="AI8" i="77" s="1"/>
  <c r="AJ8" i="77" s="1"/>
  <c r="AK8" i="77" s="1"/>
  <c r="C15" i="74"/>
  <c r="I14" i="74"/>
  <c r="AG12" i="77"/>
  <c r="I14" i="75"/>
  <c r="AE10" i="77"/>
  <c r="I12" i="73"/>
  <c r="AD10" i="77"/>
  <c r="I12" i="58"/>
  <c r="AC11" i="77"/>
  <c r="I13" i="57"/>
  <c r="AB10" i="77"/>
  <c r="I12" i="48"/>
  <c r="H11" i="46"/>
  <c r="I11" i="46"/>
  <c r="AA9" i="77"/>
  <c r="Z9" i="77"/>
  <c r="H11" i="35"/>
  <c r="I11" i="35"/>
  <c r="H12" i="73"/>
  <c r="G13" i="73"/>
  <c r="E14" i="73"/>
  <c r="G12" i="46"/>
  <c r="E13" i="46"/>
  <c r="E14" i="48"/>
  <c r="G13" i="48"/>
  <c r="H12" i="58"/>
  <c r="H12" i="48"/>
  <c r="E14" i="58"/>
  <c r="G13" i="58"/>
  <c r="B12" i="76"/>
  <c r="D13" i="77" s="1"/>
  <c r="H14" i="75"/>
  <c r="G15" i="75"/>
  <c r="E16" i="75"/>
  <c r="H14" i="74"/>
  <c r="G15" i="74"/>
  <c r="AF13" i="77" s="1"/>
  <c r="E16" i="74"/>
  <c r="H13" i="57"/>
  <c r="G14" i="57"/>
  <c r="E15" i="57"/>
  <c r="G12" i="35"/>
  <c r="E13" i="35"/>
  <c r="AH9" i="77" l="1"/>
  <c r="AI9" i="77" s="1"/>
  <c r="AJ9" i="77" s="1"/>
  <c r="AK9" i="77" s="1"/>
  <c r="C16" i="74"/>
  <c r="I15" i="74"/>
  <c r="AG13" i="77"/>
  <c r="I15" i="75"/>
  <c r="AE11" i="77"/>
  <c r="I13" i="73"/>
  <c r="AD11" i="77"/>
  <c r="I13" i="58"/>
  <c r="AC12" i="77"/>
  <c r="I14" i="57"/>
  <c r="AB11" i="77"/>
  <c r="I13" i="48"/>
  <c r="I12" i="46"/>
  <c r="H12" i="46"/>
  <c r="AA10" i="77"/>
  <c r="Z10" i="77"/>
  <c r="H12" i="35"/>
  <c r="I12" i="35"/>
  <c r="E15" i="58"/>
  <c r="G14" i="58"/>
  <c r="G13" i="46"/>
  <c r="E14" i="46"/>
  <c r="B13" i="76"/>
  <c r="D14" i="77" s="1"/>
  <c r="H13" i="48"/>
  <c r="H13" i="73"/>
  <c r="H13" i="58"/>
  <c r="E15" i="48"/>
  <c r="G14" i="48"/>
  <c r="E15" i="73"/>
  <c r="G14" i="73"/>
  <c r="E17" i="75"/>
  <c r="G16" i="75"/>
  <c r="H15" i="75"/>
  <c r="E17" i="74"/>
  <c r="G16" i="74"/>
  <c r="AF14" i="77" s="1"/>
  <c r="H15" i="74"/>
  <c r="G15" i="57"/>
  <c r="E16" i="57"/>
  <c r="H14" i="57"/>
  <c r="G13" i="35"/>
  <c r="E14" i="35"/>
  <c r="C17" i="74" l="1"/>
  <c r="I16" i="74"/>
  <c r="AG14" i="77"/>
  <c r="I16" i="75"/>
  <c r="AE12" i="77"/>
  <c r="I14" i="73"/>
  <c r="AD12" i="77"/>
  <c r="I14" i="58"/>
  <c r="AC13" i="77"/>
  <c r="I15" i="57"/>
  <c r="AB12" i="77"/>
  <c r="I14" i="48"/>
  <c r="H13" i="46"/>
  <c r="I13" i="46"/>
  <c r="AA11" i="77"/>
  <c r="AH10" i="77"/>
  <c r="AI10" i="77" s="1"/>
  <c r="AJ10" i="77" s="1"/>
  <c r="AK10" i="77" s="1"/>
  <c r="Z11" i="77"/>
  <c r="H13" i="35"/>
  <c r="I13" i="35"/>
  <c r="E16" i="48"/>
  <c r="G15" i="48"/>
  <c r="E16" i="73"/>
  <c r="G15" i="73"/>
  <c r="H14" i="58"/>
  <c r="B14" i="76"/>
  <c r="D15" i="77" s="1"/>
  <c r="G14" i="46"/>
  <c r="E15" i="46"/>
  <c r="H14" i="73"/>
  <c r="H14" i="48"/>
  <c r="E16" i="58"/>
  <c r="G15" i="58"/>
  <c r="G17" i="75"/>
  <c r="E18" i="75"/>
  <c r="H16" i="75"/>
  <c r="H16" i="74"/>
  <c r="G17" i="74"/>
  <c r="AF15" i="77" s="1"/>
  <c r="E18" i="74"/>
  <c r="E17" i="57"/>
  <c r="G16" i="57"/>
  <c r="H15" i="57"/>
  <c r="G14" i="35"/>
  <c r="E15" i="35"/>
  <c r="AH11" i="77" l="1"/>
  <c r="AI11" i="77" s="1"/>
  <c r="AJ11" i="77" s="1"/>
  <c r="AK11" i="77" s="1"/>
  <c r="C18" i="74"/>
  <c r="I17" i="74"/>
  <c r="AG15" i="77"/>
  <c r="I17" i="75"/>
  <c r="AE13" i="77"/>
  <c r="I15" i="73"/>
  <c r="AD13" i="77"/>
  <c r="I15" i="58"/>
  <c r="AC14" i="77"/>
  <c r="I16" i="57"/>
  <c r="AB13" i="77"/>
  <c r="I15" i="48"/>
  <c r="I14" i="46"/>
  <c r="H14" i="46"/>
  <c r="AA12" i="77"/>
  <c r="Z12" i="77"/>
  <c r="H14" i="35"/>
  <c r="I14" i="35"/>
  <c r="H15" i="48"/>
  <c r="G16" i="73"/>
  <c r="E17" i="73"/>
  <c r="H15" i="58"/>
  <c r="G16" i="58"/>
  <c r="E17" i="58"/>
  <c r="G16" i="48"/>
  <c r="E17" i="48"/>
  <c r="G15" i="46"/>
  <c r="E16" i="46"/>
  <c r="B15" i="76"/>
  <c r="D16" i="77" s="1"/>
  <c r="H15" i="73"/>
  <c r="E19" i="75"/>
  <c r="G18" i="75"/>
  <c r="H17" i="75"/>
  <c r="E19" i="74"/>
  <c r="G18" i="74"/>
  <c r="AF16" i="77" s="1"/>
  <c r="H17" i="74"/>
  <c r="H16" i="57"/>
  <c r="G17" i="57"/>
  <c r="E18" i="57"/>
  <c r="G15" i="35"/>
  <c r="E16" i="35"/>
  <c r="C19" i="74" l="1"/>
  <c r="I18" i="74"/>
  <c r="AG16" i="77"/>
  <c r="I18" i="75"/>
  <c r="AE14" i="77"/>
  <c r="I16" i="73"/>
  <c r="AD14" i="77"/>
  <c r="I16" i="58"/>
  <c r="AC15" i="77"/>
  <c r="I17" i="57"/>
  <c r="AB14" i="77"/>
  <c r="I16" i="48"/>
  <c r="H15" i="46"/>
  <c r="I15" i="46"/>
  <c r="AA13" i="77"/>
  <c r="AH12" i="77"/>
  <c r="AI12" i="77" s="1"/>
  <c r="AJ12" i="77" s="1"/>
  <c r="AK12" i="77" s="1"/>
  <c r="Z13" i="77"/>
  <c r="H15" i="35"/>
  <c r="I15" i="35"/>
  <c r="H16" i="48"/>
  <c r="B16" i="76"/>
  <c r="D17" i="77" s="1"/>
  <c r="G16" i="46"/>
  <c r="E17" i="46"/>
  <c r="G17" i="73"/>
  <c r="E18" i="73"/>
  <c r="G17" i="48"/>
  <c r="E18" i="48"/>
  <c r="G17" i="58"/>
  <c r="E18" i="58"/>
  <c r="H16" i="58"/>
  <c r="H16" i="73"/>
  <c r="H18" i="75"/>
  <c r="G19" i="75"/>
  <c r="E20" i="75"/>
  <c r="H18" i="74"/>
  <c r="G19" i="74"/>
  <c r="AF17" i="77" s="1"/>
  <c r="E20" i="74"/>
  <c r="G18" i="57"/>
  <c r="E19" i="57"/>
  <c r="H17" i="57"/>
  <c r="G16" i="35"/>
  <c r="E17" i="35"/>
  <c r="C20" i="74" l="1"/>
  <c r="I19" i="74"/>
  <c r="AG17" i="77"/>
  <c r="I19" i="75"/>
  <c r="AE15" i="77"/>
  <c r="I17" i="73"/>
  <c r="AD15" i="77"/>
  <c r="I17" i="58"/>
  <c r="AC16" i="77"/>
  <c r="I18" i="57"/>
  <c r="AB15" i="77"/>
  <c r="I17" i="48"/>
  <c r="H16" i="46"/>
  <c r="I16" i="46"/>
  <c r="AA14" i="77"/>
  <c r="AH13" i="77"/>
  <c r="AI13" i="77" s="1"/>
  <c r="AJ13" i="77" s="1"/>
  <c r="AK13" i="77" s="1"/>
  <c r="Z14" i="77"/>
  <c r="H16" i="35"/>
  <c r="I16" i="35"/>
  <c r="G20" i="75"/>
  <c r="E21" i="75"/>
  <c r="G17" i="46"/>
  <c r="E18" i="46"/>
  <c r="B17" i="76"/>
  <c r="B18" i="76" s="1"/>
  <c r="G20" i="74"/>
  <c r="AF18" i="77" s="1"/>
  <c r="E21" i="74"/>
  <c r="H17" i="48"/>
  <c r="E19" i="48"/>
  <c r="G18" i="48"/>
  <c r="H17" i="73"/>
  <c r="E19" i="58"/>
  <c r="G18" i="58"/>
  <c r="H17" i="58"/>
  <c r="E19" i="73"/>
  <c r="G18" i="73"/>
  <c r="H19" i="75"/>
  <c r="H19" i="74"/>
  <c r="G19" i="57"/>
  <c r="E20" i="57"/>
  <c r="H18" i="57"/>
  <c r="G17" i="35"/>
  <c r="E18" i="35"/>
  <c r="C21" i="74" l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I20" i="74"/>
  <c r="AG18" i="77"/>
  <c r="I20" i="75"/>
  <c r="AE16" i="77"/>
  <c r="I18" i="73"/>
  <c r="AD16" i="77"/>
  <c r="I18" i="58"/>
  <c r="AC17" i="77"/>
  <c r="I19" i="57"/>
  <c r="AB16" i="77"/>
  <c r="I18" i="48"/>
  <c r="H17" i="46"/>
  <c r="I17" i="46"/>
  <c r="AH14" i="77"/>
  <c r="AI14" i="77" s="1"/>
  <c r="AJ14" i="77" s="1"/>
  <c r="AK14" i="77" s="1"/>
  <c r="AA15" i="77"/>
  <c r="Z15" i="77"/>
  <c r="H17" i="35"/>
  <c r="I17" i="35"/>
  <c r="G21" i="74"/>
  <c r="E22" i="74"/>
  <c r="G21" i="75"/>
  <c r="E22" i="75"/>
  <c r="H20" i="75"/>
  <c r="D18" i="77"/>
  <c r="G18" i="46"/>
  <c r="E19" i="46"/>
  <c r="H18" i="58"/>
  <c r="H18" i="48"/>
  <c r="H18" i="73"/>
  <c r="E20" i="73"/>
  <c r="G19" i="73"/>
  <c r="G20" i="57"/>
  <c r="E21" i="57"/>
  <c r="E20" i="58"/>
  <c r="G19" i="58"/>
  <c r="H20" i="74"/>
  <c r="E20" i="48"/>
  <c r="G19" i="48"/>
  <c r="H19" i="57"/>
  <c r="G18" i="35"/>
  <c r="E19" i="35"/>
  <c r="AH15" i="77" l="1"/>
  <c r="AI15" i="77" s="1"/>
  <c r="AJ15" i="77" s="1"/>
  <c r="AK15" i="77" s="1"/>
  <c r="AF19" i="77"/>
  <c r="I21" i="74"/>
  <c r="AG19" i="77"/>
  <c r="I21" i="75"/>
  <c r="H21" i="74"/>
  <c r="AE17" i="77"/>
  <c r="I19" i="73"/>
  <c r="AD17" i="77"/>
  <c r="I19" i="58"/>
  <c r="AC18" i="77"/>
  <c r="I20" i="57"/>
  <c r="AB17" i="77"/>
  <c r="I19" i="48"/>
  <c r="I18" i="46"/>
  <c r="H18" i="46"/>
  <c r="AA16" i="77"/>
  <c r="Z16" i="77"/>
  <c r="H18" i="35"/>
  <c r="I18" i="35"/>
  <c r="G22" i="75"/>
  <c r="E23" i="75"/>
  <c r="G22" i="74"/>
  <c r="AF20" i="77" s="1"/>
  <c r="E23" i="74"/>
  <c r="D19" i="77"/>
  <c r="B19" i="76"/>
  <c r="H21" i="75"/>
  <c r="G21" i="57"/>
  <c r="E22" i="57"/>
  <c r="H20" i="57"/>
  <c r="G20" i="73"/>
  <c r="E21" i="73"/>
  <c r="G19" i="35"/>
  <c r="E20" i="35"/>
  <c r="H19" i="58"/>
  <c r="G20" i="48"/>
  <c r="E21" i="48"/>
  <c r="E20" i="46"/>
  <c r="G19" i="46"/>
  <c r="H19" i="48"/>
  <c r="G20" i="58"/>
  <c r="E21" i="58"/>
  <c r="H19" i="73"/>
  <c r="AH16" i="77" l="1"/>
  <c r="AI16" i="77" s="1"/>
  <c r="AJ16" i="77" s="1"/>
  <c r="AK16" i="77" s="1"/>
  <c r="H22" i="74"/>
  <c r="I22" i="74"/>
  <c r="H22" i="75"/>
  <c r="I22" i="75"/>
  <c r="AG20" i="77"/>
  <c r="AE18" i="77"/>
  <c r="I20" i="73"/>
  <c r="AD18" i="77"/>
  <c r="I20" i="58"/>
  <c r="AC19" i="77"/>
  <c r="I21" i="57"/>
  <c r="AB18" i="77"/>
  <c r="I20" i="48"/>
  <c r="H19" i="46"/>
  <c r="I19" i="46"/>
  <c r="AA17" i="77"/>
  <c r="Z17" i="77"/>
  <c r="H19" i="35"/>
  <c r="I19" i="35"/>
  <c r="G22" i="57"/>
  <c r="AC20" i="77" s="1"/>
  <c r="E23" i="57"/>
  <c r="D20" i="77"/>
  <c r="B20" i="76"/>
  <c r="H21" i="57"/>
  <c r="G23" i="75"/>
  <c r="I23" i="75" s="1"/>
  <c r="E24" i="75"/>
  <c r="G23" i="74"/>
  <c r="I23" i="74" s="1"/>
  <c r="E24" i="74"/>
  <c r="G21" i="58"/>
  <c r="E22" i="58"/>
  <c r="G21" i="73"/>
  <c r="E22" i="73"/>
  <c r="G21" i="48"/>
  <c r="E22" i="48"/>
  <c r="E21" i="35"/>
  <c r="G20" i="35"/>
  <c r="E21" i="46"/>
  <c r="G20" i="46"/>
  <c r="H20" i="58"/>
  <c r="H20" i="48"/>
  <c r="H20" i="73"/>
  <c r="AH17" i="77" l="1"/>
  <c r="AI17" i="77" s="1"/>
  <c r="AJ17" i="77" s="1"/>
  <c r="AK17" i="77" s="1"/>
  <c r="AE19" i="77"/>
  <c r="I21" i="73"/>
  <c r="H21" i="73"/>
  <c r="AD19" i="77"/>
  <c r="I21" i="58"/>
  <c r="I22" i="57"/>
  <c r="H22" i="57"/>
  <c r="AB19" i="77"/>
  <c r="I21" i="48"/>
  <c r="H20" i="46"/>
  <c r="I20" i="46"/>
  <c r="AA18" i="77"/>
  <c r="Z18" i="77"/>
  <c r="H20" i="35"/>
  <c r="I20" i="35"/>
  <c r="G24" i="75"/>
  <c r="I24" i="75" s="1"/>
  <c r="E25" i="75"/>
  <c r="G24" i="74"/>
  <c r="I24" i="74" s="1"/>
  <c r="E25" i="74"/>
  <c r="H21" i="58"/>
  <c r="G22" i="48"/>
  <c r="E23" i="48"/>
  <c r="D21" i="77"/>
  <c r="B21" i="76"/>
  <c r="B22" i="76" s="1"/>
  <c r="B23" i="76" s="1"/>
  <c r="B24" i="76" s="1"/>
  <c r="B25" i="76" s="1"/>
  <c r="AG21" i="77"/>
  <c r="H23" i="75"/>
  <c r="G22" i="73"/>
  <c r="E23" i="73"/>
  <c r="AF21" i="77"/>
  <c r="H23" i="74"/>
  <c r="G23" i="57"/>
  <c r="I23" i="57" s="1"/>
  <c r="E24" i="57"/>
  <c r="G22" i="58"/>
  <c r="E23" i="58"/>
  <c r="H21" i="48"/>
  <c r="G21" i="46"/>
  <c r="E22" i="46"/>
  <c r="G21" i="35"/>
  <c r="E22" i="35"/>
  <c r="AH18" i="77" l="1"/>
  <c r="AI18" i="77" s="1"/>
  <c r="AJ18" i="77" s="1"/>
  <c r="AK18" i="77" s="1"/>
  <c r="B26" i="76"/>
  <c r="D26" i="77"/>
  <c r="H24" i="74"/>
  <c r="AF22" i="77"/>
  <c r="H24" i="75"/>
  <c r="AE20" i="77"/>
  <c r="I22" i="73"/>
  <c r="H22" i="58"/>
  <c r="I22" i="58"/>
  <c r="I22" i="48"/>
  <c r="AB20" i="77"/>
  <c r="H22" i="48"/>
  <c r="H21" i="46"/>
  <c r="I21" i="46"/>
  <c r="AA19" i="77"/>
  <c r="D24" i="77"/>
  <c r="D25" i="77"/>
  <c r="AG22" i="77"/>
  <c r="Z19" i="77"/>
  <c r="AH19" i="77" s="1"/>
  <c r="AI19" i="77" s="1"/>
  <c r="AJ19" i="77" s="1"/>
  <c r="AK19" i="77" s="1"/>
  <c r="H21" i="35"/>
  <c r="I21" i="35"/>
  <c r="G24" i="57"/>
  <c r="I24" i="57" s="1"/>
  <c r="E25" i="57"/>
  <c r="G25" i="75"/>
  <c r="E26" i="75"/>
  <c r="G25" i="74"/>
  <c r="E26" i="74"/>
  <c r="D22" i="77"/>
  <c r="D23" i="77"/>
  <c r="AD20" i="77"/>
  <c r="H22" i="73"/>
  <c r="G23" i="58"/>
  <c r="I23" i="58" s="1"/>
  <c r="E24" i="58"/>
  <c r="AC21" i="77"/>
  <c r="H23" i="57"/>
  <c r="G23" i="73"/>
  <c r="I23" i="73" s="1"/>
  <c r="E24" i="73"/>
  <c r="G22" i="35"/>
  <c r="E23" i="35"/>
  <c r="G23" i="48"/>
  <c r="I23" i="48" s="1"/>
  <c r="E24" i="48"/>
  <c r="G22" i="46"/>
  <c r="E23" i="46"/>
  <c r="D27" i="77" l="1"/>
  <c r="B27" i="76"/>
  <c r="I25" i="74"/>
  <c r="AC22" i="77"/>
  <c r="I25" i="75"/>
  <c r="G26" i="75"/>
  <c r="E27" i="75"/>
  <c r="H24" i="57"/>
  <c r="I22" i="46"/>
  <c r="H22" i="46"/>
  <c r="AA20" i="77"/>
  <c r="G26" i="74"/>
  <c r="E27" i="74"/>
  <c r="Z20" i="77"/>
  <c r="H22" i="35"/>
  <c r="I22" i="35"/>
  <c r="G24" i="48"/>
  <c r="I24" i="48" s="1"/>
  <c r="E25" i="48"/>
  <c r="H25" i="75"/>
  <c r="AG23" i="77"/>
  <c r="G25" i="57"/>
  <c r="E26" i="57"/>
  <c r="G24" i="58"/>
  <c r="E25" i="58"/>
  <c r="G24" i="73"/>
  <c r="E25" i="73"/>
  <c r="AF23" i="77"/>
  <c r="H25" i="74"/>
  <c r="AB21" i="77"/>
  <c r="H23" i="48"/>
  <c r="G23" i="46"/>
  <c r="E24" i="46"/>
  <c r="AE21" i="77"/>
  <c r="H23" i="73"/>
  <c r="G23" i="35"/>
  <c r="E24" i="35"/>
  <c r="AD21" i="77"/>
  <c r="H23" i="58"/>
  <c r="D28" i="77" l="1"/>
  <c r="AH20" i="77"/>
  <c r="AI20" i="77" s="1"/>
  <c r="AJ20" i="77" s="1"/>
  <c r="AK20" i="77" s="1"/>
  <c r="G27" i="74"/>
  <c r="I27" i="74" s="1"/>
  <c r="E28" i="74"/>
  <c r="G27" i="75"/>
  <c r="I27" i="75" s="1"/>
  <c r="E28" i="75"/>
  <c r="H26" i="74"/>
  <c r="AF24" i="77"/>
  <c r="I26" i="74"/>
  <c r="AG24" i="77"/>
  <c r="I26" i="75"/>
  <c r="H26" i="75"/>
  <c r="AE22" i="77"/>
  <c r="I24" i="73"/>
  <c r="H24" i="73"/>
  <c r="AD22" i="77"/>
  <c r="I24" i="58"/>
  <c r="G26" i="57"/>
  <c r="E27" i="57"/>
  <c r="I25" i="57"/>
  <c r="H24" i="48"/>
  <c r="AB22" i="77"/>
  <c r="H23" i="46"/>
  <c r="I23" i="46"/>
  <c r="H24" i="58"/>
  <c r="AF25" i="77"/>
  <c r="H23" i="35"/>
  <c r="I23" i="35"/>
  <c r="G25" i="73"/>
  <c r="E26" i="73"/>
  <c r="H26" i="57"/>
  <c r="H25" i="57"/>
  <c r="AC23" i="77"/>
  <c r="G25" i="48"/>
  <c r="E26" i="48"/>
  <c r="G25" i="58"/>
  <c r="E26" i="58"/>
  <c r="G24" i="35"/>
  <c r="E25" i="35"/>
  <c r="G24" i="46"/>
  <c r="E25" i="46"/>
  <c r="Z22" i="77"/>
  <c r="Z21" i="77"/>
  <c r="AA21" i="77"/>
  <c r="H27" i="74" l="1"/>
  <c r="AG25" i="77"/>
  <c r="G27" i="57"/>
  <c r="I27" i="57" s="1"/>
  <c r="E28" i="57"/>
  <c r="H27" i="75"/>
  <c r="G28" i="74"/>
  <c r="E29" i="74"/>
  <c r="G28" i="75"/>
  <c r="E29" i="75"/>
  <c r="G26" i="73"/>
  <c r="H26" i="73" s="1"/>
  <c r="E27" i="73"/>
  <c r="I25" i="73"/>
  <c r="I25" i="58"/>
  <c r="G26" i="58"/>
  <c r="E27" i="58"/>
  <c r="H27" i="57"/>
  <c r="AC25" i="77"/>
  <c r="AC24" i="77"/>
  <c r="I26" i="57"/>
  <c r="I25" i="48"/>
  <c r="I24" i="46"/>
  <c r="H24" i="46"/>
  <c r="AH21" i="77"/>
  <c r="AI21" i="77" s="1"/>
  <c r="AJ21" i="77" s="1"/>
  <c r="AK21" i="77" s="1"/>
  <c r="AA22" i="77"/>
  <c r="AH22" i="77" s="1"/>
  <c r="AI22" i="77" s="1"/>
  <c r="AJ22" i="77" s="1"/>
  <c r="AK22" i="77" s="1"/>
  <c r="G26" i="48"/>
  <c r="H26" i="48" s="1"/>
  <c r="E27" i="48"/>
  <c r="E28" i="48" s="1"/>
  <c r="H24" i="35"/>
  <c r="I24" i="35"/>
  <c r="AB23" i="77"/>
  <c r="H25" i="48"/>
  <c r="G25" i="46"/>
  <c r="AA23" i="77" s="1"/>
  <c r="E26" i="46"/>
  <c r="H26" i="58"/>
  <c r="AD23" i="77"/>
  <c r="H25" i="58"/>
  <c r="G25" i="35"/>
  <c r="E26" i="35"/>
  <c r="AE23" i="77"/>
  <c r="H25" i="73"/>
  <c r="G29" i="75" l="1"/>
  <c r="E30" i="75"/>
  <c r="G29" i="74"/>
  <c r="E30" i="74"/>
  <c r="G28" i="48"/>
  <c r="E29" i="48"/>
  <c r="G27" i="58"/>
  <c r="I27" i="58" s="1"/>
  <c r="E28" i="58"/>
  <c r="G27" i="73"/>
  <c r="I27" i="73" s="1"/>
  <c r="E28" i="73"/>
  <c r="AG27" i="77"/>
  <c r="I29" i="75"/>
  <c r="H29" i="75"/>
  <c r="AG26" i="77"/>
  <c r="H28" i="75"/>
  <c r="I28" i="75"/>
  <c r="G28" i="57"/>
  <c r="E29" i="57"/>
  <c r="AF27" i="77"/>
  <c r="H29" i="74"/>
  <c r="I29" i="74"/>
  <c r="AF26" i="77"/>
  <c r="H28" i="74"/>
  <c r="I28" i="74"/>
  <c r="AE24" i="77"/>
  <c r="I26" i="73"/>
  <c r="AD24" i="77"/>
  <c r="I26" i="58"/>
  <c r="G27" i="48"/>
  <c r="I27" i="48" s="1"/>
  <c r="AB24" i="77"/>
  <c r="I26" i="48"/>
  <c r="H25" i="46"/>
  <c r="I25" i="46"/>
  <c r="G26" i="46"/>
  <c r="E27" i="46"/>
  <c r="E28" i="46" s="1"/>
  <c r="Z23" i="77"/>
  <c r="AH23" i="77" s="1"/>
  <c r="AI23" i="77" s="1"/>
  <c r="AJ23" i="77" s="1"/>
  <c r="AK23" i="77" s="1"/>
  <c r="H25" i="35"/>
  <c r="I25" i="35"/>
  <c r="G26" i="35"/>
  <c r="E27" i="35"/>
  <c r="G30" i="75" l="1"/>
  <c r="E31" i="75"/>
  <c r="G31" i="75" s="1"/>
  <c r="G30" i="74"/>
  <c r="E31" i="74"/>
  <c r="G31" i="74" s="1"/>
  <c r="H27" i="73"/>
  <c r="AE25" i="77"/>
  <c r="I30" i="74"/>
  <c r="AF28" i="77"/>
  <c r="H30" i="74"/>
  <c r="G29" i="57"/>
  <c r="H29" i="57" s="1"/>
  <c r="E30" i="57"/>
  <c r="N5" i="74"/>
  <c r="P5" i="74" s="1"/>
  <c r="Q5" i="74" s="1"/>
  <c r="G29" i="48"/>
  <c r="H29" i="48" s="1"/>
  <c r="E30" i="48"/>
  <c r="G30" i="48" s="1"/>
  <c r="AG28" i="77"/>
  <c r="I30" i="75"/>
  <c r="H30" i="75"/>
  <c r="G28" i="58"/>
  <c r="E29" i="58"/>
  <c r="G27" i="35"/>
  <c r="Z25" i="77" s="1"/>
  <c r="E28" i="35"/>
  <c r="AD25" i="77"/>
  <c r="G28" i="73"/>
  <c r="E29" i="73"/>
  <c r="AB27" i="77"/>
  <c r="I29" i="48"/>
  <c r="I29" i="57"/>
  <c r="AC26" i="77"/>
  <c r="H28" i="57"/>
  <c r="I28" i="57"/>
  <c r="G28" i="46"/>
  <c r="E29" i="46"/>
  <c r="H27" i="58"/>
  <c r="AB26" i="77"/>
  <c r="I28" i="48"/>
  <c r="H28" i="48"/>
  <c r="AB25" i="77"/>
  <c r="H27" i="48"/>
  <c r="I26" i="46"/>
  <c r="H26" i="46"/>
  <c r="AA24" i="77"/>
  <c r="G27" i="46"/>
  <c r="Z24" i="77"/>
  <c r="H26" i="35"/>
  <c r="I26" i="35"/>
  <c r="I27" i="35"/>
  <c r="H31" i="75" l="1"/>
  <c r="I31" i="75"/>
  <c r="O5" i="75" s="1"/>
  <c r="N5" i="75"/>
  <c r="P5" i="75" s="1"/>
  <c r="Q5" i="75" s="1"/>
  <c r="H31" i="74"/>
  <c r="I31" i="74"/>
  <c r="O5" i="74" s="1"/>
  <c r="G30" i="57"/>
  <c r="E31" i="57"/>
  <c r="G31" i="57" s="1"/>
  <c r="N5" i="57" s="1"/>
  <c r="P5" i="57" s="1"/>
  <c r="Q5" i="57" s="1"/>
  <c r="G29" i="46"/>
  <c r="E30" i="46"/>
  <c r="AC27" i="77"/>
  <c r="G29" i="73"/>
  <c r="E30" i="73"/>
  <c r="G30" i="73" s="1"/>
  <c r="I30" i="48"/>
  <c r="O5" i="48" s="1"/>
  <c r="AB28" i="77"/>
  <c r="H30" i="48"/>
  <c r="N5" i="48"/>
  <c r="P5" i="48" s="1"/>
  <c r="Q5" i="48" s="1"/>
  <c r="G29" i="58"/>
  <c r="I29" i="58" s="1"/>
  <c r="E30" i="58"/>
  <c r="AC28" i="77"/>
  <c r="I30" i="57"/>
  <c r="H30" i="57"/>
  <c r="AA27" i="77"/>
  <c r="I29" i="46"/>
  <c r="H29" i="46"/>
  <c r="AE27" i="77"/>
  <c r="I29" i="73"/>
  <c r="H29" i="73"/>
  <c r="H27" i="35"/>
  <c r="AA26" i="77"/>
  <c r="H28" i="46"/>
  <c r="I28" i="46"/>
  <c r="AE26" i="77"/>
  <c r="H28" i="73"/>
  <c r="I28" i="73"/>
  <c r="N5" i="73"/>
  <c r="P5" i="73" s="1"/>
  <c r="Q5" i="73" s="1"/>
  <c r="AD26" i="77"/>
  <c r="I28" i="58"/>
  <c r="H28" i="58"/>
  <c r="G28" i="35"/>
  <c r="E29" i="35"/>
  <c r="AH24" i="77"/>
  <c r="AI24" i="77" s="1"/>
  <c r="AJ24" i="77" s="1"/>
  <c r="AK24" i="77" s="1"/>
  <c r="H27" i="46"/>
  <c r="I27" i="46"/>
  <c r="AA25" i="77"/>
  <c r="AH25" i="77" s="1"/>
  <c r="AI25" i="77" s="1"/>
  <c r="AJ25" i="77" s="1"/>
  <c r="AK25" i="77" s="1"/>
  <c r="AD27" i="77" l="1"/>
  <c r="G30" i="58"/>
  <c r="E31" i="58"/>
  <c r="G31" i="58" s="1"/>
  <c r="H31" i="57"/>
  <c r="I31" i="57"/>
  <c r="O5" i="57" s="1"/>
  <c r="G30" i="46"/>
  <c r="E31" i="46"/>
  <c r="G31" i="46" s="1"/>
  <c r="H30" i="46"/>
  <c r="AA28" i="77"/>
  <c r="I30" i="46"/>
  <c r="H29" i="58"/>
  <c r="H30" i="73"/>
  <c r="AE28" i="77"/>
  <c r="I30" i="73"/>
  <c r="N5" i="58"/>
  <c r="P5" i="58" s="1"/>
  <c r="Q5" i="58" s="1"/>
  <c r="O5" i="73"/>
  <c r="G29" i="35"/>
  <c r="Z27" i="77" s="1"/>
  <c r="E30" i="35"/>
  <c r="AD28" i="77"/>
  <c r="H30" i="58"/>
  <c r="I30" i="58"/>
  <c r="Z26" i="77"/>
  <c r="AH26" i="77" s="1"/>
  <c r="AI26" i="77" s="1"/>
  <c r="AJ26" i="77" s="1"/>
  <c r="AK26" i="77" s="1"/>
  <c r="H28" i="35"/>
  <c r="I28" i="35"/>
  <c r="AH27" i="77" l="1"/>
  <c r="AI27" i="77" s="1"/>
  <c r="AJ27" i="77" s="1"/>
  <c r="AK27" i="77" s="1"/>
  <c r="H31" i="58"/>
  <c r="I31" i="58"/>
  <c r="O5" i="58" s="1"/>
  <c r="H31" i="46"/>
  <c r="I31" i="46"/>
  <c r="O5" i="46" s="1"/>
  <c r="N5" i="46"/>
  <c r="P5" i="46" s="1"/>
  <c r="Q5" i="46" s="1"/>
  <c r="G30" i="35"/>
  <c r="E31" i="35"/>
  <c r="G31" i="35" s="1"/>
  <c r="H29" i="35"/>
  <c r="I29" i="35"/>
  <c r="Z28" i="77"/>
  <c r="AH28" i="77" s="1"/>
  <c r="AI28" i="77" s="1"/>
  <c r="AJ28" i="77" s="1"/>
  <c r="AK28" i="77" s="1"/>
  <c r="H30" i="35"/>
  <c r="I30" i="35"/>
  <c r="I31" i="35" l="1"/>
  <c r="O5" i="35" s="1"/>
  <c r="H31" i="35"/>
  <c r="AI29" i="77"/>
  <c r="AJ29" i="77" s="1"/>
  <c r="AK29" i="77" s="1"/>
  <c r="N5" i="35"/>
  <c r="P5" i="35" s="1"/>
  <c r="Q5" i="35" s="1"/>
</calcChain>
</file>

<file path=xl/sharedStrings.xml><?xml version="1.0" encoding="utf-8"?>
<sst xmlns="http://schemas.openxmlformats.org/spreadsheetml/2006/main" count="3796" uniqueCount="155">
  <si>
    <t>Kaina</t>
  </si>
  <si>
    <t>Kiekis</t>
  </si>
  <si>
    <t>Viso:</t>
  </si>
  <si>
    <t>Suma, EUR</t>
  </si>
  <si>
    <t>Suma, USD</t>
  </si>
  <si>
    <t>%</t>
  </si>
  <si>
    <t>2025.04</t>
  </si>
  <si>
    <t>2025.05</t>
  </si>
  <si>
    <t>Robo-Advisor Investment</t>
  </si>
  <si>
    <t>2025.04.10</t>
  </si>
  <si>
    <t>Pelnas</t>
  </si>
  <si>
    <t>Mokestis</t>
  </si>
  <si>
    <t>2024.02</t>
  </si>
  <si>
    <t>2024.02.22</t>
  </si>
  <si>
    <t>XDWT Xtrackers MSCI World Inform. (Acc)</t>
  </si>
  <si>
    <t>IS3K iShares Short Duration Yield Corp. (Dist)</t>
  </si>
  <si>
    <t>QDVY iShares Floating Rate Bond ETF (Dist)</t>
  </si>
  <si>
    <t>IBCD iShares Corporate Bond ETF (Dist)</t>
  </si>
  <si>
    <t>IS3Q iShares Edge MSCI World Quality (Acc)</t>
  </si>
  <si>
    <t>IUSU iShares USD Treasury Bond 1-3yr (Dist)</t>
  </si>
  <si>
    <t>EXI2 iShares Dow Jones Globas Titans (Dist)</t>
  </si>
  <si>
    <t>DBXJ Xtrackers MSCI Japan ETF (Acc)</t>
  </si>
  <si>
    <t>Investuota</t>
  </si>
  <si>
    <t>Gryni</t>
  </si>
  <si>
    <t>2024.03</t>
  </si>
  <si>
    <t>Dividendai</t>
  </si>
  <si>
    <t>2024.04</t>
  </si>
  <si>
    <t>2024.04.02</t>
  </si>
  <si>
    <t>2024.05</t>
  </si>
  <si>
    <t>2024.06</t>
  </si>
  <si>
    <t>2024.07</t>
  </si>
  <si>
    <t>2024.03.18</t>
  </si>
  <si>
    <t>2024.06.28</t>
  </si>
  <si>
    <t>2024.06.20</t>
  </si>
  <si>
    <t>2025.06.20</t>
  </si>
  <si>
    <t>2024.08</t>
  </si>
  <si>
    <t>2024.09</t>
  </si>
  <si>
    <t>2024.09.27</t>
  </si>
  <si>
    <t>2024.10</t>
  </si>
  <si>
    <t>2024.11</t>
  </si>
  <si>
    <t>2024.11.29</t>
  </si>
  <si>
    <t>2024.12</t>
  </si>
  <si>
    <t>2024.12.17</t>
  </si>
  <si>
    <t>2024.12.31</t>
  </si>
  <si>
    <t>2024.12.19</t>
  </si>
  <si>
    <t>2024.12.20</t>
  </si>
  <si>
    <t>2025.01</t>
  </si>
  <si>
    <t>2025.02</t>
  </si>
  <si>
    <t>2025.01.22</t>
  </si>
  <si>
    <t>2025.03</t>
  </si>
  <si>
    <t>2025.03.19</t>
  </si>
  <si>
    <t>2025.03.31</t>
  </si>
  <si>
    <t>2025.03.20</t>
  </si>
  <si>
    <t>2025.04.01</t>
  </si>
  <si>
    <t>2025.04.15</t>
  </si>
  <si>
    <t>2024.04.26</t>
  </si>
  <si>
    <t>2025.04.28</t>
  </si>
  <si>
    <t>XDWT</t>
  </si>
  <si>
    <t>2025.04.30</t>
  </si>
  <si>
    <t>2025.05.01</t>
  </si>
  <si>
    <t>2025.05.02</t>
  </si>
  <si>
    <t>2025.05.05</t>
  </si>
  <si>
    <t>IS3K</t>
  </si>
  <si>
    <t>2024.07.24</t>
  </si>
  <si>
    <t>QDVY</t>
  </si>
  <si>
    <t>IBCD</t>
  </si>
  <si>
    <t>IS3Q</t>
  </si>
  <si>
    <t>EXI2</t>
  </si>
  <si>
    <t>IUSU</t>
  </si>
  <si>
    <t>DBXJ</t>
  </si>
  <si>
    <t>Cash</t>
  </si>
  <si>
    <t>Inešta</t>
  </si>
  <si>
    <t>Viso</t>
  </si>
  <si>
    <t>Vertė</t>
  </si>
  <si>
    <t>2025.07.01</t>
  </si>
  <si>
    <t>2025.07.08</t>
  </si>
  <si>
    <t>2025.07.09</t>
  </si>
  <si>
    <t>2025.07.10</t>
  </si>
  <si>
    <t>2025.07.17</t>
  </si>
  <si>
    <t>2025.07.14</t>
  </si>
  <si>
    <t>2025.07.24</t>
  </si>
  <si>
    <t>2025.08.01</t>
  </si>
  <si>
    <t>2025.08.19</t>
  </si>
  <si>
    <t>2025.08.20</t>
  </si>
  <si>
    <t>2025.08.25</t>
  </si>
  <si>
    <t>2025.08.28</t>
  </si>
  <si>
    <t>2025.09.01</t>
  </si>
  <si>
    <t>2025.09.02</t>
  </si>
  <si>
    <t>2025.10.01</t>
  </si>
  <si>
    <t>2025.11.01</t>
  </si>
  <si>
    <t>Data</t>
  </si>
  <si>
    <t>Mėnesio gale</t>
  </si>
  <si>
    <t>Įnešta</t>
  </si>
  <si>
    <t>Mėnesio</t>
  </si>
  <si>
    <t>2026.01</t>
  </si>
  <si>
    <t>2025.12</t>
  </si>
  <si>
    <t>2025.11</t>
  </si>
  <si>
    <t>2025.10</t>
  </si>
  <si>
    <t>2025.09</t>
  </si>
  <si>
    <t>2025.08</t>
  </si>
  <si>
    <t>2025.07</t>
  </si>
  <si>
    <t>2025.06</t>
  </si>
  <si>
    <t>Pirkimas</t>
  </si>
  <si>
    <t>Pardavimas</t>
  </si>
  <si>
    <t>Invest.</t>
  </si>
  <si>
    <t>Suma,EUR</t>
  </si>
  <si>
    <t>2026.04</t>
  </si>
  <si>
    <t>Parduota</t>
  </si>
  <si>
    <t>Be dividendų</t>
  </si>
  <si>
    <t>Su dividendais</t>
  </si>
  <si>
    <t>XDWI Xtrackers MSCI World Industrials UCITS ETF (Acc)</t>
  </si>
  <si>
    <t>WELK Amundi S&amp;P Global Financials ESG Acc UCITS ETF</t>
  </si>
  <si>
    <t>XDWI</t>
  </si>
  <si>
    <t>WELK</t>
  </si>
  <si>
    <t>PRAR Amundi Prime Euro Govies UCITS ETF DR (Acc)</t>
  </si>
  <si>
    <t>PRAR</t>
  </si>
  <si>
    <t>QDV7 iShares J.P. Morgan Emerging Markets Local Government Bond ETF (Acc)</t>
  </si>
  <si>
    <t>QDV7</t>
  </si>
  <si>
    <t>AMEL Amundi MSCI Emerging Markets Latin America UCITS ETF EUR (Acc)</t>
  </si>
  <si>
    <t>AMEL</t>
  </si>
  <si>
    <t xml:space="preserve">79U0 Amundi S&amp;P 500 II EUR Hedged ETF (Acc) </t>
  </si>
  <si>
    <t>79U0</t>
  </si>
  <si>
    <t>PRAJ Amundi Prime Japan UCITS ETF DR (Acc)</t>
  </si>
  <si>
    <t>LEMA Amundi MSCI Emerging Markets ETF (Acc)</t>
  </si>
  <si>
    <t>PRAJ</t>
  </si>
  <si>
    <t>LEMA</t>
  </si>
  <si>
    <t>AEHY Amundi EUR High Yield Corporate Bond ETF (Acc)</t>
  </si>
  <si>
    <t>AEYH</t>
  </si>
  <si>
    <t>EMBH Amundi USD Emerging Markets Government Bond UCITS ETF EUR Hedged (Dist)</t>
  </si>
  <si>
    <t>EMBH</t>
  </si>
  <si>
    <t>EBUY Amundi MSCI Digital Economy and Metaverse ESG Screened UCITS ETF (Acc)</t>
  </si>
  <si>
    <t>LYMS Amundi Nasdaq-100 II UCITS ETF (Acc)</t>
  </si>
  <si>
    <t>UBUD UBS Solactive Global Pure Gold Miners UCITS ETF (Dist)</t>
  </si>
  <si>
    <t>UBUD</t>
  </si>
  <si>
    <t>LYMS</t>
  </si>
  <si>
    <t>EBUY</t>
  </si>
  <si>
    <t>TRDE Invesco US Treasury Bond 7-10 Year EUR-hedged Dist ETF</t>
  </si>
  <si>
    <t>PRAC Amundi EUR Corporate Bond UCITS ETF DR – EUR (Acc)</t>
  </si>
  <si>
    <t xml:space="preserve">2B72 iShares MSCI Europe Mid Cap ETF (Acc) </t>
  </si>
  <si>
    <t>PRAC</t>
  </si>
  <si>
    <t>TRDE</t>
  </si>
  <si>
    <t>LYP6 Amundi Stoxx Europe 600 UCITS ETF (Acc)</t>
  </si>
  <si>
    <t>LYP6</t>
  </si>
  <si>
    <t>2B72</t>
  </si>
  <si>
    <t>LYP5 Amundi S&amp;P 500 II ETF (Acc)</t>
  </si>
  <si>
    <t xml:space="preserve">LGQK Amundi MSCI Pacific Ex Japan UCITS ETF (Dist) </t>
  </si>
  <si>
    <t>LGQK</t>
  </si>
  <si>
    <t>LYP5</t>
  </si>
  <si>
    <t>2026.05</t>
  </si>
  <si>
    <t>LKOR Amundi MSCI Korea UCITS ETF (Acc)</t>
  </si>
  <si>
    <t>LYTR Amundi Bloomberg Equal-weight Commodity ex-Agriculture (Acc) ETF</t>
  </si>
  <si>
    <t>LKOR</t>
  </si>
  <si>
    <t>LYTR</t>
  </si>
  <si>
    <t>2026.06</t>
  </si>
  <si>
    <t>Uždaryta 2026-06-17 išmokėta 490.16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</si>
</sst>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00"/>
    <numFmt numFmtId="167" formatCode="yyyy\.mm\.dd;@"/>
  </numFmts>
  <fonts count="9" x14ac:knownFonts="1">
    <font>
      <sz val="11"/>
      <color theme="1"/>
      <name val="Calibri"/>
      <family val="2"/>
      <charset val="186"/>
      <scheme val="minor"/>
    </font>
    <font>
      <b/>
      <i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Narrow"/>
      <family val="2"/>
      <charset val="186"/>
    </font>
    <font>
      <u/>
      <sz val="11"/>
      <color theme="10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164" fontId="0" fillId="0" borderId="0" xfId="0" applyNumberFormat="1" applyAlignment="1">
      <alignment horizontal="center"/>
    </xf>
    <xf numFmtId="0" fontId="4" fillId="0" borderId="0" xfId="0" applyFont="1"/>
    <xf numFmtId="166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167" fontId="4" fillId="0" borderId="1" xfId="0" applyNumberFormat="1" applyFont="1" applyBorder="1" applyAlignment="1">
      <alignment horizontal="left"/>
    </xf>
    <xf numFmtId="167" fontId="3" fillId="0" borderId="1" xfId="0" applyNumberFormat="1" applyFont="1" applyBorder="1" applyAlignment="1">
      <alignment horizontal="left"/>
    </xf>
    <xf numFmtId="167" fontId="0" fillId="0" borderId="1" xfId="0" applyNumberFormat="1" applyBorder="1" applyAlignment="1">
      <alignment horizontal="left"/>
    </xf>
    <xf numFmtId="10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left"/>
    </xf>
    <xf numFmtId="167" fontId="3" fillId="0" borderId="1" xfId="0" applyNumberFormat="1" applyFont="1" applyBorder="1"/>
    <xf numFmtId="167" fontId="0" fillId="0" borderId="1" xfId="0" applyNumberFormat="1" applyBorder="1"/>
    <xf numFmtId="167" fontId="4" fillId="0" borderId="1" xfId="0" applyNumberFormat="1" applyFont="1" applyBorder="1"/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0" fillId="2" borderId="10" xfId="0" applyFill="1" applyBorder="1"/>
    <xf numFmtId="167" fontId="1" fillId="0" borderId="1" xfId="0" applyNumberFormat="1" applyFont="1" applyBorder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166" fontId="0" fillId="2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8" fillId="0" borderId="1" xfId="1" applyBorder="1" applyAlignment="1">
      <alignment horizontal="center"/>
    </xf>
    <xf numFmtId="0" fontId="8" fillId="3" borderId="1" xfId="1" applyFill="1" applyBorder="1" applyAlignment="1">
      <alignment horizontal="center"/>
    </xf>
    <xf numFmtId="0" fontId="4" fillId="3" borderId="0" xfId="0" applyFont="1" applyFill="1"/>
    <xf numFmtId="2" fontId="8" fillId="3" borderId="1" xfId="1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EC3583-4844-4C9B-B37B-4F08209EC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AC4FED-8F0C-491C-AF7F-44DCF06E3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A988D7-6A19-422A-8893-8BB868DA2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8BD06F-1DCF-4EB4-A739-CE07CFE21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A71A1E-3509-4521-9625-E73ADECB2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CBBB4D-CA74-48EC-9D50-40FFEE05C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D8B3D2-547F-4474-9961-869F9C33C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E062F0-5B3C-44D0-A4E3-920E4389F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4C39ED-AF4B-4C51-9FB6-CFF7FA744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5F24B6-032C-414D-9323-BADFB481F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9E078D-AF73-4859-AE65-6632CAA93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CB58A-4EAE-479C-A296-6006EC84F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E9A876-FF52-4DE1-8208-2E8692071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060883-0532-4DC1-B571-47F8C4EC0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0677-48F0-4EDD-AFD8-6EA43FAD5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40B8A2-0BF5-4D45-9DB9-F41366A5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6AE01B-4590-422B-9C13-04CDAC30D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631C80-B843-4967-A703-017143F7D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6FE0B-DBB0-498F-8265-8A87E7F6E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B42658-8882-4D2A-B614-8CAAAAAC9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07BAC7-D411-4A54-9C43-19F36D832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919B99-91AE-4FC6-88F4-F23C1AA8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AA6E8-3917-446B-9B2B-4F27768D2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D88647-ED2C-43F7-B99D-A19BC1E6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E06BBF-A54C-4A0F-AE71-6EC9882BE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06946C-A53E-4C90-A98A-79F3499A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941846-1BD7-439C-B79D-6EDEEA19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19BF31-CA0D-4FFD-8163-0CAD0D7A2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21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C4A094-BEEF-476B-BE49-D172A708A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00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6AEB62-9E56-4DEE-B5AB-41296AA4B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39227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82C001-7BCE-4923-8412-4120BBA1F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39227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22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0380AB-1142-4730-9F4B-41B857BB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39227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151251-E1B9-4AB1-8094-4A70E0FC1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6ADD2D-D4C0-4C89-8D67-B7B895461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3C549C-A9D6-4A45-8F50-4A2391961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5603A1-9033-4423-84DE-AAE51B69F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EAD977-76E4-4711-8F6D-FD1B00ADA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56029A-56D2-4D1E-8E09-A7531EFFE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6D9FBA-8099-4C5A-8943-4CB0A96F7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074DE-E96F-4D20-A3D6-FBD8B86D5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032EE2-D7A3-41A4-AB8D-9BB7B8B84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564B40-B958-4112-988D-1DADB5C24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297CF-222B-4DC3-AE8B-9FBE24C71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867865-6243-47E7-9E42-20F606371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15CC8D-FDBB-44A8-BB09-FF3C536BA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B89D80-2340-406D-8450-581A57038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A16783-9E65-4EBF-AC73-F06F74EA1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3C3C92-9E72-4ECD-AF9F-3C7F8DDDC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56F369-E463-42E9-8FBF-97C25920A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537EB5-4544-4396-A548-7501FC200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6A04E6-538D-44EE-B8E9-8F8A12D35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60AB60-4580-4FF3-AC62-C0F7144C1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25F6AF-FE5F-4385-8FA6-1B3F57519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5DAFD8-EC65-4D19-8AAB-8294EE80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76EFEB-7FB2-4878-8700-6B12BF62C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E8E831-CE22-4F1C-A512-1E02D1B23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8A191-3759-432B-9E84-B9171D38C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8</xdr:col>
      <xdr:colOff>304800</xdr:colOff>
      <xdr:row>6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49AA04-2B17-4518-AE5E-5ED549B66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29475" y="3810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4"/>
  <sheetViews>
    <sheetView tabSelected="1" workbookViewId="0">
      <pane xSplit="1" topLeftCell="Q1" activePane="topRight" state="frozen"/>
      <selection pane="topRight" activeCell="F34" sqref="F34"/>
    </sheetView>
  </sheetViews>
  <sheetFormatPr defaultRowHeight="15" x14ac:dyDescent="0.25"/>
  <cols>
    <col min="1" max="1" width="15.7109375" customWidth="1"/>
    <col min="2" max="39" width="10.7109375" customWidth="1"/>
  </cols>
  <sheetData>
    <row r="1" spans="1:39" x14ac:dyDescent="0.25">
      <c r="A1" s="70" t="s">
        <v>90</v>
      </c>
      <c r="B1" s="71" t="s">
        <v>2</v>
      </c>
      <c r="C1" s="72"/>
      <c r="D1" s="59" t="s">
        <v>91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1"/>
      <c r="AL1" s="68" t="s">
        <v>25</v>
      </c>
      <c r="AM1" s="68" t="s">
        <v>11</v>
      </c>
    </row>
    <row r="2" spans="1:39" x14ac:dyDescent="0.25">
      <c r="A2" s="70"/>
      <c r="B2" s="3" t="s">
        <v>71</v>
      </c>
      <c r="C2" s="3" t="s">
        <v>22</v>
      </c>
      <c r="D2" s="3" t="s">
        <v>23</v>
      </c>
      <c r="E2" s="62" t="s">
        <v>112</v>
      </c>
      <c r="F2" s="62" t="s">
        <v>113</v>
      </c>
      <c r="G2" s="62" t="s">
        <v>115</v>
      </c>
      <c r="H2" s="62" t="s">
        <v>151</v>
      </c>
      <c r="I2" s="62" t="s">
        <v>117</v>
      </c>
      <c r="J2" s="62" t="s">
        <v>119</v>
      </c>
      <c r="K2" s="62" t="s">
        <v>121</v>
      </c>
      <c r="L2" s="62" t="s">
        <v>152</v>
      </c>
      <c r="M2" s="62" t="s">
        <v>124</v>
      </c>
      <c r="N2" s="62" t="s">
        <v>125</v>
      </c>
      <c r="O2" s="62" t="s">
        <v>127</v>
      </c>
      <c r="P2" s="62" t="s">
        <v>129</v>
      </c>
      <c r="Q2" s="62" t="s">
        <v>134</v>
      </c>
      <c r="R2" s="62" t="s">
        <v>135</v>
      </c>
      <c r="S2" s="62" t="s">
        <v>140</v>
      </c>
      <c r="T2" s="62" t="s">
        <v>139</v>
      </c>
      <c r="U2" s="62" t="s">
        <v>142</v>
      </c>
      <c r="V2" s="63" t="s">
        <v>133</v>
      </c>
      <c r="W2" s="63" t="s">
        <v>143</v>
      </c>
      <c r="X2" s="63" t="s">
        <v>147</v>
      </c>
      <c r="Y2" s="63" t="s">
        <v>146</v>
      </c>
      <c r="Z2" s="63" t="s">
        <v>57</v>
      </c>
      <c r="AA2" s="63" t="s">
        <v>62</v>
      </c>
      <c r="AB2" s="63" t="s">
        <v>64</v>
      </c>
      <c r="AC2" s="65" t="s">
        <v>65</v>
      </c>
      <c r="AD2" s="63" t="s">
        <v>66</v>
      </c>
      <c r="AE2" s="63" t="s">
        <v>68</v>
      </c>
      <c r="AF2" s="63" t="s">
        <v>67</v>
      </c>
      <c r="AG2" s="63" t="s">
        <v>69</v>
      </c>
      <c r="AH2" s="3" t="s">
        <v>72</v>
      </c>
      <c r="AI2" s="3" t="s">
        <v>73</v>
      </c>
      <c r="AJ2" s="3" t="s">
        <v>10</v>
      </c>
      <c r="AK2" s="3" t="s">
        <v>5</v>
      </c>
      <c r="AL2" s="69"/>
      <c r="AM2" s="69"/>
    </row>
    <row r="3" spans="1:39" x14ac:dyDescent="0.25">
      <c r="A3" s="62" t="str">
        <f>'2024.02'!A1</f>
        <v>2024.02</v>
      </c>
      <c r="B3" s="5">
        <f>'2024.02'!B9</f>
        <v>100</v>
      </c>
      <c r="C3" s="5">
        <f>'2024.02'!C9</f>
        <v>98</v>
      </c>
      <c r="D3" s="5">
        <f>Cash!B2</f>
        <v>2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f>XDWT!G5</f>
        <v>9.9699820781999993</v>
      </c>
      <c r="AA3" s="5">
        <f>IS3K!G5</f>
        <v>15.08949138</v>
      </c>
      <c r="AB3" s="5">
        <f>QDVY!G5</f>
        <v>12.117869150799999</v>
      </c>
      <c r="AC3" s="5">
        <f>IBCD!G5</f>
        <v>10.979773141399999</v>
      </c>
      <c r="AD3" s="5">
        <f>IS3Q!G5</f>
        <v>19.938858517000003</v>
      </c>
      <c r="AE3" s="5">
        <f>IUSU!G5</f>
        <v>10.030405462700001</v>
      </c>
      <c r="AF3" s="5">
        <f>'EXI2'!G5</f>
        <v>14.8904660475</v>
      </c>
      <c r="AG3" s="5">
        <f>DBXJ!G5</f>
        <v>5.0200897977999999</v>
      </c>
      <c r="AH3" s="5">
        <f t="shared" ref="AH3:AH18" si="0">SUM(Z3:AG3)</f>
        <v>98.036935575399994</v>
      </c>
      <c r="AI3" s="5">
        <f t="shared" ref="AI3:AI30" si="1">AH3+D3</f>
        <v>100.03693557539999</v>
      </c>
      <c r="AJ3" s="5">
        <f t="shared" ref="AJ3:AJ30" si="2">AI3-B3</f>
        <v>3.6935575399994036E-2</v>
      </c>
      <c r="AK3" s="20">
        <f t="shared" ref="AK3:AK30" si="3">AJ3/B3</f>
        <v>3.6935575399994037E-4</v>
      </c>
      <c r="AL3" s="5">
        <f>'2024.02'!E9</f>
        <v>0</v>
      </c>
      <c r="AM3" s="5">
        <f>'2024.02'!F9</f>
        <v>0</v>
      </c>
    </row>
    <row r="4" spans="1:39" x14ac:dyDescent="0.25">
      <c r="A4" s="62" t="str">
        <f>'2024.03'!A1</f>
        <v>2024.03</v>
      </c>
      <c r="B4" s="5">
        <f>B3+'2024.03'!B9</f>
        <v>100</v>
      </c>
      <c r="C4" s="5">
        <f>C3+'2024.03'!$C$9-'2024.03'!$C$9+'2024.03'!$C$9</f>
        <v>98</v>
      </c>
      <c r="D4" s="5">
        <f>Cash!B3</f>
        <v>1.95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f>XDWT!G6</f>
        <v>10.200572877600001</v>
      </c>
      <c r="AA4" s="5">
        <f>IS3K!G6</f>
        <v>15.08949138</v>
      </c>
      <c r="AB4" s="5">
        <f>QDVY!G6</f>
        <v>12.194242275700001</v>
      </c>
      <c r="AC4" s="5">
        <f>IBCD!G6</f>
        <v>11.0800876522</v>
      </c>
      <c r="AD4" s="5">
        <f>IS3Q!G6</f>
        <v>20.570651989600002</v>
      </c>
      <c r="AE4" s="5">
        <f>IUSU!G6</f>
        <v>9.8699730156999994</v>
      </c>
      <c r="AF4" s="5">
        <f>'EXI2'!G6</f>
        <v>15.389451832500002</v>
      </c>
      <c r="AG4" s="5">
        <f>DBXJ!G6</f>
        <v>5.1897103477999993</v>
      </c>
      <c r="AH4" s="5">
        <f t="shared" si="0"/>
        <v>99.584181371100001</v>
      </c>
      <c r="AI4" s="5">
        <f t="shared" si="1"/>
        <v>101.5341813711</v>
      </c>
      <c r="AJ4" s="5">
        <f t="shared" si="2"/>
        <v>1.5341813711000043</v>
      </c>
      <c r="AK4" s="20">
        <f t="shared" si="3"/>
        <v>1.5341813711000043E-2</v>
      </c>
      <c r="AL4" s="5">
        <f>'2024.03'!E9</f>
        <v>0.01</v>
      </c>
      <c r="AM4" s="5">
        <f>'2024.03'!F9</f>
        <v>0.06</v>
      </c>
    </row>
    <row r="5" spans="1:39" x14ac:dyDescent="0.25">
      <c r="A5" s="62" t="str">
        <f>'2024.04'!A1</f>
        <v>2024.04</v>
      </c>
      <c r="B5" s="5">
        <f>B4+'2024.04'!B9</f>
        <v>100</v>
      </c>
      <c r="C5" s="5">
        <f>C4+'2024.04'!C9</f>
        <v>98</v>
      </c>
      <c r="D5" s="5">
        <f>Cash!B4</f>
        <v>2.23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f>XDWT!G7</f>
        <v>9.7898756550000012</v>
      </c>
      <c r="AA5" s="5">
        <f>IS3K!G7</f>
        <v>15.340421120000002</v>
      </c>
      <c r="AB5" s="5">
        <f>QDVY!G7</f>
        <v>12.168784567399999</v>
      </c>
      <c r="AC5" s="5">
        <f>IBCD!G7</f>
        <v>10.789642150000001</v>
      </c>
      <c r="AD5" s="5">
        <f>IS3Q!G7</f>
        <v>20.010190038099999</v>
      </c>
      <c r="AE5" s="5">
        <f>IUSU!G7</f>
        <v>9.9299240879999999</v>
      </c>
      <c r="AF5" s="5">
        <f>'EXI2'!G7</f>
        <v>15.129816952500002</v>
      </c>
      <c r="AG5" s="5">
        <f>DBXJ!G7</f>
        <v>4.9698821149999999</v>
      </c>
      <c r="AH5" s="5">
        <f t="shared" si="0"/>
        <v>98.128536686000018</v>
      </c>
      <c r="AI5" s="5">
        <f t="shared" si="1"/>
        <v>100.35853668600002</v>
      </c>
      <c r="AJ5" s="5">
        <f t="shared" si="2"/>
        <v>0.35853668600002209</v>
      </c>
      <c r="AK5" s="20">
        <f t="shared" si="3"/>
        <v>3.5853668600002208E-3</v>
      </c>
      <c r="AL5" s="5">
        <f>'2024.04'!E9</f>
        <v>0.33</v>
      </c>
      <c r="AM5" s="5">
        <f>'2024.04'!F9</f>
        <v>0.05</v>
      </c>
    </row>
    <row r="6" spans="1:39" x14ac:dyDescent="0.25">
      <c r="A6" s="62" t="str">
        <f>'2024.05'!A1</f>
        <v>2024.05</v>
      </c>
      <c r="B6" s="5">
        <f>B5+'2024.05'!B9</f>
        <v>100</v>
      </c>
      <c r="C6" s="5">
        <f>C5+'2024.05'!C9</f>
        <v>98</v>
      </c>
      <c r="D6" s="5">
        <f>Cash!B5</f>
        <v>2.19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f>XDWT!G8</f>
        <v>10.230590614800001</v>
      </c>
      <c r="AA6" s="5">
        <f>IS3K!G8</f>
        <v>15.20933842</v>
      </c>
      <c r="AB6" s="5">
        <f>QDVY!G8</f>
        <v>11.710545817999998</v>
      </c>
      <c r="AC6" s="5">
        <f>IBCD!G8</f>
        <v>10.9097862734</v>
      </c>
      <c r="AD6" s="5">
        <f>IS3Q!G8</f>
        <v>20.591032424200002</v>
      </c>
      <c r="AE6" s="5">
        <f>IUSU!G8</f>
        <v>9.8497078645000009</v>
      </c>
      <c r="AF6" s="5">
        <f>'EXI2'!G8</f>
        <v>15.4705877325</v>
      </c>
      <c r="AG6" s="5">
        <f>DBXJ!G8</f>
        <v>4.9800593480000002</v>
      </c>
      <c r="AH6" s="5">
        <f t="shared" si="0"/>
        <v>98.951648495400008</v>
      </c>
      <c r="AI6" s="5">
        <f t="shared" si="1"/>
        <v>101.14164849540001</v>
      </c>
      <c r="AJ6" s="5">
        <f t="shared" si="2"/>
        <v>1.1416484954000055</v>
      </c>
      <c r="AK6" s="20">
        <f t="shared" si="3"/>
        <v>1.1416484954000055E-2</v>
      </c>
      <c r="AL6" s="5">
        <f>'2024.05'!E9</f>
        <v>0</v>
      </c>
      <c r="AM6" s="5">
        <f>'2024.05'!F9</f>
        <v>0.04</v>
      </c>
    </row>
    <row r="7" spans="1:39" x14ac:dyDescent="0.25">
      <c r="A7" s="62" t="str">
        <f>'2024.06'!A1</f>
        <v>2024.06</v>
      </c>
      <c r="B7" s="5">
        <f>B6+'2024.06'!B9</f>
        <v>100</v>
      </c>
      <c r="C7" s="5">
        <f>C6+'2024.06'!C9</f>
        <v>98</v>
      </c>
      <c r="D7" s="5">
        <f>Cash!B6</f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f>XDWT!G9</f>
        <v>11.4995222328</v>
      </c>
      <c r="AA7" s="5">
        <f>IS3K!G9</f>
        <v>15.059529620000001</v>
      </c>
      <c r="AB7" s="5">
        <f>QDVY!G9</f>
        <v>11.888749776099999</v>
      </c>
      <c r="AC7" s="5">
        <f>IBCD!G9</f>
        <v>11.029930396800001</v>
      </c>
      <c r="AD7" s="5">
        <f>IS3Q!G9</f>
        <v>21.480978068400002</v>
      </c>
      <c r="AE7" s="5">
        <f>IUSU!G9</f>
        <v>10.049826232599999</v>
      </c>
      <c r="AF7" s="5">
        <f>'EXI2'!G9</f>
        <v>16.81947207</v>
      </c>
      <c r="AG7" s="5">
        <f>DBXJ!G9</f>
        <v>5.0397657815999999</v>
      </c>
      <c r="AH7" s="5">
        <f t="shared" si="0"/>
        <v>102.86777417830001</v>
      </c>
      <c r="AI7" s="5">
        <f t="shared" si="1"/>
        <v>105.86777417830001</v>
      </c>
      <c r="AJ7" s="5">
        <f t="shared" si="2"/>
        <v>5.8677741783000101</v>
      </c>
      <c r="AK7" s="20">
        <f t="shared" si="3"/>
        <v>5.8677741783000101E-2</v>
      </c>
      <c r="AL7" s="5">
        <f>'2024.06'!E9</f>
        <v>0.86</v>
      </c>
      <c r="AM7" s="5">
        <f>'2024.06'!F9</f>
        <v>0.05</v>
      </c>
    </row>
    <row r="8" spans="1:39" x14ac:dyDescent="0.25">
      <c r="A8" s="62" t="str">
        <f>'2024.07'!A1</f>
        <v>2024.07</v>
      </c>
      <c r="B8" s="5">
        <f>B7+'2024.07'!B9</f>
        <v>100</v>
      </c>
      <c r="C8" s="5">
        <f>C7+'2024.07'!C9</f>
        <v>98.93</v>
      </c>
      <c r="D8" s="5">
        <f>Cash!B7</f>
        <v>2.15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f>XDWT!G10</f>
        <v>11.0806383546</v>
      </c>
      <c r="AA8" s="5">
        <f>IS3K!G10</f>
        <v>15.079410867600002</v>
      </c>
      <c r="AB8" s="5">
        <f>QDVY!G10</f>
        <v>12.8397826667</v>
      </c>
      <c r="AC8" s="5">
        <f>IBCD!G10</f>
        <v>11.1302449076</v>
      </c>
      <c r="AD8" s="5">
        <f>IS3Q!G10</f>
        <v>21.3790758954</v>
      </c>
      <c r="AE8" s="5">
        <f>IUSU!G10</f>
        <v>10.039693657000001</v>
      </c>
      <c r="AF8" s="5">
        <f>'EXI2'!G10</f>
        <v>16.51926924</v>
      </c>
      <c r="AG8" s="5">
        <f>DBXJ!G10</f>
        <v>5.1998875808000005</v>
      </c>
      <c r="AH8" s="5">
        <f t="shared" si="0"/>
        <v>103.26800316969999</v>
      </c>
      <c r="AI8" s="5">
        <f t="shared" si="1"/>
        <v>105.4180031697</v>
      </c>
      <c r="AJ8" s="5">
        <f t="shared" si="2"/>
        <v>5.4180031697000004</v>
      </c>
      <c r="AK8" s="20">
        <f t="shared" si="3"/>
        <v>5.4180031697000003E-2</v>
      </c>
      <c r="AL8" s="5">
        <f>'2024.07'!E9</f>
        <v>0.13</v>
      </c>
      <c r="AM8" s="5">
        <f>'2024.07'!F9</f>
        <v>0.05</v>
      </c>
    </row>
    <row r="9" spans="1:39" x14ac:dyDescent="0.25">
      <c r="A9" s="62" t="str">
        <f>'2024.08'!A1</f>
        <v>2024.08</v>
      </c>
      <c r="B9" s="5">
        <f>B8+'2024.08'!B9</f>
        <v>100</v>
      </c>
      <c r="C9" s="5">
        <f>C8+'2024.08'!C9</f>
        <v>98.93</v>
      </c>
      <c r="D9" s="5">
        <f>Cash!B8</f>
        <v>2.1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f>XDWT!G11</f>
        <v>10.949651865000002</v>
      </c>
      <c r="AA9" s="5">
        <f>IS3K!G11</f>
        <v>14.939541676800003</v>
      </c>
      <c r="AB9" s="5">
        <f>QDVY!G11</f>
        <v>12.405455980299999</v>
      </c>
      <c r="AC9" s="5">
        <f>IBCD!G11</f>
        <v>11.060258039599999</v>
      </c>
      <c r="AD9" s="5">
        <f>IS3Q!G11</f>
        <v>21.599863936900004</v>
      </c>
      <c r="AE9" s="5">
        <f>IUSU!G11</f>
        <v>9.9197915123999998</v>
      </c>
      <c r="AF9" s="5">
        <f>'EXI2'!G11</f>
        <v>16.340770260000003</v>
      </c>
      <c r="AG9" s="5">
        <f>DBXJ!G11</f>
        <v>5.1598571309999999</v>
      </c>
      <c r="AH9" s="5">
        <f t="shared" si="0"/>
        <v>102.375190402</v>
      </c>
      <c r="AI9" s="5">
        <f t="shared" si="1"/>
        <v>104.475190402</v>
      </c>
      <c r="AJ9" s="5">
        <f t="shared" si="2"/>
        <v>4.4751904019999955</v>
      </c>
      <c r="AK9" s="20">
        <f t="shared" si="3"/>
        <v>4.4751904019999955E-2</v>
      </c>
      <c r="AL9" s="5">
        <f>'2024.08'!E9</f>
        <v>0</v>
      </c>
      <c r="AM9" s="5">
        <f>'2024.08'!F9</f>
        <v>0.05</v>
      </c>
    </row>
    <row r="10" spans="1:39" x14ac:dyDescent="0.25">
      <c r="A10" s="62" t="str">
        <f>'2024.09'!A1</f>
        <v>2024.09</v>
      </c>
      <c r="B10" s="5">
        <f>B9+'2024.09'!B9</f>
        <v>100</v>
      </c>
      <c r="C10" s="5">
        <f>C9+'2024.09'!C9</f>
        <v>98.93</v>
      </c>
      <c r="D10" s="5">
        <f>Cash!B9</f>
        <v>2.39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f>XDWT!G12</f>
        <v>11.0806383546</v>
      </c>
      <c r="AA10" s="5">
        <f>IS3K!G12</f>
        <v>15.009476272200001</v>
      </c>
      <c r="AB10" s="5">
        <f>QDVY!G12</f>
        <v>12.378310562399998</v>
      </c>
      <c r="AC10" s="5">
        <f>IBCD!G12</f>
        <v>11.0194323666</v>
      </c>
      <c r="AD10" s="5">
        <f>IS3Q!G12</f>
        <v>21.599863936900004</v>
      </c>
      <c r="AE10" s="5">
        <f>IUSU!G12</f>
        <v>9.7399382955</v>
      </c>
      <c r="AF10" s="5">
        <f>'EXI2'!G12</f>
        <v>16.440161737500002</v>
      </c>
      <c r="AG10" s="5">
        <f>DBXJ!G12</f>
        <v>5.0797962314000005</v>
      </c>
      <c r="AH10" s="5">
        <f t="shared" si="0"/>
        <v>102.3476177571</v>
      </c>
      <c r="AI10" s="5">
        <f t="shared" si="1"/>
        <v>104.7376177571</v>
      </c>
      <c r="AJ10" s="5">
        <f t="shared" si="2"/>
        <v>4.7376177570999971</v>
      </c>
      <c r="AK10" s="20">
        <f t="shared" si="3"/>
        <v>4.7376177570999968E-2</v>
      </c>
      <c r="AL10" s="5">
        <f>'2024.09'!E9</f>
        <v>0.33999999999999997</v>
      </c>
      <c r="AM10" s="5">
        <f>'2024.09'!F9</f>
        <v>0.05</v>
      </c>
    </row>
    <row r="11" spans="1:39" x14ac:dyDescent="0.25">
      <c r="A11" s="62" t="str">
        <f>'2024.10'!A1</f>
        <v>2024.10</v>
      </c>
      <c r="B11" s="5">
        <f>B10+'2024.10'!B9</f>
        <v>100</v>
      </c>
      <c r="C11" s="5">
        <f>C10+'2024.10'!C9</f>
        <v>98.93</v>
      </c>
      <c r="D11" s="5">
        <f>Cash!B10</f>
        <v>2.3400000000000003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f>XDWT!G13</f>
        <v>11.330331350400002</v>
      </c>
      <c r="AA11" s="5">
        <f>IS3K!G13</f>
        <v>15.510359185200002</v>
      </c>
      <c r="AB11" s="5">
        <f>QDVY!G13</f>
        <v>12.8397826667</v>
      </c>
      <c r="AC11" s="5">
        <f>IBCD!G13</f>
        <v>11.0497600094</v>
      </c>
      <c r="AD11" s="5">
        <f>IS3Q!G13</f>
        <v>21.698369370800002</v>
      </c>
      <c r="AE11" s="5">
        <f>IUSU!G13</f>
        <v>9.9197915123999998</v>
      </c>
      <c r="AF11" s="5">
        <f>'EXI2'!G13</f>
        <v>16.809330082500001</v>
      </c>
      <c r="AG11" s="5">
        <f>DBXJ!G13</f>
        <v>4.9502061311999999</v>
      </c>
      <c r="AH11" s="5">
        <f t="shared" si="0"/>
        <v>104.10793030860002</v>
      </c>
      <c r="AI11" s="5">
        <f t="shared" si="1"/>
        <v>106.44793030860002</v>
      </c>
      <c r="AJ11" s="5">
        <f t="shared" si="2"/>
        <v>6.4479303086000215</v>
      </c>
      <c r="AK11" s="20">
        <f t="shared" si="3"/>
        <v>6.4479303086000209E-2</v>
      </c>
      <c r="AL11" s="5">
        <f>'2024.10'!E9</f>
        <v>0</v>
      </c>
      <c r="AM11" s="5">
        <f>'2024.10'!F9</f>
        <v>0.05</v>
      </c>
    </row>
    <row r="12" spans="1:39" x14ac:dyDescent="0.25">
      <c r="A12" s="62" t="str">
        <f>'2024.11'!A1</f>
        <v>2024.11</v>
      </c>
      <c r="B12" s="5">
        <f>B11+'2024.11'!B9</f>
        <v>100</v>
      </c>
      <c r="C12" s="5">
        <f>C11+'2024.11'!C9</f>
        <v>98.93</v>
      </c>
      <c r="D12" s="5">
        <f>Cash!B11</f>
        <v>2.6700000000000004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f>XDWT!G14</f>
        <v>12.229499023800001</v>
      </c>
      <c r="AA12" s="5">
        <f>IS3K!G14</f>
        <v>15.9696593658</v>
      </c>
      <c r="AB12" s="5">
        <f>QDVY!G14</f>
        <v>12.8669280846</v>
      </c>
      <c r="AC12" s="5">
        <f>IBCD!G14</f>
        <v>11.530336502999999</v>
      </c>
      <c r="AD12" s="5">
        <f>IS3Q!G14</f>
        <v>23.0400813153</v>
      </c>
      <c r="AE12" s="5">
        <f>IUSU!G14</f>
        <v>10.210258679600001</v>
      </c>
      <c r="AF12" s="5">
        <f>'EXI2'!G14</f>
        <v>17.839756012500001</v>
      </c>
      <c r="AG12" s="5">
        <f>DBXJ!G14</f>
        <v>5.2100648138000007</v>
      </c>
      <c r="AH12" s="5">
        <f t="shared" si="0"/>
        <v>108.89658379840002</v>
      </c>
      <c r="AI12" s="5">
        <f t="shared" si="1"/>
        <v>111.56658379840002</v>
      </c>
      <c r="AJ12" s="5">
        <f t="shared" si="2"/>
        <v>11.566583798400018</v>
      </c>
      <c r="AK12" s="20">
        <f t="shared" si="3"/>
        <v>0.11566583798400018</v>
      </c>
      <c r="AL12" s="5">
        <f>'2024.11'!E9</f>
        <v>0.39</v>
      </c>
      <c r="AM12" s="5">
        <f>'2024.11'!F9</f>
        <v>0.06</v>
      </c>
    </row>
    <row r="13" spans="1:39" x14ac:dyDescent="0.25">
      <c r="A13" s="62" t="str">
        <f>'2024.12'!A1</f>
        <v>2024.12</v>
      </c>
      <c r="B13" s="5">
        <f>B12+'2024.12'!B9</f>
        <v>110</v>
      </c>
      <c r="C13" s="5">
        <f>C12+'2024.12'!C9</f>
        <v>109.09</v>
      </c>
      <c r="D13" s="5">
        <f>Cash!B12</f>
        <v>2.6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f>XDWT!G15</f>
        <v>12.670213983600002</v>
      </c>
      <c r="AA13" s="5">
        <f>IS3K!G15</f>
        <v>18.2008022427</v>
      </c>
      <c r="AB13" s="5">
        <f>QDVY!G15</f>
        <v>14.535281201699998</v>
      </c>
      <c r="AC13" s="5">
        <f>IBCD!G15</f>
        <v>13.2897389856</v>
      </c>
      <c r="AD13" s="5">
        <f>IS3Q!G15</f>
        <v>24.040546913600004</v>
      </c>
      <c r="AE13" s="5">
        <f>IUSU!G15</f>
        <v>12.069911193999999</v>
      </c>
      <c r="AF13" s="5">
        <f>'EXI2'!G15</f>
        <v>18.600405075000001</v>
      </c>
      <c r="AG13" s="5">
        <f>DBXJ!G15</f>
        <v>6.2196481854000005</v>
      </c>
      <c r="AH13" s="5">
        <f t="shared" si="0"/>
        <v>119.62654778160001</v>
      </c>
      <c r="AI13" s="5">
        <f t="shared" si="1"/>
        <v>122.2265477816</v>
      </c>
      <c r="AJ13" s="5">
        <f t="shared" si="2"/>
        <v>12.226547781600004</v>
      </c>
      <c r="AK13" s="20">
        <f t="shared" si="3"/>
        <v>0.11115043437818185</v>
      </c>
      <c r="AL13" s="5">
        <f>'2024.12'!E9</f>
        <v>0.15000000000000002</v>
      </c>
      <c r="AM13" s="5">
        <f>'2024.12'!F9</f>
        <v>0.06</v>
      </c>
    </row>
    <row r="14" spans="1:39" x14ac:dyDescent="0.25">
      <c r="A14" s="62" t="str">
        <f>'2025.01'!A1</f>
        <v>2025.01</v>
      </c>
      <c r="B14" s="5">
        <f>B13+'2025.01'!B9</f>
        <v>110</v>
      </c>
      <c r="C14" s="5">
        <f>C13+'2025.01'!C9</f>
        <v>109.09</v>
      </c>
      <c r="D14" s="5">
        <f>Cash!B13</f>
        <v>3.04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f>XDWT!G16</f>
        <v>12.420520987800002</v>
      </c>
      <c r="AA14" s="5">
        <f>IS3K!G16</f>
        <v>18.6903912525</v>
      </c>
      <c r="AB14" s="5">
        <f>QDVY!G16</f>
        <v>14.715843701099997</v>
      </c>
      <c r="AC14" s="5">
        <f>IBCD!G16</f>
        <v>13.5406718832</v>
      </c>
      <c r="AD14" s="5">
        <f>IS3Q!G16</f>
        <v>24.679999596000005</v>
      </c>
      <c r="AE14" s="5">
        <f>IUSU!G16</f>
        <v>12.270008537600001</v>
      </c>
      <c r="AF14" s="5">
        <f>'EXI2'!G16</f>
        <v>18.96957342</v>
      </c>
      <c r="AG14" s="5">
        <f>DBXJ!G16</f>
        <v>6.3499831271999998</v>
      </c>
      <c r="AH14" s="5">
        <f t="shared" si="0"/>
        <v>121.63699250540002</v>
      </c>
      <c r="AI14" s="5">
        <f t="shared" si="1"/>
        <v>124.67699250540002</v>
      </c>
      <c r="AJ14" s="5">
        <f t="shared" si="2"/>
        <v>14.676992505400023</v>
      </c>
      <c r="AK14" s="20">
        <f t="shared" si="3"/>
        <v>0.13342720459454566</v>
      </c>
      <c r="AL14" s="5">
        <f>'2025.01'!E9</f>
        <v>0.5</v>
      </c>
      <c r="AM14" s="5">
        <f>'2025.01'!F9</f>
        <v>0.06</v>
      </c>
    </row>
    <row r="15" spans="1:39" x14ac:dyDescent="0.25">
      <c r="A15" s="62" t="str">
        <f>'2025.02'!A1</f>
        <v>2025.02</v>
      </c>
      <c r="B15" s="5">
        <f>B14+'2025.02'!B9</f>
        <v>110</v>
      </c>
      <c r="C15" s="5">
        <f>C14+'2025.02'!C9</f>
        <v>109.09</v>
      </c>
      <c r="D15" s="5">
        <f>Cash!B14</f>
        <v>2.97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f>XDWT!G17</f>
        <v>11.929321651800002</v>
      </c>
      <c r="AA15" s="5">
        <f>IS3K!G17</f>
        <v>18.549248474900001</v>
      </c>
      <c r="AB15" s="5">
        <f>QDVY!G17</f>
        <v>14.685749951199996</v>
      </c>
      <c r="AC15" s="5">
        <f>IBCD!G17</f>
        <v>13.769422867199999</v>
      </c>
      <c r="AD15" s="5">
        <f>IS3Q!G17</f>
        <v>24.421344578400003</v>
      </c>
      <c r="AE15" s="5">
        <f>IUSU!G17</f>
        <v>12.3399933228</v>
      </c>
      <c r="AF15" s="5">
        <f>'EXI2'!G17</f>
        <v>18.259634295000001</v>
      </c>
      <c r="AG15" s="5">
        <f>DBXJ!G17</f>
        <v>6.3297447822000006</v>
      </c>
      <c r="AH15" s="5">
        <f t="shared" si="0"/>
        <v>120.28445992349999</v>
      </c>
      <c r="AI15" s="5">
        <f t="shared" si="1"/>
        <v>123.25445992349999</v>
      </c>
      <c r="AJ15" s="5">
        <f t="shared" si="2"/>
        <v>13.254459923499994</v>
      </c>
      <c r="AK15" s="20">
        <f t="shared" si="3"/>
        <v>0.1204950902136363</v>
      </c>
      <c r="AL15" s="5">
        <f>'2025.02'!E9</f>
        <v>0</v>
      </c>
      <c r="AM15" s="5">
        <f>'2025.02'!F9</f>
        <v>7.0000000000000007E-2</v>
      </c>
    </row>
    <row r="16" spans="1:39" x14ac:dyDescent="0.25">
      <c r="A16" s="62" t="str">
        <f>'2025.03'!A1</f>
        <v>2025.03</v>
      </c>
      <c r="B16" s="5">
        <f>B15+'2025.03'!B9</f>
        <v>120</v>
      </c>
      <c r="C16" s="5">
        <f>C15+'2025.03'!C9</f>
        <v>119.42</v>
      </c>
      <c r="D16" s="5">
        <f>Cash!B15</f>
        <v>3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f>XDWT!G18</f>
        <v>12.199969400000001</v>
      </c>
      <c r="AA16" s="5">
        <f>IS3K!G18</f>
        <v>18.869626085900002</v>
      </c>
      <c r="AB16" s="5">
        <f>QDVY!G18</f>
        <v>15.216157961599997</v>
      </c>
      <c r="AC16" s="5">
        <f>IBCD!G18</f>
        <v>13.829684350300001</v>
      </c>
      <c r="AD16" s="5">
        <f>IS3Q!G18</f>
        <v>25.028696001900002</v>
      </c>
      <c r="AE16" s="5">
        <f>IUSU!G18</f>
        <v>12.679601706999998</v>
      </c>
      <c r="AF16" s="5">
        <f>'EXI2'!G18</f>
        <v>18.601065741100001</v>
      </c>
      <c r="AG16" s="5">
        <f>DBXJ!G18</f>
        <v>6.1303802418000002</v>
      </c>
      <c r="AH16" s="5">
        <f t="shared" si="0"/>
        <v>122.5551814896</v>
      </c>
      <c r="AI16" s="5">
        <f t="shared" si="1"/>
        <v>125.5551814896</v>
      </c>
      <c r="AJ16" s="5">
        <f t="shared" si="2"/>
        <v>5.5551814896000025</v>
      </c>
      <c r="AK16" s="20">
        <f t="shared" si="3"/>
        <v>4.6293179080000017E-2</v>
      </c>
      <c r="AL16" s="5">
        <f>'2025.03'!E9</f>
        <v>0.42000000000000004</v>
      </c>
      <c r="AM16" s="5">
        <f>'2025.03'!F9</f>
        <v>0.06</v>
      </c>
    </row>
    <row r="17" spans="1:39" x14ac:dyDescent="0.25">
      <c r="A17" s="62" t="str">
        <f>'2025.04'!A1</f>
        <v>2025.04</v>
      </c>
      <c r="B17" s="5">
        <f>B16+'2025.04'!B9</f>
        <v>183.94</v>
      </c>
      <c r="C17" s="5">
        <f>C16+'2025.04'!C9</f>
        <v>182.36</v>
      </c>
      <c r="D17" s="5">
        <f>Cash!B16</f>
        <v>3.9300000000000042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f>XDWT!G19</f>
        <v>18.719978868000002</v>
      </c>
      <c r="AA17" s="5">
        <f>IS3K!G19</f>
        <v>27.471463464899998</v>
      </c>
      <c r="AB17" s="5">
        <f>QDVY!G19</f>
        <v>21.994050811699996</v>
      </c>
      <c r="AC17" s="5">
        <f>IBCD!G19</f>
        <v>20.199129404200001</v>
      </c>
      <c r="AD17" s="5">
        <f>IS3Q!G19</f>
        <v>37.408455607500002</v>
      </c>
      <c r="AE17" s="5">
        <f>IUSU!G19</f>
        <v>18.339880410500001</v>
      </c>
      <c r="AF17" s="5">
        <f>'EXI2'!G19</f>
        <v>27.709308547199999</v>
      </c>
      <c r="AG17" s="5">
        <f>DBXJ!G19</f>
        <v>9.2702677305000005</v>
      </c>
      <c r="AH17" s="5">
        <f t="shared" si="0"/>
        <v>181.1125348445</v>
      </c>
      <c r="AI17" s="5">
        <f t="shared" si="1"/>
        <v>185.04253484450001</v>
      </c>
      <c r="AJ17" s="5">
        <f t="shared" si="2"/>
        <v>1.1025348445000134</v>
      </c>
      <c r="AK17" s="20">
        <f t="shared" si="3"/>
        <v>5.9939917609003667E-3</v>
      </c>
      <c r="AL17" s="5">
        <f>'2025.04'!E9</f>
        <v>0</v>
      </c>
      <c r="AM17" s="5">
        <f>'2025.04'!F9</f>
        <v>7.0000000000000007E-2</v>
      </c>
    </row>
    <row r="18" spans="1:39" x14ac:dyDescent="0.25">
      <c r="A18" s="62" t="str">
        <f>'2025.05'!A1</f>
        <v>2025.05</v>
      </c>
      <c r="B18" s="5">
        <f>B17+'2025.05'!B9</f>
        <v>198.59</v>
      </c>
      <c r="C18" s="5">
        <f>C17+'2025.05'!C9</f>
        <v>196.79000000000002</v>
      </c>
      <c r="D18" s="5">
        <f>Cash!B17</f>
        <v>4.0500000000000025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f>XDWT!G20</f>
        <v>21.5101835878</v>
      </c>
      <c r="AA18" s="5">
        <f>IS3K!G20</f>
        <v>30.24100352</v>
      </c>
      <c r="AB18" s="5">
        <f>QDVY!G20</f>
        <v>23.561083288599999</v>
      </c>
      <c r="AC18" s="5">
        <f>IBCD!G20</f>
        <v>22.1805520996</v>
      </c>
      <c r="AD18" s="5">
        <f>IS3Q!G20</f>
        <v>41.272675158399998</v>
      </c>
      <c r="AE18" s="5">
        <f>IUSU!G20</f>
        <v>20.030881094399998</v>
      </c>
      <c r="AF18" s="5">
        <f>'EXI2'!G20</f>
        <v>31.6287546304</v>
      </c>
      <c r="AG18" s="5">
        <f>DBXJ!G20</f>
        <v>10.329951534000001</v>
      </c>
      <c r="AH18" s="5">
        <f t="shared" si="0"/>
        <v>200.75508491320002</v>
      </c>
      <c r="AI18" s="5">
        <f t="shared" si="1"/>
        <v>204.80508491320003</v>
      </c>
      <c r="AJ18" s="5">
        <f t="shared" si="2"/>
        <v>6.2150849132000303</v>
      </c>
      <c r="AK18" s="20">
        <f t="shared" si="3"/>
        <v>3.1296061801702149E-2</v>
      </c>
      <c r="AL18" s="5">
        <f>'2025.05'!E9</f>
        <v>0</v>
      </c>
      <c r="AM18" s="5">
        <f>'2025.05'!F9</f>
        <v>0.1</v>
      </c>
    </row>
    <row r="19" spans="1:39" x14ac:dyDescent="0.25">
      <c r="A19" s="62" t="str">
        <f>'2025.06'!A1</f>
        <v>2025.06</v>
      </c>
      <c r="B19" s="5">
        <f>B18+'2025.06'!B12</f>
        <v>223.59</v>
      </c>
      <c r="C19" s="5">
        <f>C18+'2025.06'!C12</f>
        <v>221.10000000000002</v>
      </c>
      <c r="D19" s="5">
        <f>Cash!B18</f>
        <v>5.63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f>XDWT!G21</f>
        <v>24.379979267700001</v>
      </c>
      <c r="AA19" s="5">
        <f>IS3K!G21</f>
        <v>32.668329480000004</v>
      </c>
      <c r="AB19" s="5">
        <f>QDVY!G21</f>
        <v>26.6860871706</v>
      </c>
      <c r="AC19" s="5">
        <f>IBCD!G21</f>
        <v>24.510161356200001</v>
      </c>
      <c r="AD19" s="5">
        <f>IS3Q!G21</f>
        <v>45.879984348699999</v>
      </c>
      <c r="AE19" s="5">
        <f>IUSU!G21</f>
        <v>22.229696719999996</v>
      </c>
      <c r="AF19" s="5">
        <f>'EXI2'!G21</f>
        <v>35.2503432432</v>
      </c>
      <c r="AG19" s="5">
        <f>DBXJ!G21</f>
        <v>11.259772318800001</v>
      </c>
      <c r="AH19" s="5">
        <f t="shared" ref="AH19" si="4">SUM(Z19:AG19)</f>
        <v>222.86435390520001</v>
      </c>
      <c r="AI19" s="5">
        <f t="shared" si="1"/>
        <v>228.4943539052</v>
      </c>
      <c r="AJ19" s="5">
        <f t="shared" si="2"/>
        <v>4.9043539051999971</v>
      </c>
      <c r="AK19" s="20">
        <f t="shared" si="3"/>
        <v>2.1934585201484849E-2</v>
      </c>
      <c r="AL19" s="5">
        <f>'2025.06'!E12</f>
        <v>1.0099999999999998</v>
      </c>
      <c r="AM19" s="5">
        <f>'2025.06'!F12</f>
        <v>0.12</v>
      </c>
    </row>
    <row r="20" spans="1:39" x14ac:dyDescent="0.25">
      <c r="A20" s="62" t="str">
        <f>'2025.07'!A1</f>
        <v>2025.07</v>
      </c>
      <c r="B20" s="5">
        <f>B19+'2025.07'!B12</f>
        <v>255.17000000000002</v>
      </c>
      <c r="C20" s="5">
        <f>C19+'2025.07'!C12</f>
        <v>253.76000000000002</v>
      </c>
      <c r="D20" s="5">
        <f>Cash!B19</f>
        <v>5.5000000000000009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f>XDWT!G22</f>
        <v>27.201026850999998</v>
      </c>
      <c r="AA20" s="5">
        <f>IS3K!G22</f>
        <v>40.910941050000005</v>
      </c>
      <c r="AB20" s="5">
        <f>QDVY!G22</f>
        <v>32.661645848599996</v>
      </c>
      <c r="AC20" s="5">
        <f>IBCD!G22</f>
        <v>29.859766602600004</v>
      </c>
      <c r="AD20" s="5">
        <f>IS3Q!G22</f>
        <v>53.548977456000003</v>
      </c>
      <c r="AE20" s="5">
        <f>IUSU!G22</f>
        <v>27.150539908799999</v>
      </c>
      <c r="AF20" s="5">
        <f>'EXI2'!G22</f>
        <v>40.57776097</v>
      </c>
      <c r="AG20" s="5">
        <f>DBXJ!G22</f>
        <v>13.5606415296</v>
      </c>
      <c r="AH20" s="5">
        <f t="shared" ref="AH20" si="5">SUM(Z20:AG20)</f>
        <v>265.47130021659996</v>
      </c>
      <c r="AI20" s="5">
        <f t="shared" si="1"/>
        <v>270.97130021659996</v>
      </c>
      <c r="AJ20" s="5">
        <f t="shared" si="2"/>
        <v>15.801300216599941</v>
      </c>
      <c r="AK20" s="20">
        <f t="shared" si="3"/>
        <v>6.1924600135595642E-2</v>
      </c>
      <c r="AL20" s="5">
        <f>'2025.07'!E12</f>
        <v>1.08</v>
      </c>
      <c r="AM20" s="5">
        <f>'2025.07'!F12</f>
        <v>0.13</v>
      </c>
    </row>
    <row r="21" spans="1:39" x14ac:dyDescent="0.25">
      <c r="A21" s="62" t="str">
        <f>'2025.08'!A1</f>
        <v>2025.08</v>
      </c>
      <c r="B21" s="5">
        <f>B20+'2025.08'!B12</f>
        <v>283.15000000000003</v>
      </c>
      <c r="C21" s="5">
        <f>C20+'2025.08'!C12</f>
        <v>278.53000000000003</v>
      </c>
      <c r="D21" s="5">
        <f>Cash!B20</f>
        <v>8.56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f>XDWT!G23</f>
        <v>29.0110700205</v>
      </c>
      <c r="AA21" s="5">
        <f>IS3K!G23</f>
        <v>44.411457940500007</v>
      </c>
      <c r="AB21" s="5">
        <f>QDVY!G23</f>
        <v>35.353258577999995</v>
      </c>
      <c r="AC21" s="5">
        <f>IBCD!G23</f>
        <v>32.228819623</v>
      </c>
      <c r="AD21" s="5">
        <f>IS3Q!G23</f>
        <v>58.645587008799993</v>
      </c>
      <c r="AE21" s="5">
        <f>IUSU!G23</f>
        <v>29.510547299999995</v>
      </c>
      <c r="AF21" s="5">
        <f>'EXI2'!G23</f>
        <v>44.298480667200003</v>
      </c>
      <c r="AG21" s="5">
        <f>DBXJ!G23</f>
        <v>14.780303575400001</v>
      </c>
      <c r="AH21" s="5">
        <f t="shared" ref="AH21" si="6">SUM(Z21:AG21)</f>
        <v>288.23952471339999</v>
      </c>
      <c r="AI21" s="5">
        <f t="shared" si="1"/>
        <v>296.79952471339999</v>
      </c>
      <c r="AJ21" s="5">
        <f t="shared" si="2"/>
        <v>13.649524713399956</v>
      </c>
      <c r="AK21" s="20">
        <f t="shared" si="3"/>
        <v>4.8205985214197257E-2</v>
      </c>
      <c r="AL21" s="5">
        <f>'2025.08'!E12</f>
        <v>0</v>
      </c>
      <c r="AM21" s="5">
        <f>'2025.08'!F12</f>
        <v>0.15</v>
      </c>
    </row>
    <row r="22" spans="1:39" x14ac:dyDescent="0.25">
      <c r="A22" s="62" t="str">
        <f>'2025.09'!A1</f>
        <v>2025.09</v>
      </c>
      <c r="B22" s="5">
        <f>B21+'2025.09'!B12</f>
        <v>298.15000000000003</v>
      </c>
      <c r="C22" s="5">
        <f>C21+'2025.09'!C12</f>
        <v>295.62</v>
      </c>
      <c r="D22" s="5">
        <f>Cash!B21</f>
        <v>7.35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f>XDWT!G24</f>
        <v>33.150336054</v>
      </c>
      <c r="AA22" s="5">
        <f>IS3K!G24</f>
        <v>46.997682382000001</v>
      </c>
      <c r="AB22" s="5">
        <f>QDVY!G24</f>
        <v>37.445211161999985</v>
      </c>
      <c r="AC22" s="5">
        <f>IBCD!G24</f>
        <v>34.511748664199999</v>
      </c>
      <c r="AD22" s="5">
        <f>IS3Q!G24</f>
        <v>63.607564083100002</v>
      </c>
      <c r="AE22" s="5">
        <f>IUSU!G24</f>
        <v>30.560588182199997</v>
      </c>
      <c r="AF22" s="5">
        <f>'EXI2'!G24</f>
        <v>48.959689632000007</v>
      </c>
      <c r="AG22" s="5">
        <f>DBXJ!G24</f>
        <v>15.910504271199999</v>
      </c>
      <c r="AH22" s="5">
        <f t="shared" ref="AH22" si="7">SUM(Z22:AG22)</f>
        <v>311.14332443070003</v>
      </c>
      <c r="AI22" s="5">
        <f t="shared" si="1"/>
        <v>318.49332443070006</v>
      </c>
      <c r="AJ22" s="5">
        <f t="shared" si="2"/>
        <v>20.343324430700022</v>
      </c>
      <c r="AK22" s="20">
        <f t="shared" si="3"/>
        <v>6.8231844476605796E-2</v>
      </c>
      <c r="AL22" s="5">
        <f>'2025.09'!E12</f>
        <v>1.04</v>
      </c>
      <c r="AM22" s="5">
        <f>'2025.09'!F12</f>
        <v>0.16</v>
      </c>
    </row>
    <row r="23" spans="1:39" x14ac:dyDescent="0.25">
      <c r="A23" s="62" t="str">
        <f>'2025.10'!A1</f>
        <v>2025.10</v>
      </c>
      <c r="B23" s="5">
        <f>B22+'2025.10'!B12</f>
        <v>313.15000000000003</v>
      </c>
      <c r="C23" s="5">
        <f>C22+'2025.10'!C12</f>
        <v>311.05</v>
      </c>
      <c r="D23" s="5">
        <f>Cash!B22</f>
        <v>6.7499999999999982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f>XDWT!G25</f>
        <v>36.359617156000006</v>
      </c>
      <c r="AA23" s="5">
        <f>IS3K!G25</f>
        <v>50.890236781200002</v>
      </c>
      <c r="AB23" s="5">
        <f>QDVY!G25</f>
        <v>40.810384983499993</v>
      </c>
      <c r="AC23" s="5">
        <f>IBCD!G25</f>
        <v>37.360132399199998</v>
      </c>
      <c r="AD23" s="5">
        <f>IS3Q!G25</f>
        <v>68.619374938299998</v>
      </c>
      <c r="AE23" s="5">
        <f>IUSU!G25</f>
        <v>33.950432731599996</v>
      </c>
      <c r="AF23" s="5">
        <f>'EXI2'!G25</f>
        <v>53.371951842100003</v>
      </c>
      <c r="AG23" s="5">
        <f>DBXJ!G25</f>
        <v>17.630168545599997</v>
      </c>
      <c r="AH23" s="5">
        <f t="shared" ref="AH23" si="8">SUM(Z23:AG23)</f>
        <v>338.99229937749999</v>
      </c>
      <c r="AI23" s="5">
        <f t="shared" si="1"/>
        <v>345.74229937749999</v>
      </c>
      <c r="AJ23" s="5">
        <f t="shared" si="2"/>
        <v>32.592299377499955</v>
      </c>
      <c r="AK23" s="20">
        <f t="shared" si="3"/>
        <v>0.10407887395018346</v>
      </c>
      <c r="AL23" s="5">
        <f>'2025.10'!E12</f>
        <v>0</v>
      </c>
      <c r="AM23" s="5">
        <f>'2025.10'!F12</f>
        <v>0.17</v>
      </c>
    </row>
    <row r="24" spans="1:39" x14ac:dyDescent="0.25">
      <c r="A24" s="62" t="str">
        <f>'2025.11'!A1</f>
        <v>2025.11</v>
      </c>
      <c r="B24" s="5">
        <f>B23+'2025.11'!B12</f>
        <v>328.15000000000003</v>
      </c>
      <c r="C24" s="5">
        <f>C23+'2025.11'!C12</f>
        <v>325.26</v>
      </c>
      <c r="D24" s="5">
        <f>Cash!B23</f>
        <v>7.3499999999999988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f>XDWT!G26</f>
        <v>34.491174714000003</v>
      </c>
      <c r="AA24" s="5">
        <f>IS3K!G26</f>
        <v>54.10828779580001</v>
      </c>
      <c r="AB24" s="5">
        <f>QDVY!G26</f>
        <v>42.041489183999992</v>
      </c>
      <c r="AC24" s="5">
        <f>IBCD!G26</f>
        <v>39.781255735400002</v>
      </c>
      <c r="AD24" s="5">
        <f>IS3Q!G26</f>
        <v>72.479223585599996</v>
      </c>
      <c r="AE24" s="5">
        <f>IUSU!G26</f>
        <v>36.009864786499996</v>
      </c>
      <c r="AF24" s="5">
        <f>'EXI2'!G26</f>
        <v>53.427562448400003</v>
      </c>
      <c r="AG24" s="5">
        <f>DBXJ!G26</f>
        <v>17.859872571499995</v>
      </c>
      <c r="AH24" s="5">
        <f t="shared" ref="AH24" si="9">SUM(Z24:AG24)</f>
        <v>350.1987308212</v>
      </c>
      <c r="AI24" s="5">
        <f t="shared" si="1"/>
        <v>357.54873082120002</v>
      </c>
      <c r="AJ24" s="5">
        <f t="shared" si="2"/>
        <v>29.39873082119999</v>
      </c>
      <c r="AK24" s="20">
        <f t="shared" si="3"/>
        <v>8.9589306174615232E-2</v>
      </c>
      <c r="AL24" s="5">
        <f>'2025.11'!E12</f>
        <v>0</v>
      </c>
      <c r="AM24" s="5">
        <f>'2025.11'!F12</f>
        <v>0.19</v>
      </c>
    </row>
    <row r="25" spans="1:39" x14ac:dyDescent="0.25">
      <c r="A25" s="62" t="str">
        <f>'2025.12'!A1</f>
        <v>2025.12</v>
      </c>
      <c r="B25" s="5">
        <f>B24+'2025.12'!B12</f>
        <v>343.15000000000003</v>
      </c>
      <c r="C25" s="5">
        <f>C24+'2025.12'!C12</f>
        <v>339.84</v>
      </c>
      <c r="D25" s="5">
        <f>Cash!B24</f>
        <v>10.890000000000002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f>XDWT!G27</f>
        <v>37.249159757600005</v>
      </c>
      <c r="AA25" s="5">
        <f>IS3K!G27</f>
        <v>53.506907643500007</v>
      </c>
      <c r="AB25" s="5">
        <f>QDVY!G27</f>
        <v>44.073996227599991</v>
      </c>
      <c r="AC25" s="5">
        <f>IBCD!G27</f>
        <v>39.779331946200003</v>
      </c>
      <c r="AD25" s="5">
        <f>IS3Q!G27</f>
        <v>74.983070990999991</v>
      </c>
      <c r="AE25" s="5">
        <f>IUSU!G27</f>
        <v>36.7493143039</v>
      </c>
      <c r="AF25" s="5">
        <f>'EXI2'!G27</f>
        <v>55.669015702800003</v>
      </c>
      <c r="AG25" s="5">
        <f>DBXJ!G27</f>
        <v>18.729745599600001</v>
      </c>
      <c r="AH25" s="5">
        <f t="shared" ref="AH25" si="10">SUM(Z25:AG25)</f>
        <v>360.74054217219998</v>
      </c>
      <c r="AI25" s="5">
        <f t="shared" si="1"/>
        <v>371.63054217219997</v>
      </c>
      <c r="AJ25" s="5">
        <f t="shared" si="2"/>
        <v>28.480542172199932</v>
      </c>
      <c r="AK25" s="20">
        <f t="shared" si="3"/>
        <v>8.2997354428675299E-2</v>
      </c>
      <c r="AL25" s="5">
        <f>'2025.12'!E12</f>
        <v>3.31</v>
      </c>
      <c r="AM25" s="5">
        <f>'2025.12'!F12</f>
        <v>0.19</v>
      </c>
    </row>
    <row r="26" spans="1:39" x14ac:dyDescent="0.25">
      <c r="A26" s="62" t="str">
        <f>'2026.01'!A1</f>
        <v>2026.01</v>
      </c>
      <c r="B26" s="5">
        <f>B25+'2026.01'!B12</f>
        <v>358.15000000000003</v>
      </c>
      <c r="C26" s="5">
        <f>C25+'2026.01'!C12</f>
        <v>353.45</v>
      </c>
      <c r="D26" s="5">
        <f>Cash!B25</f>
        <v>12.080000000000002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f>XDWT!G28</f>
        <v>37.460966233000001</v>
      </c>
      <c r="AA26" s="5">
        <f>IS3K!G28</f>
        <v>57.552962172700006</v>
      </c>
      <c r="AB26" s="5">
        <f>QDVY!G28</f>
        <v>43.971019600899986</v>
      </c>
      <c r="AC26" s="5">
        <f>IBCD!G28</f>
        <v>42.200188493900001</v>
      </c>
      <c r="AD26" s="5">
        <f>IS3Q!G28</f>
        <v>78.882348005999987</v>
      </c>
      <c r="AE26" s="5">
        <f>IUSU!G28</f>
        <v>36.461661529699995</v>
      </c>
      <c r="AF26" s="5">
        <f>'EXI2'!G28</f>
        <v>57.902763497999999</v>
      </c>
      <c r="AG26" s="5">
        <f>DBXJ!G28</f>
        <v>20.230484222499999</v>
      </c>
      <c r="AH26" s="5">
        <f t="shared" ref="AH26" si="11">SUM(Z26:AG26)</f>
        <v>374.6623937567</v>
      </c>
      <c r="AI26" s="5">
        <f t="shared" si="1"/>
        <v>386.74239375669998</v>
      </c>
      <c r="AJ26" s="5">
        <f t="shared" si="2"/>
        <v>28.592393756699948</v>
      </c>
      <c r="AK26" s="20">
        <f t="shared" si="3"/>
        <v>7.9833571846153695E-2</v>
      </c>
      <c r="AL26" s="5">
        <f>'2026.01'!E12</f>
        <v>0</v>
      </c>
      <c r="AM26" s="5">
        <f>'2026.01'!F12</f>
        <v>0.2</v>
      </c>
    </row>
    <row r="27" spans="1:39" x14ac:dyDescent="0.25">
      <c r="A27" s="62">
        <f>'2026.02'!A1</f>
        <v>2026.02</v>
      </c>
      <c r="B27" s="5">
        <f>B26+'2026.02'!B12</f>
        <v>373.15000000000003</v>
      </c>
      <c r="C27" s="5">
        <f>C26+'2026.02'!C12</f>
        <v>367.96</v>
      </c>
      <c r="D27" s="5">
        <f>Cash!B26</f>
        <v>12.360000000000003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f>XDWT!G29</f>
        <v>38.921662044000001</v>
      </c>
      <c r="AA27" s="5">
        <f>IS3K!G29</f>
        <v>60.227986931900013</v>
      </c>
      <c r="AB27" s="5">
        <f>QDVY!G29</f>
        <v>46.075689359699993</v>
      </c>
      <c r="AC27" s="5">
        <f>IBCD!G29</f>
        <v>44.788859129399995</v>
      </c>
      <c r="AD27" s="5">
        <f>IS3Q!G29</f>
        <v>81.672327121999984</v>
      </c>
      <c r="AE27" s="5">
        <f>IUSU!G29</f>
        <v>38.531014068999994</v>
      </c>
      <c r="AF27" s="5">
        <f>'EXI2'!G29</f>
        <v>59.777683972700011</v>
      </c>
      <c r="AG27" s="5">
        <f>DBXJ!G29</f>
        <v>21.819782096600001</v>
      </c>
      <c r="AH27" s="5">
        <f t="shared" ref="AH27" si="12">SUM(Z27:AG27)</f>
        <v>391.81500472530001</v>
      </c>
      <c r="AI27" s="5">
        <f t="shared" si="1"/>
        <v>404.17500472530003</v>
      </c>
      <c r="AJ27" s="5">
        <f t="shared" si="2"/>
        <v>31.025004725299993</v>
      </c>
      <c r="AK27" s="20">
        <f t="shared" si="3"/>
        <v>8.314352063593726E-2</v>
      </c>
      <c r="AL27" s="5">
        <f>'2026.02'!E12</f>
        <v>0</v>
      </c>
      <c r="AM27" s="5">
        <f>'2026.02'!F12</f>
        <v>0.21</v>
      </c>
    </row>
    <row r="28" spans="1:39" x14ac:dyDescent="0.25">
      <c r="A28" s="62">
        <f>'2026.03'!A1</f>
        <v>2026.03</v>
      </c>
      <c r="B28" s="5">
        <f>B27+'2026.03'!B12</f>
        <v>388.15000000000003</v>
      </c>
      <c r="C28" s="5">
        <f>C27+'2026.03'!C12</f>
        <v>382.34999999999997</v>
      </c>
      <c r="D28" s="5">
        <f>Cash!B27</f>
        <v>12.800000000000002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f>XDWT!G30</f>
        <v>41.380298183700006</v>
      </c>
      <c r="AA28" s="5">
        <f>IS3K!G30</f>
        <v>62.410453978600017</v>
      </c>
      <c r="AB28" s="5">
        <f>QDVY!G30</f>
        <v>49.091200581599985</v>
      </c>
      <c r="AC28" s="5">
        <f>IBCD!G30</f>
        <v>45.141351269799998</v>
      </c>
      <c r="AD28" s="5">
        <f>IS3Q!G30</f>
        <v>79.799367941699984</v>
      </c>
      <c r="AE28" s="5">
        <f>IUSU!G30</f>
        <v>39.63995809499999</v>
      </c>
      <c r="AF28" s="5">
        <f>'EXI2'!G30</f>
        <v>60.882655268400008</v>
      </c>
      <c r="AG28" s="5">
        <f>DBXJ!G30</f>
        <v>20.400846194900002</v>
      </c>
      <c r="AH28" s="5">
        <f t="shared" ref="AH28" si="13">SUM(Z28:AG28)</f>
        <v>398.74613151369999</v>
      </c>
      <c r="AI28" s="5">
        <f t="shared" si="1"/>
        <v>411.5461315137</v>
      </c>
      <c r="AJ28" s="5">
        <f t="shared" si="2"/>
        <v>23.39613151369997</v>
      </c>
      <c r="AK28" s="20">
        <f t="shared" si="3"/>
        <v>6.0276005445575084E-2</v>
      </c>
      <c r="AL28" s="5">
        <f>'2026.03'!E12</f>
        <v>0.03</v>
      </c>
      <c r="AM28" s="5">
        <f>'2026.03'!F12</f>
        <v>0.2</v>
      </c>
    </row>
    <row r="29" spans="1:39" x14ac:dyDescent="0.25">
      <c r="A29" s="62" t="str">
        <f>'2026.04'!N2</f>
        <v>2026.04</v>
      </c>
      <c r="B29" s="5">
        <f>B28+'2026.04'!O13</f>
        <v>403.15000000000003</v>
      </c>
      <c r="C29" s="5">
        <f>C28+'2026.04'!P13-'2026.04'!Q13</f>
        <v>407.79037592510002</v>
      </c>
      <c r="D29" s="5">
        <f>Cash!B28</f>
        <v>4.04</v>
      </c>
      <c r="E29" s="5">
        <f>XDWI!G5</f>
        <v>9.9302208390000004</v>
      </c>
      <c r="F29" s="5">
        <f>WELK!G5</f>
        <v>9.9977024759999988</v>
      </c>
      <c r="G29" s="5">
        <f>PRAR!G5</f>
        <v>38.979187875000001</v>
      </c>
      <c r="H29" s="5">
        <v>0</v>
      </c>
      <c r="I29" s="5">
        <f>'QDV7'!G5</f>
        <v>6.3244710203999999</v>
      </c>
      <c r="J29" s="5">
        <f>AMEL!G5</f>
        <v>9.3402169407999995</v>
      </c>
      <c r="K29" s="5">
        <f>'79U0'!G5</f>
        <v>67.200686930299995</v>
      </c>
      <c r="L29" s="5">
        <v>0</v>
      </c>
      <c r="M29" s="5">
        <f>PRAJ!G5</f>
        <v>17.649214537500001</v>
      </c>
      <c r="N29" s="5">
        <f>LEMA!G5</f>
        <v>25.159263522400003</v>
      </c>
      <c r="O29" s="5">
        <f>AEYH!G5</f>
        <v>15.677661609400001</v>
      </c>
      <c r="P29" s="5">
        <f>EMBH!G5</f>
        <v>24.9612082636</v>
      </c>
      <c r="Q29" s="5">
        <f>LYMS!G5</f>
        <v>40.302051860699997</v>
      </c>
      <c r="R29" s="5">
        <f>EBUY!G5</f>
        <v>11.080554899700001</v>
      </c>
      <c r="S29" s="5">
        <f>TRDE!G5</f>
        <v>33.364754523899997</v>
      </c>
      <c r="T29" s="5">
        <f>PRAC!G5</f>
        <v>36.833916385999999</v>
      </c>
      <c r="U29" s="5">
        <f>'LYP6'!G5</f>
        <v>64.288926115400002</v>
      </c>
      <c r="V29" s="5">
        <f>UBUD!G5</f>
        <v>5.8805482647999998</v>
      </c>
      <c r="W29" s="5">
        <f>'2B72'!G5</f>
        <v>9.8471713424000011</v>
      </c>
      <c r="X29" s="5">
        <f>'LYP5'!G5</f>
        <v>10.3199672782</v>
      </c>
      <c r="Y29" s="5">
        <f>LGQK!G5</f>
        <v>2.1600712988999997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f>SUM(E29:AG29)</f>
        <v>439.29779598439995</v>
      </c>
      <c r="AI29" s="5">
        <f t="shared" si="1"/>
        <v>443.33779598439997</v>
      </c>
      <c r="AJ29" s="5">
        <f t="shared" si="2"/>
        <v>40.187795984399941</v>
      </c>
      <c r="AK29" s="20">
        <f t="shared" si="3"/>
        <v>9.9684474722559688E-2</v>
      </c>
      <c r="AL29" s="5">
        <f>'2026.04'!$S$13</f>
        <v>2.4400000000000004</v>
      </c>
      <c r="AM29" s="5">
        <f>'2026.04'!$T$13</f>
        <v>0.22</v>
      </c>
    </row>
    <row r="30" spans="1:39" x14ac:dyDescent="0.25">
      <c r="A30" s="62" t="str">
        <f>'2026.05'!$N$2</f>
        <v>2026.05</v>
      </c>
      <c r="B30" s="5">
        <f>B29+'2026.05'!$O$13</f>
        <v>418.15000000000003</v>
      </c>
      <c r="C30" s="5">
        <f>C29+'2026.05'!$P$13-'2026.05'!$Q$13+'2026.05'!$S$13</f>
        <v>422.05037592510001</v>
      </c>
      <c r="D30" s="5">
        <f>Cash!B29</f>
        <v>4.5499999999999945</v>
      </c>
      <c r="E30" s="5">
        <f>XDWI!G6</f>
        <v>14.040394978999998</v>
      </c>
      <c r="F30" s="5">
        <f>WELK!G6</f>
        <v>14.129963210999998</v>
      </c>
      <c r="G30" s="5">
        <f>PRAR!G6</f>
        <v>30.718122221500003</v>
      </c>
      <c r="H30" s="5">
        <f>LKOR!G5</f>
        <v>3.5200770650000002</v>
      </c>
      <c r="I30" s="5">
        <f>'QDV7'!G6</f>
        <v>9.3974579821000006</v>
      </c>
      <c r="J30" s="5">
        <f>AMEL!G6</f>
        <v>13.920854845000001</v>
      </c>
      <c r="K30" s="5">
        <f>'79U0'!G6</f>
        <v>80.730100915199998</v>
      </c>
      <c r="L30" s="5">
        <f>LYTR!G5</f>
        <v>9.3699359943999987</v>
      </c>
      <c r="M30" s="5">
        <f>PRAJ!G6</f>
        <v>18.998237415000006</v>
      </c>
      <c r="N30" s="5">
        <f>LEMA!G6</f>
        <v>29.808794744100005</v>
      </c>
      <c r="O30" s="5">
        <f>AEYH!G6</f>
        <v>18.867642230799998</v>
      </c>
      <c r="P30" s="5">
        <f>EMBH!G6</f>
        <v>30.780443495000004</v>
      </c>
      <c r="Q30" s="5">
        <f>LYMS!G6</f>
        <v>47.538848757399997</v>
      </c>
      <c r="R30" s="5">
        <f>EBUY!G6</f>
        <v>14.491561539399999</v>
      </c>
      <c r="S30" s="5">
        <f>TRDE!G6</f>
        <v>30.761420436999995</v>
      </c>
      <c r="T30" s="5">
        <f>PRAC!G6</f>
        <v>33.099043910699997</v>
      </c>
      <c r="U30" s="5">
        <f>'LYP6'!G6</f>
        <v>68.190388146000018</v>
      </c>
      <c r="V30" s="5">
        <f>UBUD!G6</f>
        <v>0</v>
      </c>
      <c r="W30" s="5">
        <f>'2B72'!G6</f>
        <v>0</v>
      </c>
      <c r="X30" s="5">
        <f>'LYP5'!G6</f>
        <v>0</v>
      </c>
      <c r="Y30" s="5">
        <f>LGQK!G6</f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f>SUM(E30:AG30)</f>
        <v>468.36328788859998</v>
      </c>
      <c r="AI30" s="5">
        <f t="shared" si="1"/>
        <v>472.9132878886</v>
      </c>
      <c r="AJ30" s="5">
        <f t="shared" si="2"/>
        <v>54.763287888599962</v>
      </c>
      <c r="AK30" s="20">
        <f t="shared" si="3"/>
        <v>0.1309656532072222</v>
      </c>
      <c r="AL30" s="5">
        <f>'2026.05'!$S$13</f>
        <v>0</v>
      </c>
      <c r="AM30" s="5">
        <f>'2026.05'!$T$13</f>
        <v>0.23</v>
      </c>
    </row>
    <row r="31" spans="1:39" x14ac:dyDescent="0.25">
      <c r="A31" s="62" t="str">
        <f>'2026.06'!$N$2</f>
        <v>2026.06</v>
      </c>
      <c r="B31" s="5">
        <f>B30+'2026.06'!$O$13</f>
        <v>433.15000000000003</v>
      </c>
      <c r="C31" s="5">
        <f>C30+'2026.06'!$P$13-'2026.06'!$Q$13+'2026.06'!$S$5</f>
        <v>436.67037592510002</v>
      </c>
      <c r="D31" s="5">
        <f>Cash!B30</f>
        <v>4.9299999999999953</v>
      </c>
      <c r="E31" s="5">
        <f>XDWI!G7</f>
        <v>14.589617756799999</v>
      </c>
      <c r="F31" s="5">
        <f>WELK!G7</f>
        <v>14.656654745600001</v>
      </c>
      <c r="G31" s="5">
        <f>PRAR!G7</f>
        <v>31.787911601000008</v>
      </c>
      <c r="H31" s="5">
        <f>LKOR!G6</f>
        <v>3.74000295</v>
      </c>
      <c r="I31" s="5">
        <f>'QDV7'!G7</f>
        <v>9.7937801408000009</v>
      </c>
      <c r="J31" s="5">
        <f>AMEL!G7</f>
        <v>14.648683132800002</v>
      </c>
      <c r="K31" s="5">
        <f>'79U0'!G7</f>
        <v>83.179497455599986</v>
      </c>
      <c r="L31" s="5">
        <f>LYTR!G6</f>
        <v>9.7993379657999977</v>
      </c>
      <c r="M31" s="5">
        <f>PRAJ!G7</f>
        <v>19.500789196000003</v>
      </c>
      <c r="N31" s="5">
        <f>LEMA!G7</f>
        <v>30.699282838600002</v>
      </c>
      <c r="O31" s="5">
        <f>AEYH!G7</f>
        <v>19.5548535239</v>
      </c>
      <c r="P31" s="5">
        <f>EMBH!G7</f>
        <v>31.780642442399998</v>
      </c>
      <c r="Q31" s="5">
        <f>LYMS!G7</f>
        <v>49.131359955200004</v>
      </c>
      <c r="R31" s="5">
        <f>EBUY!G7</f>
        <v>15.0569407134</v>
      </c>
      <c r="S31" s="5">
        <f>TRDE!G7</f>
        <v>31.730974558499994</v>
      </c>
      <c r="T31" s="5">
        <f>PRAC!G7</f>
        <v>34.172676806399998</v>
      </c>
      <c r="U31" s="5">
        <f>'LYP6'!G7</f>
        <v>70.720432873200011</v>
      </c>
      <c r="V31" s="5">
        <f>UBUD!G7</f>
        <v>0</v>
      </c>
      <c r="W31" s="5">
        <f>'2B72'!G7</f>
        <v>0</v>
      </c>
      <c r="X31" s="5">
        <f>'LYP5'!G7</f>
        <v>0</v>
      </c>
      <c r="Y31" s="5">
        <f>LGQK!G7</f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f>SUM(E31:AG31)</f>
        <v>484.54343865600003</v>
      </c>
      <c r="AI31" s="5">
        <f t="shared" ref="AI31" si="14">AH31+D31</f>
        <v>489.47343865600004</v>
      </c>
      <c r="AJ31" s="5">
        <f t="shared" ref="AJ31" si="15">AI31-B31</f>
        <v>56.323438656000008</v>
      </c>
      <c r="AK31" s="20">
        <f t="shared" ref="AK31" si="16">AJ31/B31</f>
        <v>0.13003217974373774</v>
      </c>
      <c r="AL31" s="5">
        <f>'2026.06'!$S$13</f>
        <v>0</v>
      </c>
      <c r="AM31" s="5">
        <f>'2026.06'!$T$13</f>
        <v>0</v>
      </c>
    </row>
    <row r="34" spans="2:2" x14ac:dyDescent="0.25">
      <c r="B34" t="s">
        <v>154</v>
      </c>
    </row>
  </sheetData>
  <mergeCells count="4">
    <mergeCell ref="AM1:AM2"/>
    <mergeCell ref="A1:A2"/>
    <mergeCell ref="B1:C1"/>
    <mergeCell ref="AL1:AL2"/>
  </mergeCells>
  <hyperlinks>
    <hyperlink ref="A31" location="'2026.06'!A1" display="'2026.06'!A1" xr:uid="{2D725BFA-F7A8-4132-8426-9EE91EA4D581}"/>
    <hyperlink ref="E2" location="XDWI!A1" display="XDWI" xr:uid="{F9015B2A-CD97-4307-AF08-22AA208C7A6A}"/>
    <hyperlink ref="F2" location="WELK!A1" display="WELK" xr:uid="{6A7A8E6D-3A8F-41D5-8004-0C16B540DA3F}"/>
    <hyperlink ref="G2" location="PRAR!A1" display="PRAR" xr:uid="{9F6D983E-59C7-4AE2-BC09-CC0F5313D71E}"/>
    <hyperlink ref="H2" location="LKOR!A1" display="LKOR" xr:uid="{CD1BB811-C048-4523-BF86-B80D2E7C0FDE}"/>
    <hyperlink ref="I2" location="'QDV7'!A1" display="QDV7" xr:uid="{FC3CF574-E6FF-4078-93C3-558849DCBCC7}"/>
    <hyperlink ref="J2" location="AMEL!A1" display="AMEL" xr:uid="{A7EC3A79-10D5-488F-BBA6-91EDE4701867}"/>
    <hyperlink ref="K2" location="'79U0'!A1" display="79U0" xr:uid="{9ECD08EA-E8B6-456E-A926-D5AA06BFD4A0}"/>
    <hyperlink ref="L2" location="LYTR!A1" display="LYTR" xr:uid="{8FED9A7A-9CD6-4961-B149-25D0ACD727FE}"/>
    <hyperlink ref="M2" location="PRAJ!A1" display="PRAJ" xr:uid="{97018E92-9448-4CC7-8A03-B9D89260F9F6}"/>
    <hyperlink ref="N2" location="LEMA!A1" display="LEMA" xr:uid="{3A698028-6787-4FA4-BBA1-809452FCB474}"/>
    <hyperlink ref="O2" location="AEYH!A1" display="AEYH" xr:uid="{F26DDB6F-7927-4400-BBFF-7724D54BF304}"/>
    <hyperlink ref="P2" location="EMBH!A1" display="EMBH" xr:uid="{50F4F291-7633-48EB-903B-0AC2F5278A4E}"/>
    <hyperlink ref="Q2" location="LYMS!A1" display="LYMS" xr:uid="{5F37EF10-D613-4078-9B25-013C7C101918}"/>
    <hyperlink ref="R2" location="EBUY!A1" display="EBUY" xr:uid="{8D1DCCA6-703B-49F4-A3AC-225757BD4081}"/>
    <hyperlink ref="S2" location="TRDE!A1" display="TRDE" xr:uid="{17DB1850-7452-4DF3-872D-2DCF35325734}"/>
    <hyperlink ref="T2" location="PRAC!A1" display="PRAC" xr:uid="{42CD172F-8A57-441E-AF79-2AE1B28AEA2F}"/>
    <hyperlink ref="U2" location="'LYP6'!A1" display="LYP6" xr:uid="{A58BC3D0-12E9-4726-AFB9-BB779C594B53}"/>
    <hyperlink ref="V2" location="UBUD!A1" display="UBUD" xr:uid="{0A901FA4-FB59-4902-9F6E-90CE69B16249}"/>
    <hyperlink ref="W2" location="'2B72'!A1" display="2B72" xr:uid="{71395639-1FEB-4A94-ADF7-82E08DF4953B}"/>
    <hyperlink ref="X2" location="'LYP5'!A1" display="LYP5" xr:uid="{73E8E889-477C-477B-925B-844AD3CA1848}"/>
    <hyperlink ref="Y2" location="LGQK!A1" display="LGQK" xr:uid="{B644AEFA-5583-4D7E-9741-0593A3CD90AC}"/>
    <hyperlink ref="Z2" location="XDWT!A1" display="XDWT" xr:uid="{3DE9B69C-3722-48FD-AB79-82A38C9B1263}"/>
    <hyperlink ref="AA2" location="IS3K!A1" display="IS3K" xr:uid="{08B3931C-F043-4D7E-A7C8-4FFB270318B9}"/>
    <hyperlink ref="AB2" location="QDVY!A1" display="QDVY" xr:uid="{6DFA0481-F323-415E-BBA6-14F21D9AAD38}"/>
    <hyperlink ref="AC2" location="IBCD!A1" display="IBCD" xr:uid="{4ADD70E2-8FD9-4F5A-B488-BB0723CA9808}"/>
    <hyperlink ref="AD2" location="IS3Q!A1" display="IS3Q" xr:uid="{F0DA0375-0A6B-48FA-A537-155C8F05830D}"/>
    <hyperlink ref="AE2" location="IUSU!A1" display="IUSU" xr:uid="{8E95DE74-70C0-4B88-9A36-A1916BEB3E4C}"/>
    <hyperlink ref="AF2" location="'EXI2'!A1" display="EXI2" xr:uid="{C88FEF1E-2073-417A-9122-E7617F8E0003}"/>
    <hyperlink ref="AG2" location="DBXJ!A1" display="DBXJ" xr:uid="{9891AE25-2A21-4439-A193-04E15523EA43}"/>
    <hyperlink ref="A3" location="'2024.02'!A1" display="'2024.02'!A1" xr:uid="{E6BA5D97-4157-408B-91B1-C354086A98E0}"/>
    <hyperlink ref="A4" location="'2024.03'!A1" display="'2024.03'!A1" xr:uid="{F74724CE-C736-44AC-A927-F187E17FEBB0}"/>
    <hyperlink ref="A5" location="'2024.04'!A1" display="'2024.04'!A1" xr:uid="{2CDB62C3-3850-428A-B861-A8CC21BF2D98}"/>
    <hyperlink ref="A6" location="'2024.05'!A1" display="'2024.05'!A1" xr:uid="{E33F767C-8EB9-4966-B002-C0B2D8E925B4}"/>
    <hyperlink ref="A7" location="'2024.06'!A1" display="'2024.06'!A1" xr:uid="{E2716C1E-FC7F-46CA-84D7-A314753C90E6}"/>
    <hyperlink ref="A8" location="'2024.07'!A1" display="'2024.07'!A1" xr:uid="{130A649F-F8ED-4FE9-AF62-1530452E4A98}"/>
    <hyperlink ref="A9" location="'2024.08'!A1" display="'2024.08'!A1" xr:uid="{797A0004-9560-4BC5-B973-01D1E8A3EABF}"/>
    <hyperlink ref="A10" location="'2024.09'!A1" display="'2024.09'!A1" xr:uid="{4E300FC8-A585-484A-9139-8E8EE63E07A4}"/>
    <hyperlink ref="A11" location="'2024.10'!A1" display="'2024.10'!A1" xr:uid="{A78A31BF-EB31-4FB6-9EA5-98D329C51958}"/>
    <hyperlink ref="A12" location="'2024.11'!A1" display="'2024.11'!A1" xr:uid="{1DF00833-59BD-4E01-AF94-336EDF95F336}"/>
    <hyperlink ref="A13" location="'2024.12'!A1" display="'2024.12'!A1" xr:uid="{B21D4C34-B86A-4D87-B39F-FFDDE8D419CC}"/>
    <hyperlink ref="A14" location="'2025.01'!A1" display="'2025.01'!A1" xr:uid="{E9006857-E952-4134-BA5F-F4D90687E668}"/>
    <hyperlink ref="A15" location="'2025.02'!A1" display="'2025.02'!A1" xr:uid="{F03E57A0-A3DB-44D4-9601-A426F503CD66}"/>
    <hyperlink ref="A16" location="'2025.03'!A1" display="'2025.03'!A1" xr:uid="{32D6F335-50C7-4A1B-B0EA-8B225B393DF7}"/>
    <hyperlink ref="A17" location="'2025.04'!A1" display="'2025.04'!A1" xr:uid="{DF87E0BB-964D-471C-B734-ECDC651ABCF5}"/>
    <hyperlink ref="A18" location="'2025.05'!A1" display="'2025.05'!A1" xr:uid="{21FC5E87-9A08-4395-A3C1-ACCEB38EBB0D}"/>
    <hyperlink ref="A19" location="'2025.06'!A1" display="'2025.06'!A1" xr:uid="{2E1CA776-8FD0-492F-A433-716734E00D6B}"/>
    <hyperlink ref="A20" location="'2025.07'!A1" display="'2025.07'!A1" xr:uid="{5A24D80F-5374-48BF-972B-DE24344C3BAD}"/>
    <hyperlink ref="A30" location="'2026.05'!A1" display="'2026.05'!A1" xr:uid="{922C4F6B-2AC1-4749-A982-AD5FBC96CDDB}"/>
    <hyperlink ref="A29" location="'2026.04'!A1" display="'2026.04'!A1" xr:uid="{FD0B36FF-2916-4065-8550-87D00BBFFA17}"/>
    <hyperlink ref="A28" location="'2026.03'!A1" display="'2026.03'!A1" xr:uid="{9E3EF2A2-D79F-4A28-9433-30758C0341AC}"/>
    <hyperlink ref="A27" location="'2026.02'!A1" display="'2026.02'!A1" xr:uid="{225BB61E-C552-4725-AA6D-03D863FFCCE7}"/>
    <hyperlink ref="A26" location="'2026.01'!A1" display="'2026.01'!A1" xr:uid="{FB5BF727-C98B-45B6-B73D-8F61BFBAE07A}"/>
    <hyperlink ref="A25" location="'2025.12'!A1" display="'2025.12'!A1" xr:uid="{8CE5D9BB-E44F-4D5F-920D-03DEB36F672D}"/>
    <hyperlink ref="A24" location="'2025.11'!A1" display="'2025.11'!A1" xr:uid="{93085E2E-4F65-43A8-8E3E-473B2556FCF2}"/>
    <hyperlink ref="A23" location="'2025.10'!A1" display="'2025.10'!A1" xr:uid="{93FE615D-EC8F-42AC-B77A-71E2602DA867}"/>
    <hyperlink ref="A22" location="'2025.09'!A1" display="'2025.09'!A1" xr:uid="{86F71630-E2F5-403E-BC7B-5F39271D0260}"/>
    <hyperlink ref="A21" location="'2025.08'!A1" display="'2025.08'!A1" xr:uid="{4A1B8A11-D120-4105-90B1-2471F20EB1ED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pane ySplit="11" topLeftCell="A12" activePane="bottomLeft" state="frozen"/>
      <selection pane="bottomLeft" activeCell="F27" sqref="F27"/>
    </sheetView>
  </sheetViews>
  <sheetFormatPr defaultRowHeight="15" x14ac:dyDescent="0.25"/>
  <cols>
    <col min="1" max="1" width="15.7109375" customWidth="1"/>
    <col min="2" max="2" width="10.7109375" customWidth="1"/>
  </cols>
  <sheetData>
    <row r="1" spans="1:2" x14ac:dyDescent="0.25">
      <c r="A1" s="3" t="s">
        <v>70</v>
      </c>
      <c r="B1" s="3" t="s">
        <v>3</v>
      </c>
    </row>
    <row r="2" spans="1:2" x14ac:dyDescent="0.25">
      <c r="A2" s="62" t="str">
        <f>'2024.02'!A1</f>
        <v>2024.02</v>
      </c>
      <c r="B2" s="5">
        <f>'2024.02'!D9</f>
        <v>2</v>
      </c>
    </row>
    <row r="3" spans="1:2" x14ac:dyDescent="0.25">
      <c r="A3" s="62" t="str">
        <f>'2024.03'!A1</f>
        <v>2024.03</v>
      </c>
      <c r="B3" s="5">
        <f>Cash!B2-'2024.03'!F9+'2024.03'!E9-D2</f>
        <v>1.95</v>
      </c>
    </row>
    <row r="4" spans="1:2" x14ac:dyDescent="0.25">
      <c r="A4" s="62" t="str">
        <f>'2024.04'!A1</f>
        <v>2024.04</v>
      </c>
      <c r="B4" s="5">
        <f>B3-'2024.04'!F9+'2024.04'!E9-D2</f>
        <v>2.23</v>
      </c>
    </row>
    <row r="5" spans="1:2" x14ac:dyDescent="0.25">
      <c r="A5" s="62" t="str">
        <f>'2024.05'!A1</f>
        <v>2024.05</v>
      </c>
      <c r="B5" s="5">
        <f>B4-'2024.05'!F9+'2024.05'!E9-D2</f>
        <v>2.19</v>
      </c>
    </row>
    <row r="6" spans="1:2" x14ac:dyDescent="0.25">
      <c r="A6" s="62" t="str">
        <f>'2024.06'!A1</f>
        <v>2024.06</v>
      </c>
      <c r="B6" s="5">
        <f>B5-'2024.06'!F9+'2024.06'!E9-D2</f>
        <v>3</v>
      </c>
    </row>
    <row r="7" spans="1:2" x14ac:dyDescent="0.25">
      <c r="A7" s="62" t="str">
        <f>'2024.07'!A1</f>
        <v>2024.07</v>
      </c>
      <c r="B7" s="5">
        <f>B6-'2024.07'!F9+'2024.07'!E9+'2024.07'!D9-D2</f>
        <v>2.15</v>
      </c>
    </row>
    <row r="8" spans="1:2" x14ac:dyDescent="0.25">
      <c r="A8" s="62" t="str">
        <f>'2024.08'!A1</f>
        <v>2024.08</v>
      </c>
      <c r="B8" s="5">
        <f>B7-'2024.08'!F9+'2024.08'!E9+'2024.08'!D9-D2</f>
        <v>2.1</v>
      </c>
    </row>
    <row r="9" spans="1:2" x14ac:dyDescent="0.25">
      <c r="A9" s="62" t="str">
        <f>'2024.09'!A1</f>
        <v>2024.09</v>
      </c>
      <c r="B9" s="5">
        <f>B8-'2024.09'!F9+'2024.09'!E9+'2024.09'!D9-D2</f>
        <v>2.39</v>
      </c>
    </row>
    <row r="10" spans="1:2" x14ac:dyDescent="0.25">
      <c r="A10" s="62" t="str">
        <f>'2024.10'!A1</f>
        <v>2024.10</v>
      </c>
      <c r="B10" s="5">
        <f>B9-'2024.10'!F9+'2024.10'!E9+'2024.10'!D9-D2</f>
        <v>2.3400000000000003</v>
      </c>
    </row>
    <row r="11" spans="1:2" x14ac:dyDescent="0.25">
      <c r="A11" s="62" t="str">
        <f>'2024.11'!A1</f>
        <v>2024.11</v>
      </c>
      <c r="B11" s="5">
        <f>B10-'2024.11'!F9+'2024.11'!E9+'2024.11'!D9-D2</f>
        <v>2.6700000000000004</v>
      </c>
    </row>
    <row r="12" spans="1:2" x14ac:dyDescent="0.25">
      <c r="A12" s="62" t="str">
        <f>'2024.12'!A1</f>
        <v>2024.12</v>
      </c>
      <c r="B12" s="5">
        <f>B11-'2024.12'!F9+'2024.12'!E9+'2024.12'!D9-D2</f>
        <v>2.6</v>
      </c>
    </row>
    <row r="13" spans="1:2" x14ac:dyDescent="0.25">
      <c r="A13" s="62" t="str">
        <f>'2025.01'!A1</f>
        <v>2025.01</v>
      </c>
      <c r="B13" s="5">
        <f>B12-'2025.01'!F9+'2025.01'!E9+'2025.01'!D9-D2</f>
        <v>3.04</v>
      </c>
    </row>
    <row r="14" spans="1:2" x14ac:dyDescent="0.25">
      <c r="A14" s="62" t="str">
        <f>'2025.02'!A1</f>
        <v>2025.02</v>
      </c>
      <c r="B14" s="5">
        <f>B13-'2025.02'!F9+'2025.02'!E9+'2025.02'!D9-D2</f>
        <v>2.97</v>
      </c>
    </row>
    <row r="15" spans="1:2" x14ac:dyDescent="0.25">
      <c r="A15" s="62" t="str">
        <f>'2025.03'!A1</f>
        <v>2025.03</v>
      </c>
      <c r="B15" s="5">
        <f>B14-'2025.03'!F9+'2025.03'!E9+'2025.03'!D9-D2</f>
        <v>3</v>
      </c>
    </row>
    <row r="16" spans="1:2" x14ac:dyDescent="0.25">
      <c r="A16" s="62" t="str">
        <f>'2025.04'!A1</f>
        <v>2025.04</v>
      </c>
      <c r="B16" s="5">
        <f>B15-'2025.04'!F9+'2025.04'!E9+'2025.04'!D9-D2</f>
        <v>3.9300000000000042</v>
      </c>
    </row>
    <row r="17" spans="1:2" x14ac:dyDescent="0.25">
      <c r="A17" s="62" t="str">
        <f>'2025.05'!A1</f>
        <v>2025.05</v>
      </c>
      <c r="B17" s="5">
        <f>B16-'2025.05'!F9+'2025.05'!E9+'2025.05'!D9-D3</f>
        <v>4.0500000000000025</v>
      </c>
    </row>
    <row r="18" spans="1:2" x14ac:dyDescent="0.25">
      <c r="A18" s="62" t="str">
        <f>'2025.06'!A1</f>
        <v>2025.06</v>
      </c>
      <c r="B18" s="5">
        <f>B17-'2025.06'!F12+'2025.06'!E12+'2025.06'!D12-D4</f>
        <v>5.63</v>
      </c>
    </row>
    <row r="19" spans="1:2" x14ac:dyDescent="0.25">
      <c r="A19" s="62" t="str">
        <f>'2025.07'!A1</f>
        <v>2025.07</v>
      </c>
      <c r="B19" s="5">
        <f>B18-'2025.07'!F12+'2025.07'!E12+'2025.07'!D12-D4</f>
        <v>5.5000000000000009</v>
      </c>
    </row>
    <row r="20" spans="1:2" x14ac:dyDescent="0.25">
      <c r="A20" s="62" t="str">
        <f>'2025.08'!A1</f>
        <v>2025.08</v>
      </c>
      <c r="B20" s="5">
        <f>B19-'2025.08'!F12+'2025.08'!E12+'2025.08'!D12-D4</f>
        <v>8.56</v>
      </c>
    </row>
    <row r="21" spans="1:2" x14ac:dyDescent="0.25">
      <c r="A21" s="62" t="str">
        <f>'2025.09'!A1</f>
        <v>2025.09</v>
      </c>
      <c r="B21" s="5">
        <f>B20-'2025.09'!F12+'2025.09'!E12+'2025.09'!D12-D4</f>
        <v>7.35</v>
      </c>
    </row>
    <row r="22" spans="1:2" x14ac:dyDescent="0.25">
      <c r="A22" s="62" t="str">
        <f>'2025.10'!A1</f>
        <v>2025.10</v>
      </c>
      <c r="B22" s="5">
        <f>B21-'2025.10'!F12+'2025.10'!E12+'2025.10'!D12-D5</f>
        <v>6.7499999999999982</v>
      </c>
    </row>
    <row r="23" spans="1:2" x14ac:dyDescent="0.25">
      <c r="A23" s="62" t="str">
        <f>'2025.11'!A1</f>
        <v>2025.11</v>
      </c>
      <c r="B23" s="5">
        <f>B22-'2025.11'!F12+'2025.11'!E12+'2025.11'!D12-D1</f>
        <v>7.3499999999999988</v>
      </c>
    </row>
    <row r="24" spans="1:2" x14ac:dyDescent="0.25">
      <c r="A24" s="62" t="str">
        <f>'2025.12'!A1</f>
        <v>2025.12</v>
      </c>
      <c r="B24" s="5">
        <f>B23-'2025.12'!F12+'2025.12'!E12+'2025.12'!D12-D6</f>
        <v>10.890000000000002</v>
      </c>
    </row>
    <row r="25" spans="1:2" x14ac:dyDescent="0.25">
      <c r="A25" s="62" t="str">
        <f>'2026.01'!A1</f>
        <v>2026.01</v>
      </c>
      <c r="B25" s="5">
        <f>B24-'2026.01'!F12+'2026.01'!E12+'2026.01'!D12-D6</f>
        <v>12.080000000000002</v>
      </c>
    </row>
    <row r="26" spans="1:2" x14ac:dyDescent="0.25">
      <c r="A26" s="62">
        <f>'2026.02'!A1</f>
        <v>2026.02</v>
      </c>
      <c r="B26" s="5">
        <f>B25-'2026.02'!F12+'2026.02'!E12+'2026.02'!D12-D7</f>
        <v>12.360000000000003</v>
      </c>
    </row>
    <row r="27" spans="1:2" x14ac:dyDescent="0.25">
      <c r="A27" s="62">
        <f>'2026.03'!A1</f>
        <v>2026.03</v>
      </c>
      <c r="B27" s="5">
        <f>B26-'2026.03'!F12+'2026.03'!E12+'2026.03'!D12-D7</f>
        <v>12.800000000000002</v>
      </c>
    </row>
    <row r="28" spans="1:2" x14ac:dyDescent="0.25">
      <c r="A28" s="62" t="str">
        <f>'2026.04'!N2</f>
        <v>2026.04</v>
      </c>
      <c r="B28" s="5">
        <v>4.04</v>
      </c>
    </row>
    <row r="29" spans="1:2" x14ac:dyDescent="0.25">
      <c r="A29" s="62" t="str">
        <f>'2026.05'!$N$2</f>
        <v>2026.05</v>
      </c>
      <c r="B29" s="5">
        <f>B28+'2026.05'!R13-'2026.05'!T13</f>
        <v>4.5499999999999945</v>
      </c>
    </row>
    <row r="30" spans="1:2" x14ac:dyDescent="0.25">
      <c r="A30" s="62" t="str">
        <f>'2026.06'!$N$2</f>
        <v>2026.06</v>
      </c>
      <c r="B30" s="5">
        <f>B29+'2026.06'!$R$13-'2026.06'!$T$14</f>
        <v>4.9299999999999953</v>
      </c>
    </row>
  </sheetData>
  <hyperlinks>
    <hyperlink ref="A29" location="'2026.05'!A1" display="'2026.05'!A1" xr:uid="{0C2AA93C-0915-4997-974F-E1AC46BFECEF}"/>
    <hyperlink ref="A30" location="'2026.06'!A1" display="'2026.06'!A1" xr:uid="{FDF329FA-AB52-4F53-BDCE-DAF22B7B4777}"/>
    <hyperlink ref="A28" location="'2026.04'!A1" display="'2026.04'!A1" xr:uid="{BF947A73-69D3-4D8C-B0D9-16B4C8C251CF}"/>
    <hyperlink ref="A2" location="'2024.02'!A1" display="'2024.02'!A1" xr:uid="{F9D09F3A-B547-42E9-814C-314F6EA468C3}"/>
    <hyperlink ref="A3" location="'2024.03'!A1" display="'2024.03'!A1" xr:uid="{69EAEB43-9FF8-43CD-8937-B3B09F9873CD}"/>
    <hyperlink ref="A4" location="'2024.04'!A1" display="'2024.04'!A1" xr:uid="{998C18CE-A58B-42B7-98D2-324DFE122C5D}"/>
    <hyperlink ref="A5" location="'2024.05'!A1" display="'2024.05'!A1" xr:uid="{27474184-9396-49CF-ADC4-C0071C1BCAD4}"/>
    <hyperlink ref="A6" location="'2024.06'!A1" display="'2024.06'!A1" xr:uid="{43FA76E6-E739-4FB6-A1FD-CCC7037A1C8F}"/>
    <hyperlink ref="A7" location="'2024.07'!A1" display="'2024.07'!A1" xr:uid="{B0FC2B06-1CB5-4603-8A18-B9A0D9742276}"/>
    <hyperlink ref="A8" location="'2024.08'!A1" display="'2024.08'!A1" xr:uid="{47E647C3-3DF7-4E1F-852A-A6F31280C8D3}"/>
    <hyperlink ref="A9" location="'2024.09'!A1" display="'2024.09'!A1" xr:uid="{2FDE7BC9-AEB4-4E4C-AD0D-4ADABFF6ECE9}"/>
    <hyperlink ref="A10" location="'2024.10'!A1" display="'2024.10'!A1" xr:uid="{A797E85A-ED01-4DDE-B978-6C7C6A1DEAE3}"/>
    <hyperlink ref="A11" location="'2024.11'!A1" display="'2024.11'!A1" xr:uid="{49C353F8-A7AD-4B3D-99C3-1290F4234B39}"/>
    <hyperlink ref="A12" location="'2024.12'!A1" display="'2024.12'!A1" xr:uid="{66711100-9E07-4E63-AC70-F694C22EC620}"/>
    <hyperlink ref="A13" location="'2025.01'!A1" display="'2025.01'!A1" xr:uid="{3DD5564B-C84C-4DDC-A509-E9B3D7D7A144}"/>
    <hyperlink ref="A14" location="'2025.02'!A1" display="'2025.02'!A1" xr:uid="{AADFC270-B95F-4E22-9CC7-E61C7F12856B}"/>
    <hyperlink ref="A15" location="'2025.03'!A1" display="'2025.03'!A1" xr:uid="{E7FB87C7-4DC7-4751-9A3A-8DE14A5EE6D3}"/>
    <hyperlink ref="A16" location="'2025.04'!A1" display="'2025.04'!A1" xr:uid="{6FCBF323-60AE-47CE-A50F-0553CC884C18}"/>
    <hyperlink ref="A17" location="'2025.05'!A1" display="'2025.05'!A1" xr:uid="{9EC84C88-DAF7-400E-A5FB-7E17CD634CCE}"/>
    <hyperlink ref="A18" location="'2025.06'!A1" display="'2025.06'!A1" xr:uid="{3C1A4B0B-972B-4373-AF50-BAC464266764}"/>
    <hyperlink ref="A19" location="'2025.07'!A1" display="'2025.07'!A1" xr:uid="{07403B41-51DB-4C81-8035-305BD126FCAA}"/>
    <hyperlink ref="A20" location="'2025.08'!A1" display="'2025.08'!A1" xr:uid="{80744729-83DA-41E2-9B86-4B92CACAB682}"/>
    <hyperlink ref="A21" location="'2025.09'!A1" display="'2025.09'!A1" xr:uid="{E5BA8754-E270-4633-9099-1C6926C2E603}"/>
    <hyperlink ref="A27" location="'2026.03'!A1" display="'2026.03'!A1" xr:uid="{980450E8-409E-4DC7-B186-27E1DFD8D549}"/>
    <hyperlink ref="A22" location="'2025.10'!A1" display="'2025.10'!A1" xr:uid="{437B165E-2DB7-4241-8793-F87707B7B6BF}"/>
    <hyperlink ref="A23" location="'2025.11'!A1" display="'2025.11'!A1" xr:uid="{47F53F20-5C80-48D5-858B-1863D5236B97}"/>
    <hyperlink ref="A24" location="'2025.12'!A1" display="'2025.12'!A1" xr:uid="{96553A1F-1DA5-415C-B68E-B42C2D4595A4}"/>
    <hyperlink ref="A25" location="'2026.01'!A1" display="'2026.01'!A1" xr:uid="{1BB99AA4-D586-4A6B-82F8-41EC09EEBCEC}"/>
    <hyperlink ref="A26" location="'2026.02'!A1" display="'2026.02'!A1" xr:uid="{5DD212EC-F52A-457B-A04F-7FB2B6C38F47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13C2-5866-4654-8C68-51A43AC9788F}">
  <dimension ref="A1:S31"/>
  <sheetViews>
    <sheetView workbookViewId="0">
      <pane ySplit="13" topLeftCell="A14" activePane="bottomLeft" state="frozen"/>
      <selection activeCell="J36" sqref="J36"/>
      <selection pane="bottomLeft" sqref="A1:A1048576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110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112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'2026.04'!N2</f>
        <v>2026.04</v>
      </c>
      <c r="B5" s="5">
        <f>'2026.04'!B138-'2026.04'!G138</f>
        <v>9.5599999999999987</v>
      </c>
      <c r="C5" s="5">
        <f>B5</f>
        <v>9.5599999999999987</v>
      </c>
      <c r="D5" s="14">
        <f>'2026.04'!D138-'2026.04'!I138</f>
        <v>0.13554764999999999</v>
      </c>
      <c r="E5" s="14">
        <f>D5</f>
        <v>0.13554764999999999</v>
      </c>
      <c r="F5" s="5">
        <v>73.260000000000005</v>
      </c>
      <c r="G5" s="5">
        <f>E5*F5</f>
        <v>9.9302208390000004</v>
      </c>
      <c r="H5" s="5">
        <f>G5-C5</f>
        <v>0.37022083900000169</v>
      </c>
      <c r="I5" s="20">
        <f>(G5-C5)/C5</f>
        <v>3.8726029184100598E-2</v>
      </c>
      <c r="J5" s="5">
        <f>'2026.04'!L138</f>
        <v>0</v>
      </c>
      <c r="L5" s="3" t="s">
        <v>2</v>
      </c>
      <c r="M5" s="5">
        <f>SUM(B5:B200)</f>
        <v>14.319999999999999</v>
      </c>
      <c r="N5" s="5">
        <f>INDEX(G5:G200,MATCH(9.99999999999999E+307,G5:G200))</f>
        <v>14.589617756799999</v>
      </c>
      <c r="O5" s="20">
        <f>INDEX(I5:I200,MATCH(9.99999999999999E+307,I5:I200))</f>
        <v>1.8828055642458149E-2</v>
      </c>
      <c r="P5" s="5">
        <f>N5+S5</f>
        <v>14.589617756799999</v>
      </c>
      <c r="Q5" s="20">
        <f>(P5-M5)/M5</f>
        <v>1.8828055642458149E-2</v>
      </c>
      <c r="R5" s="14">
        <f>SUM(D5:D200)</f>
        <v>0.20007703999999998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'2026.05'!$B$138-'2026.05'!$G$138</f>
        <v>4.1100000000000003</v>
      </c>
      <c r="C6" s="5">
        <f>C5+B6</f>
        <v>13.669999999999998</v>
      </c>
      <c r="D6" s="14">
        <f>'2026.05'!$D$138-'2026.05'!$I$138</f>
        <v>5.5608169999999998E-2</v>
      </c>
      <c r="E6" s="14">
        <f>E5+D6</f>
        <v>0.19115581999999998</v>
      </c>
      <c r="F6" s="5">
        <v>73.45</v>
      </c>
      <c r="G6" s="5">
        <f>E6*F6</f>
        <v>14.040394978999998</v>
      </c>
      <c r="H6" s="5">
        <f>G6-C6</f>
        <v>0.37039497900000029</v>
      </c>
      <c r="I6" s="20">
        <f>(G6-C6)/C6</f>
        <v>2.7095462984637917E-2</v>
      </c>
      <c r="J6" s="5">
        <f>'2026.05'!$L$138</f>
        <v>0</v>
      </c>
    </row>
    <row r="7" spans="1:19" x14ac:dyDescent="0.25">
      <c r="A7" s="62" t="str">
        <f>'2026.06'!$N$2</f>
        <v>2026.06</v>
      </c>
      <c r="B7" s="5">
        <f>'2026.06'!$B$138-'2026.06'!$G$138</f>
        <v>0.65</v>
      </c>
      <c r="C7" s="5">
        <f>C6+B7</f>
        <v>14.319999999999999</v>
      </c>
      <c r="D7" s="14">
        <f>'2026.06'!$D$138-'2026.06'!$I$138</f>
        <v>8.9212200000000005E-3</v>
      </c>
      <c r="E7" s="14">
        <f>E6+D7</f>
        <v>0.20007703999999998</v>
      </c>
      <c r="F7" s="57">
        <v>72.92</v>
      </c>
      <c r="G7" s="5">
        <f>E7*F7</f>
        <v>14.589617756799999</v>
      </c>
      <c r="H7" s="5">
        <f>G7-C7</f>
        <v>0.26961775680000066</v>
      </c>
      <c r="I7" s="20">
        <f>(G7-C7)/C7</f>
        <v>1.8828055642458149E-2</v>
      </c>
      <c r="J7" s="5">
        <f>'2026.06'!$L$138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527F58C8-5EA8-427F-BCD9-16958CA50AAD}"/>
    <hyperlink ref="A6" location="'2026.05'!A1" display="'2026.05'!A1" xr:uid="{6D4DEF2B-5CB6-4D5B-9738-1D70D9D946BA}"/>
    <hyperlink ref="A7" location="'2026.06'!A1" display="'2026.06'!A1" xr:uid="{CE822320-4ABF-4546-9CAD-F6B8A519E0BE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C981-E2F7-411C-A824-E40C468B4CF5}">
  <dimension ref="A1:S31"/>
  <sheetViews>
    <sheetView workbookViewId="0">
      <pane ySplit="13" topLeftCell="A14" activePane="bottomLeft" state="frozen"/>
      <selection activeCell="J36" sqref="J36"/>
      <selection pane="bottomLeft" sqref="A1:A1048576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111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113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'2026.04'!N2</f>
        <v>2026.04</v>
      </c>
      <c r="B5" s="5">
        <f>'2026.04'!B152-'2026.04'!G152</f>
        <v>9.7199999999999989</v>
      </c>
      <c r="C5" s="5">
        <f>B5</f>
        <v>9.7199999999999989</v>
      </c>
      <c r="D5" s="14">
        <f>'2026.04'!D152</f>
        <v>0.56198439999999994</v>
      </c>
      <c r="E5" s="14">
        <f>D5</f>
        <v>0.56198439999999994</v>
      </c>
      <c r="F5" s="5">
        <v>17.79</v>
      </c>
      <c r="G5" s="5">
        <f>E5*F5</f>
        <v>9.9977024759999988</v>
      </c>
      <c r="H5" s="5">
        <f>G5-C5</f>
        <v>0.27770247599999998</v>
      </c>
      <c r="I5" s="20">
        <f>(G5-C5)/C5</f>
        <v>2.8570213580246914E-2</v>
      </c>
      <c r="J5" s="5">
        <f>'2026.04'!L152</f>
        <v>0</v>
      </c>
      <c r="L5" s="3" t="s">
        <v>2</v>
      </c>
      <c r="M5" s="5">
        <f>SUM(B5:B200)</f>
        <v>14.32</v>
      </c>
      <c r="N5" s="5">
        <f>INDEX(G5:G200,MATCH(9.99999999999999E+307,G5:G200))</f>
        <v>14.656654745600001</v>
      </c>
      <c r="O5" s="20">
        <f>INDEX(I5:I200,MATCH(9.99999999999999E+307,I5:I200))</f>
        <v>2.3509409608938592E-2</v>
      </c>
      <c r="P5" s="5">
        <f>N5+S5</f>
        <v>14.656654745600001</v>
      </c>
      <c r="Q5" s="20">
        <f>(P5-M5)/M5</f>
        <v>2.3509409608938592E-2</v>
      </c>
      <c r="R5" s="14">
        <f>SUM(D5:D200)</f>
        <v>0.81789367999999996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'2026.05'!$B$152-'2026.05'!$G$152</f>
        <v>4.05</v>
      </c>
      <c r="C6" s="5">
        <f>C5+B6</f>
        <v>13.77</v>
      </c>
      <c r="D6" s="14">
        <f>'2026.05'!$D$152-'2026.05'!$I$152</f>
        <v>0.22520018</v>
      </c>
      <c r="E6" s="14">
        <f>E5+D6</f>
        <v>0.78718457999999991</v>
      </c>
      <c r="F6" s="5">
        <v>17.95</v>
      </c>
      <c r="G6" s="5">
        <f>E6*F6</f>
        <v>14.129963210999998</v>
      </c>
      <c r="H6" s="5">
        <f>G6-C6</f>
        <v>0.3599632109999984</v>
      </c>
      <c r="I6" s="20">
        <f>(G6-C6)/C6</f>
        <v>2.6141119172113175E-2</v>
      </c>
      <c r="J6" s="5">
        <f>'2026.05'!$L$152</f>
        <v>0</v>
      </c>
    </row>
    <row r="7" spans="1:19" x14ac:dyDescent="0.25">
      <c r="A7" s="62" t="str">
        <f>'2026.06'!$N$2</f>
        <v>2026.06</v>
      </c>
      <c r="B7" s="5">
        <f>'2026.06'!$B$152-'2026.06'!$G$152</f>
        <v>0.55000000000000004</v>
      </c>
      <c r="C7" s="5">
        <f>C6+B7</f>
        <v>14.32</v>
      </c>
      <c r="D7" s="14">
        <f>'2026.06'!$D$152-'2026.06'!$I$152</f>
        <v>3.07091E-2</v>
      </c>
      <c r="E7" s="14">
        <f>E6+D7</f>
        <v>0.81789367999999996</v>
      </c>
      <c r="F7" s="57">
        <v>17.920000000000002</v>
      </c>
      <c r="G7" s="5">
        <f>E7*F7</f>
        <v>14.656654745600001</v>
      </c>
      <c r="H7" s="5">
        <f>G7-C7</f>
        <v>0.33665474560000064</v>
      </c>
      <c r="I7" s="20">
        <f>(G7-C7)/C7</f>
        <v>2.3509409608938592E-2</v>
      </c>
      <c r="J7" s="5">
        <f>'2026.06'!$L$152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CB5CFE84-277E-4735-8E1D-01EE085D471A}"/>
    <hyperlink ref="A6" location="'2026.05'!A1" display="'2026.05'!A1" xr:uid="{DD32825E-7384-44B7-B39F-020FFD48803A}"/>
    <hyperlink ref="A7" location="'2026.06'!A1" display="'2026.06'!A1" xr:uid="{3555B999-ECAA-419B-BE1D-93E79189A48B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9707-EDDB-4425-8080-63BE3D6AA060}">
  <dimension ref="A1:S31"/>
  <sheetViews>
    <sheetView workbookViewId="0">
      <pane ySplit="13" topLeftCell="A14" activePane="bottomLeft" state="frozen"/>
      <selection activeCell="J36" sqref="J36"/>
      <selection pane="bottomLeft" sqref="A1:A1048576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114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115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'2026.04'!N2</f>
        <v>2026.04</v>
      </c>
      <c r="B5" s="5">
        <f>'2026.04'!B166-'2026.04'!G166</f>
        <v>39.06</v>
      </c>
      <c r="C5" s="5">
        <f>B5</f>
        <v>39.06</v>
      </c>
      <c r="D5" s="14">
        <f>'2026.04'!D166-'2026.04'!I166</f>
        <v>2.1715425000000002</v>
      </c>
      <c r="E5" s="14">
        <f>D5</f>
        <v>2.1715425000000002</v>
      </c>
      <c r="F5" s="5">
        <v>17.95</v>
      </c>
      <c r="G5" s="5">
        <f>E5*F5</f>
        <v>38.979187875000001</v>
      </c>
      <c r="H5" s="5">
        <f>G5-C5</f>
        <v>-8.0812125000001345E-2</v>
      </c>
      <c r="I5" s="20">
        <f>(G5-C5)/C5</f>
        <v>-2.0689228110599422E-3</v>
      </c>
      <c r="J5" s="5">
        <f>'2026.04'!$L$166</f>
        <v>0</v>
      </c>
      <c r="L5" s="3" t="s">
        <v>2</v>
      </c>
      <c r="M5" s="5">
        <f>SUM(B5:B200)</f>
        <v>31.540000000000003</v>
      </c>
      <c r="N5" s="5">
        <f>INDEX(G5:G200,MATCH(9.99999999999999E+307,G5:G200))</f>
        <v>31.787911601000008</v>
      </c>
      <c r="O5" s="20">
        <f>INDEX(I5:I200,MATCH(9.99999999999999E+307,I5:I200))</f>
        <v>7.8602283132531876E-3</v>
      </c>
      <c r="P5" s="5">
        <f>N5+S5</f>
        <v>31.787911601000008</v>
      </c>
      <c r="Q5" s="20">
        <f>(P5-M5)/M5</f>
        <v>7.8602283132531876E-3</v>
      </c>
      <c r="R5" s="14">
        <f>SUM(D5:D200)</f>
        <v>1.7562382100000002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'2026.05'!$B$166-'2026.05'!$G$166</f>
        <v>-8.64</v>
      </c>
      <c r="C6" s="5">
        <f>C5+B6</f>
        <v>30.42</v>
      </c>
      <c r="D6" s="14">
        <f>'2026.05'!$D$166-'2026.05'!$I$166</f>
        <v>-0.47721694999999997</v>
      </c>
      <c r="E6" s="14">
        <f>E5+D6</f>
        <v>1.6943255500000003</v>
      </c>
      <c r="F6" s="5">
        <v>18.13</v>
      </c>
      <c r="G6" s="5">
        <f>E6*F6</f>
        <v>30.718122221500003</v>
      </c>
      <c r="H6" s="5">
        <f>G6-C6</f>
        <v>0.29812222150000167</v>
      </c>
      <c r="I6" s="20">
        <f>(G6-C6)/C6</f>
        <v>9.8002045200526518E-3</v>
      </c>
      <c r="J6" s="5">
        <f>'2026.05'!$L$166</f>
        <v>0</v>
      </c>
    </row>
    <row r="7" spans="1:19" x14ac:dyDescent="0.25">
      <c r="A7" s="62" t="str">
        <f>'2026.06'!$N$2</f>
        <v>2026.06</v>
      </c>
      <c r="B7" s="5">
        <f>'2026.06'!$B$166-'2026.06'!$G$166</f>
        <v>1.1200000000000001</v>
      </c>
      <c r="C7" s="5">
        <f>C6+B7</f>
        <v>31.540000000000003</v>
      </c>
      <c r="D7" s="14">
        <f>'2026.06'!$D$166-'2026.06'!$I$166</f>
        <v>6.1912660000000001E-2</v>
      </c>
      <c r="E7" s="14">
        <f>E6+D7</f>
        <v>1.7562382100000002</v>
      </c>
      <c r="F7" s="57">
        <v>18.100000000000001</v>
      </c>
      <c r="G7" s="5">
        <f>E7*F7</f>
        <v>31.787911601000008</v>
      </c>
      <c r="H7" s="5">
        <f>G7-C7</f>
        <v>0.24791160100000553</v>
      </c>
      <c r="I7" s="20">
        <f>(G7-C7)/C7</f>
        <v>7.8602283132531876E-3</v>
      </c>
      <c r="J7" s="5">
        <f>'2026.06'!$L$166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360F60A0-3790-487D-B713-673AE602B2F4}"/>
    <hyperlink ref="A6" location="'2026.05'!A1" display="'2026.05'!A1" xr:uid="{2CAEE573-DC23-4392-A057-64A63379160A}"/>
    <hyperlink ref="A7" location="'2026.06'!A1" display="'2026.06'!A1" xr:uid="{34E2C066-3AD6-41B0-AF5B-4EDFB0588A8B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F1DF-D997-4F93-B178-D370FA5A20DD}">
  <dimension ref="A1:S31"/>
  <sheetViews>
    <sheetView workbookViewId="0">
      <pane ySplit="13" topLeftCell="A14" activePane="bottomLeft" state="frozen"/>
      <selection activeCell="J36" sqref="J36"/>
      <selection pane="bottomLeft" sqref="A1:A1048576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149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151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'2026.05'!$N$2</f>
        <v>2026.05</v>
      </c>
      <c r="B5" s="5">
        <f>'2026.05'!$B$404-'2026.05'!$G$404</f>
        <v>3.53</v>
      </c>
      <c r="C5" s="5">
        <f>B5</f>
        <v>3.53</v>
      </c>
      <c r="D5" s="14">
        <f>'2026.05'!$D$404-'2026.05'!$I$404</f>
        <v>1.8041499999999999E-2</v>
      </c>
      <c r="E5" s="14">
        <f>D5</f>
        <v>1.8041499999999999E-2</v>
      </c>
      <c r="F5" s="5">
        <v>195.11</v>
      </c>
      <c r="G5" s="5">
        <f>E5*F5</f>
        <v>3.5200770650000002</v>
      </c>
      <c r="H5" s="5">
        <f>G5-C5</f>
        <v>-9.922934999999633E-3</v>
      </c>
      <c r="I5" s="20">
        <f>(G5-C5)/C5</f>
        <v>-2.8110297450423889E-3</v>
      </c>
      <c r="J5" s="5">
        <f>'2026.06'!$L$404</f>
        <v>0</v>
      </c>
      <c r="L5" s="3" t="s">
        <v>2</v>
      </c>
      <c r="M5" s="5">
        <f>SUM(B5:B200)</f>
        <v>3.53</v>
      </c>
      <c r="N5" s="5">
        <f>INDEX(G5:G200,MATCH(9.99999999999999E+307,G5:G200))</f>
        <v>3.74000295</v>
      </c>
      <c r="O5" s="20">
        <f>INDEX(I5:I200,MATCH(9.99999999999999E+307,I5:I200))</f>
        <v>5.9490920679886761E-2</v>
      </c>
      <c r="P5" s="5">
        <f>N5+S5</f>
        <v>3.74000295</v>
      </c>
      <c r="Q5" s="20">
        <f>(P5-M5)/M5</f>
        <v>5.9490920679886761E-2</v>
      </c>
      <c r="R5" s="14">
        <f>SUM(D5:D200)</f>
        <v>1.8041499999999999E-2</v>
      </c>
      <c r="S5" s="5">
        <f>SUM(J5:J200)</f>
        <v>0</v>
      </c>
    </row>
    <row r="6" spans="1:19" x14ac:dyDescent="0.25">
      <c r="A6" s="62" t="str">
        <f>'2026.06'!$N$2</f>
        <v>2026.06</v>
      </c>
      <c r="B6" s="5">
        <f>'2026.06'!$B$404-'2026.06'!$G$404</f>
        <v>0</v>
      </c>
      <c r="C6" s="5">
        <f>C5+B6</f>
        <v>3.53</v>
      </c>
      <c r="D6" s="14">
        <f>'2026.06'!$D$404-'2026.06'!$I$404</f>
        <v>0</v>
      </c>
      <c r="E6" s="14">
        <f>E5+D6</f>
        <v>1.8041499999999999E-2</v>
      </c>
      <c r="F6" s="57">
        <v>207.3</v>
      </c>
      <c r="G6" s="5">
        <f>E6*F6</f>
        <v>3.74000295</v>
      </c>
      <c r="H6" s="5">
        <f>G6-C6</f>
        <v>0.21000295000000024</v>
      </c>
      <c r="I6" s="20">
        <f>(G6-C6)/C6</f>
        <v>5.9490920679886761E-2</v>
      </c>
      <c r="J6" s="5">
        <f>'2026.06'!$L$404</f>
        <v>0</v>
      </c>
    </row>
    <row r="7" spans="1:19" x14ac:dyDescent="0.25">
      <c r="A7" s="6"/>
      <c r="B7" s="5"/>
      <c r="C7" s="5"/>
      <c r="D7" s="14"/>
      <c r="E7" s="14"/>
      <c r="F7" s="5"/>
      <c r="G7" s="5"/>
      <c r="H7" s="5"/>
      <c r="I7" s="20"/>
      <c r="J7" s="5"/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M3:M4"/>
    <mergeCell ref="N3:O3"/>
    <mergeCell ref="P3:Q3"/>
    <mergeCell ref="R3:R4"/>
    <mergeCell ref="S3:S4"/>
    <mergeCell ref="L3:L4"/>
    <mergeCell ref="A3:A4"/>
    <mergeCell ref="B3:C3"/>
    <mergeCell ref="D3:E3"/>
    <mergeCell ref="F3:I3"/>
    <mergeCell ref="J3:J4"/>
  </mergeCells>
  <hyperlinks>
    <hyperlink ref="A5" location="'2026.05'!A1" display="'2026.05'!A1" xr:uid="{048751A1-6D04-47A0-B4BC-66C03322A236}"/>
    <hyperlink ref="A6" location="'2026.06'!A1" display="'2026.06'!A1" xr:uid="{DFF32CAA-E8AF-4BE8-B733-5541DC980946}"/>
  </hyperlinks>
  <pageMargins left="0.7" right="0.7" top="0.75" bottom="0.75" header="0.3" footer="0.3"/>
  <pageSetup orientation="portrait" r:id="rId1"/>
  <ignoredErrors>
    <ignoredError sqref="D5:D6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6B6C-B2D1-4E0A-A67D-5CE43434192E}">
  <dimension ref="A1:S31"/>
  <sheetViews>
    <sheetView workbookViewId="0">
      <pane ySplit="13" topLeftCell="A14" activePane="bottomLeft" state="frozen"/>
      <selection activeCell="J36" sqref="J36"/>
      <selection pane="bottomLeft" sqref="A1:A1048576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116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117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'2026.04'!$B$180-'2026.04'!$G$180</f>
        <v>6.4099999999999993</v>
      </c>
      <c r="C5" s="5">
        <f>B5</f>
        <v>6.4099999999999993</v>
      </c>
      <c r="D5" s="14">
        <f>'2026.04'!$D$180-'2026.04'!$I$180</f>
        <v>1.3148588400000001</v>
      </c>
      <c r="E5" s="14">
        <f>D5</f>
        <v>1.3148588400000001</v>
      </c>
      <c r="F5" s="5">
        <v>4.8099999999999996</v>
      </c>
      <c r="G5" s="5">
        <f>E5*F5</f>
        <v>6.3244710203999999</v>
      </c>
      <c r="H5" s="5">
        <f>G5-C5</f>
        <v>-8.5528979599999388E-2</v>
      </c>
      <c r="I5" s="20">
        <f>(G5-C5)/C5</f>
        <v>-1.3343054539781497E-2</v>
      </c>
      <c r="J5" s="5">
        <f>'2026.04'!$L$180</f>
        <v>0</v>
      </c>
      <c r="L5" s="3" t="s">
        <v>2</v>
      </c>
      <c r="M5" s="5">
        <f>SUM(B5:B200)</f>
        <v>9.82</v>
      </c>
      <c r="N5" s="5">
        <f>INDEX(G5:G200,MATCH(9.99999999999999E+307,G5:G200))</f>
        <v>9.7937801408000009</v>
      </c>
      <c r="O5" s="20">
        <f>INDEX(I5:I200,MATCH(9.99999999999999E+307,I5:I200))</f>
        <v>-2.6700467617107294E-3</v>
      </c>
      <c r="P5" s="5">
        <f>N5+S5</f>
        <v>9.7937801408000009</v>
      </c>
      <c r="Q5" s="20">
        <f>(P5-M5)/M5</f>
        <v>-2.6700467617107294E-3</v>
      </c>
      <c r="R5" s="14">
        <f>SUM(D5:D200)</f>
        <v>2.0069221600000002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'2026.05'!$B$180-'2026.05'!$G$180</f>
        <v>3.03</v>
      </c>
      <c r="C6" s="5">
        <f>C5+B6</f>
        <v>9.44</v>
      </c>
      <c r="D6" s="14">
        <f>'2026.05'!$D$180-'2026.05'!$I$180</f>
        <v>0.61480398999999997</v>
      </c>
      <c r="E6" s="14">
        <f>E5+D6</f>
        <v>1.9296628300000001</v>
      </c>
      <c r="F6" s="5">
        <v>4.87</v>
      </c>
      <c r="G6" s="5">
        <f>E6*F6</f>
        <v>9.3974579821000006</v>
      </c>
      <c r="H6" s="5">
        <f>G6-C6</f>
        <v>-4.2542017899998896E-2</v>
      </c>
      <c r="I6" s="20">
        <f>(G6-C6)/C6</f>
        <v>-4.5065696927964931E-3</v>
      </c>
      <c r="J6" s="5">
        <f>'2026.05'!$L$180</f>
        <v>0</v>
      </c>
    </row>
    <row r="7" spans="1:19" x14ac:dyDescent="0.25">
      <c r="A7" s="62" t="str">
        <f>'2026.06'!$N$2</f>
        <v>2026.06</v>
      </c>
      <c r="B7" s="5">
        <f>'2026.06'!$B$180-'2026.06'!$G$180</f>
        <v>0.38</v>
      </c>
      <c r="C7" s="5">
        <f>C6+B7</f>
        <v>9.82</v>
      </c>
      <c r="D7" s="14">
        <f>'2026.06'!$D$180-'2026.06'!$I$180</f>
        <v>7.7259330000000001E-2</v>
      </c>
      <c r="E7" s="14">
        <f>E6+D7</f>
        <v>2.0069221600000002</v>
      </c>
      <c r="F7" s="57">
        <v>4.88</v>
      </c>
      <c r="G7" s="5">
        <f>E7*F7</f>
        <v>9.7937801408000009</v>
      </c>
      <c r="H7" s="5">
        <f>G7-C7</f>
        <v>-2.6219859199999362E-2</v>
      </c>
      <c r="I7" s="20">
        <f>(G7-C7)/C7</f>
        <v>-2.6700467617107294E-3</v>
      </c>
      <c r="J7" s="5">
        <f>'2026.06'!$L$180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0E5A904E-00A0-4028-8E9D-18D73195EB85}"/>
    <hyperlink ref="A6" location="'2026.05'!A1" display="'2026.05'!A1" xr:uid="{9AF555E4-53F6-4DDE-8F23-3DA90CEF0373}"/>
    <hyperlink ref="A7" location="'2026.06'!A1" display="'2026.06'!A1" xr:uid="{C0E0363D-4949-4437-AC4C-AE17AC442AAF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9DDE-34F9-4F58-8176-9FA5DB86DDF2}">
  <dimension ref="A1:S31"/>
  <sheetViews>
    <sheetView workbookViewId="0">
      <pane ySplit="13" topLeftCell="A14" activePane="bottomLeft" state="frozen"/>
      <selection activeCell="J36" sqref="J36"/>
      <selection pane="bottomLeft" sqref="A1:A1048576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118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119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'2026.04'!$B$194-'2026.04'!$G$194</f>
        <v>9.379999999999999</v>
      </c>
      <c r="C5" s="5">
        <f>B5</f>
        <v>9.379999999999999</v>
      </c>
      <c r="D5" s="14">
        <f>'2026.04'!$D$194-'2026.04'!$I$194</f>
        <v>0.43382335999999999</v>
      </c>
      <c r="E5" s="14">
        <f>D5</f>
        <v>0.43382335999999999</v>
      </c>
      <c r="F5" s="5">
        <v>21.53</v>
      </c>
      <c r="G5" s="5">
        <f>E5*F5</f>
        <v>9.3402169407999995</v>
      </c>
      <c r="H5" s="5">
        <f>G5-C5</f>
        <v>-3.9783059199999471E-2</v>
      </c>
      <c r="I5" s="20">
        <f>(G5-C5)/C5</f>
        <v>-4.2412643070361914E-3</v>
      </c>
      <c r="J5" s="5">
        <f>'2026.04'!$L$194</f>
        <v>0</v>
      </c>
      <c r="L5" s="3" t="s">
        <v>2</v>
      </c>
      <c r="M5" s="5">
        <f>SUM(B5:B200)</f>
        <v>15.139999999999999</v>
      </c>
      <c r="N5" s="5">
        <f>INDEX(G5:G200,MATCH(9.99999999999999E+307,G5:G200))</f>
        <v>14.648683132800002</v>
      </c>
      <c r="O5" s="20">
        <f>INDEX(I5:I200,MATCH(9.99999999999999E+307,I5:I200))</f>
        <v>-3.2451576433289074E-2</v>
      </c>
      <c r="P5" s="5">
        <f>N5+S5</f>
        <v>14.648683132800002</v>
      </c>
      <c r="Q5" s="20">
        <f>(P5-M5)/M5</f>
        <v>-3.2451576433289074E-2</v>
      </c>
      <c r="R5" s="14">
        <f>SUM(D5:D200)</f>
        <v>0.70972302000000009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'2026.05'!$B$194-'2026.05'!$G$194</f>
        <v>5.13</v>
      </c>
      <c r="C6" s="5">
        <f>C5+B6</f>
        <v>14.509999999999998</v>
      </c>
      <c r="D6" s="14">
        <f>'2026.05'!$D$194-'2026.05'!$I$194</f>
        <v>0.24524273000000002</v>
      </c>
      <c r="E6" s="14">
        <f>E5+D6</f>
        <v>0.67906609000000007</v>
      </c>
      <c r="F6" s="5">
        <v>20.5</v>
      </c>
      <c r="G6" s="5">
        <f>E6*F6</f>
        <v>13.920854845000001</v>
      </c>
      <c r="H6" s="5">
        <f>G6-C6</f>
        <v>-0.58914515499999709</v>
      </c>
      <c r="I6" s="20">
        <f>(G6-C6)/C6</f>
        <v>-4.060269848380408E-2</v>
      </c>
      <c r="J6" s="5">
        <f>'2026.05'!$L$194</f>
        <v>0</v>
      </c>
    </row>
    <row r="7" spans="1:19" x14ac:dyDescent="0.25">
      <c r="A7" s="62" t="str">
        <f>'2026.06'!$N$2</f>
        <v>2026.06</v>
      </c>
      <c r="B7" s="5">
        <f>'2026.06'!$B$194-'2026.06'!$G$194</f>
        <v>0.63</v>
      </c>
      <c r="C7" s="5">
        <f>C6+B7</f>
        <v>15.139999999999999</v>
      </c>
      <c r="D7" s="14">
        <f>'2026.06'!$D$194-'2026.06'!$I$194</f>
        <v>3.0656929999999999E-2</v>
      </c>
      <c r="E7" s="14">
        <f>E6+D7</f>
        <v>0.70972302000000009</v>
      </c>
      <c r="F7" s="57">
        <v>20.64</v>
      </c>
      <c r="G7" s="5">
        <f>E7*F7</f>
        <v>14.648683132800002</v>
      </c>
      <c r="H7" s="5">
        <f>G7-C7</f>
        <v>-0.49131686719999657</v>
      </c>
      <c r="I7" s="20">
        <f>(G7-C7)/C7</f>
        <v>-3.2451576433289074E-2</v>
      </c>
      <c r="J7" s="5">
        <f>'2026.06'!$L$194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9F261B48-9618-4FB6-9495-924268C27935}"/>
    <hyperlink ref="A6" location="'2026.05'!A1" display="'2026.05'!A1" xr:uid="{A09234AB-DDDA-4A0D-B77C-4E780AF14CFC}"/>
    <hyperlink ref="A7" location="'2026.06'!A1" display="'2026.06'!A1" xr:uid="{6AA1DF27-1BFF-42BE-8DCB-002AD1A17FB8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F8E2-E518-422D-ABC6-D66B31AF4AA6}">
  <dimension ref="A1:S31"/>
  <sheetViews>
    <sheetView workbookViewId="0">
      <pane ySplit="13" topLeftCell="A14" activePane="bottomLeft" state="frozen"/>
      <selection activeCell="J36" sqref="J36"/>
      <selection pane="bottomLeft" sqref="A1:A1048576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120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121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'2026.04'!$B$208-'2026.04'!$G$208</f>
        <v>62.070000000000007</v>
      </c>
      <c r="C5" s="5">
        <f>B5</f>
        <v>62.070000000000007</v>
      </c>
      <c r="D5" s="14">
        <f>'2026.04'!$D$208-'2026.04'!$I$208</f>
        <v>0.33706518999999996</v>
      </c>
      <c r="E5" s="14">
        <f>D5</f>
        <v>0.33706518999999996</v>
      </c>
      <c r="F5" s="5">
        <v>199.37</v>
      </c>
      <c r="G5" s="5">
        <f>E5*F5</f>
        <v>67.200686930299995</v>
      </c>
      <c r="H5" s="5">
        <f>G5-C5</f>
        <v>5.1306869302999871</v>
      </c>
      <c r="I5" s="20">
        <f>(G5-C5)/C5</f>
        <v>8.2659689548896187E-2</v>
      </c>
      <c r="J5" s="5">
        <f>'2026.04'!$L$208</f>
        <v>0</v>
      </c>
      <c r="L5" s="3" t="s">
        <v>2</v>
      </c>
      <c r="M5" s="5">
        <f>SUM(B5:B200)</f>
        <v>74.460000000000008</v>
      </c>
      <c r="N5" s="5">
        <f>INDEX(G5:G200,MATCH(9.99999999999999E+307,G5:G200))</f>
        <v>83.179497455599986</v>
      </c>
      <c r="O5" s="20">
        <f>INDEX(I5:I200,MATCH(9.99999999999999E+307,I5:I200))</f>
        <v>0.11710310845554629</v>
      </c>
      <c r="P5" s="5">
        <f>N5+S5</f>
        <v>83.179497455599986</v>
      </c>
      <c r="Q5" s="20">
        <f>(P5-M5)/M5</f>
        <v>0.11710310845554629</v>
      </c>
      <c r="R5" s="14">
        <f>SUM(D5:D200)</f>
        <v>0.39622491999999992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'2026.05'!$B$208-'2026.05'!$G$208</f>
        <v>10.1</v>
      </c>
      <c r="C6" s="5">
        <f>C5+B6</f>
        <v>72.17</v>
      </c>
      <c r="D6" s="14">
        <f>'2026.05'!$D$208-'2026.05'!$I$208</f>
        <v>4.8244570000000001E-2</v>
      </c>
      <c r="E6" s="14">
        <f>E5+D6</f>
        <v>0.38530975999999995</v>
      </c>
      <c r="F6" s="5">
        <v>209.52</v>
      </c>
      <c r="G6" s="5">
        <f>E6*F6</f>
        <v>80.730100915199998</v>
      </c>
      <c r="H6" s="5">
        <f>G6-C6</f>
        <v>8.5601009151999961</v>
      </c>
      <c r="I6" s="20">
        <f>(G6-C6)/C6</f>
        <v>0.11861023853678808</v>
      </c>
      <c r="J6" s="5">
        <f>'2026.05'!$L$208</f>
        <v>0</v>
      </c>
    </row>
    <row r="7" spans="1:19" x14ac:dyDescent="0.25">
      <c r="A7" s="62" t="str">
        <f>'2026.06'!$N$2</f>
        <v>2026.06</v>
      </c>
      <c r="B7" s="5">
        <f>'2026.06'!$B$208-'2026.06'!$G$208</f>
        <v>2.29</v>
      </c>
      <c r="C7" s="5">
        <f>C6+B7</f>
        <v>74.460000000000008</v>
      </c>
      <c r="D7" s="14">
        <f>'2026.06'!$D$208-'2026.06'!$I$208</f>
        <v>1.091516E-2</v>
      </c>
      <c r="E7" s="14">
        <f>E6+D7</f>
        <v>0.39622491999999992</v>
      </c>
      <c r="F7" s="57">
        <v>209.93</v>
      </c>
      <c r="G7" s="5">
        <f>E7*F7</f>
        <v>83.179497455599986</v>
      </c>
      <c r="H7" s="5">
        <f>G7-C7</f>
        <v>8.7194974555999778</v>
      </c>
      <c r="I7" s="20">
        <f>(G7-C7)/C7</f>
        <v>0.11710310845554629</v>
      </c>
      <c r="J7" s="5">
        <f>'2026.06'!$L$208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5DAA47A5-5995-4ED0-875C-D801B59798B5}"/>
    <hyperlink ref="A6" location="'2026.05'!A1" display="'2026.05'!A1" xr:uid="{82655385-4B55-4BC6-B523-FD611D04FC13}"/>
    <hyperlink ref="A7" location="'2026.06'!A1" display="'2026.06'!A1" xr:uid="{D774D172-F5F7-40C3-AA94-2DA31AA2D5EA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B406-10C3-4282-A2B4-8D5982F6D3E3}">
  <dimension ref="A1:S31"/>
  <sheetViews>
    <sheetView workbookViewId="0">
      <pane ySplit="13" topLeftCell="A14" activePane="bottomLeft" state="frozen"/>
      <selection activeCell="J36" sqref="J36"/>
      <selection pane="bottomLeft" sqref="A1:A1048576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150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152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'2026.05'!$N$2</f>
        <v>2026.05</v>
      </c>
      <c r="B5" s="5">
        <f>'2026.05'!$B$418-'2026.05'!$G$418</f>
        <v>9.42</v>
      </c>
      <c r="C5" s="5">
        <f>B5</f>
        <v>9.42</v>
      </c>
      <c r="D5" s="14">
        <f>'2026.05'!$D$418-'2026.05'!$I$418</f>
        <v>0.25713325999999997</v>
      </c>
      <c r="E5" s="14">
        <f>D5</f>
        <v>0.25713325999999997</v>
      </c>
      <c r="F5" s="5">
        <v>36.44</v>
      </c>
      <c r="G5" s="5">
        <f>E5*F5</f>
        <v>9.3699359943999987</v>
      </c>
      <c r="H5" s="5">
        <f>G5-C5</f>
        <v>-5.0064005600001238E-2</v>
      </c>
      <c r="I5" s="20">
        <f>(G5-C5)/C5</f>
        <v>-5.3146502760086237E-3</v>
      </c>
      <c r="J5" s="5">
        <f>'2026.05'!$L$418</f>
        <v>0</v>
      </c>
      <c r="L5" s="3" t="s">
        <v>2</v>
      </c>
      <c r="M5" s="5">
        <f>SUM(B5:B200)</f>
        <v>9.7099999999999991</v>
      </c>
      <c r="N5" s="5">
        <f>INDEX(G5:G200,MATCH(9.99999999999999E+307,G5:G200))</f>
        <v>9.7993379657999977</v>
      </c>
      <c r="O5" s="20">
        <f>INDEX(I5:I200,MATCH(9.99999999999999E+307,I5:I200))</f>
        <v>9.2006143975281816E-3</v>
      </c>
      <c r="P5" s="5">
        <f>N5+S5</f>
        <v>9.7993379657999977</v>
      </c>
      <c r="Q5" s="20">
        <f>(P5-M5)/M5</f>
        <v>9.2006143975281816E-3</v>
      </c>
      <c r="R5" s="14">
        <f>SUM(D5:D200)</f>
        <v>0.26499020999999995</v>
      </c>
      <c r="S5" s="5">
        <f>SUM(J5:J200)</f>
        <v>0</v>
      </c>
    </row>
    <row r="6" spans="1:19" x14ac:dyDescent="0.25">
      <c r="A6" s="62" t="str">
        <f>'2026.06'!$N$2</f>
        <v>2026.06</v>
      </c>
      <c r="B6" s="5">
        <f>'2026.06'!$B$418-'2026.06'!$G$418</f>
        <v>0.28999999999999998</v>
      </c>
      <c r="C6" s="5">
        <f>C5+B6</f>
        <v>9.7099999999999991</v>
      </c>
      <c r="D6" s="14">
        <f>'2026.06'!$D$418-'2026.06'!$I$418</f>
        <v>7.8569499999999997E-3</v>
      </c>
      <c r="E6" s="14">
        <f>E5+D6</f>
        <v>0.26499020999999995</v>
      </c>
      <c r="F6" s="57">
        <v>36.979999999999997</v>
      </c>
      <c r="G6" s="5">
        <f>E6*F6</f>
        <v>9.7993379657999977</v>
      </c>
      <c r="H6" s="5">
        <f>G6-C6</f>
        <v>8.9337965799998642E-2</v>
      </c>
      <c r="I6" s="20">
        <f>(G6-C6)/C6</f>
        <v>9.2006143975281816E-3</v>
      </c>
      <c r="J6" s="5">
        <f>'2026.06'!$L$418</f>
        <v>0</v>
      </c>
    </row>
    <row r="7" spans="1:19" x14ac:dyDescent="0.25">
      <c r="A7" s="6"/>
      <c r="B7" s="5"/>
      <c r="C7" s="5"/>
      <c r="D7" s="14"/>
      <c r="E7" s="14"/>
      <c r="F7" s="5"/>
      <c r="G7" s="5"/>
      <c r="H7" s="5"/>
      <c r="I7" s="20"/>
      <c r="J7" s="5"/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M3:M4"/>
    <mergeCell ref="N3:O3"/>
    <mergeCell ref="P3:Q3"/>
    <mergeCell ref="R3:R4"/>
    <mergeCell ref="S3:S4"/>
    <mergeCell ref="L3:L4"/>
    <mergeCell ref="A3:A4"/>
    <mergeCell ref="B3:C3"/>
    <mergeCell ref="D3:E3"/>
    <mergeCell ref="F3:I3"/>
    <mergeCell ref="J3:J4"/>
  </mergeCells>
  <hyperlinks>
    <hyperlink ref="A5" location="'2026.05'!A1" display="'2026.05'!A1" xr:uid="{C35D1D66-ADFB-46F5-B74F-11A9176C1E9D}"/>
    <hyperlink ref="A6" location="'2026.06'!A1" display="'2026.06'!A1" xr:uid="{E6825258-0B5F-4392-A1CF-60657C5CC48B}"/>
  </hyperlinks>
  <pageMargins left="0.7" right="0.7" top="0.75" bottom="0.75" header="0.3" footer="0.3"/>
  <pageSetup orientation="portrait" r:id="rId1"/>
  <ignoredErrors>
    <ignoredError sqref="D5:D6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EAFE-1509-4EAB-9725-0B8A0F674F6D}">
  <dimension ref="A1:S31"/>
  <sheetViews>
    <sheetView workbookViewId="0">
      <pane ySplit="13" topLeftCell="A14" activePane="bottomLeft" state="frozen"/>
      <selection activeCell="J36" sqref="J36"/>
      <selection pane="bottomLeft" sqref="A1:A1048576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122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124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'2026.04'!$B$222-'2026.04'!$G$222</f>
        <v>17.34</v>
      </c>
      <c r="C5" s="5">
        <f>B5</f>
        <v>17.34</v>
      </c>
      <c r="D5" s="14">
        <f>'2026.04'!$D$222-'2026.04'!$I$222</f>
        <v>0.52293969000000007</v>
      </c>
      <c r="E5" s="14">
        <f>D5</f>
        <v>0.52293969000000007</v>
      </c>
      <c r="F5" s="5">
        <v>33.75</v>
      </c>
      <c r="G5" s="5">
        <f>E5*F5</f>
        <v>17.649214537500001</v>
      </c>
      <c r="H5" s="5">
        <f>G5-C5</f>
        <v>0.30921453750000083</v>
      </c>
      <c r="I5" s="20">
        <f>(G5-C5)/C5</f>
        <v>1.7832441608996587E-2</v>
      </c>
      <c r="J5" s="5">
        <f>'2026.04'!$L$222</f>
        <v>0</v>
      </c>
      <c r="L5" s="3" t="s">
        <v>2</v>
      </c>
      <c r="M5" s="5">
        <f>SUM(B5:B200)</f>
        <v>18.37</v>
      </c>
      <c r="N5" s="5">
        <f>INDEX(G5:G200,MATCH(9.99999999999999E+307,G5:G200))</f>
        <v>19.500789196000003</v>
      </c>
      <c r="O5" s="20">
        <f>INDEX(I5:I200,MATCH(9.99999999999999E+307,I5:I200))</f>
        <v>6.1556298094719762E-2</v>
      </c>
      <c r="P5" s="5">
        <f>N5+S5</f>
        <v>19.500789196000003</v>
      </c>
      <c r="Q5" s="20">
        <f>(P5-M5)/M5</f>
        <v>6.1556298094719762E-2</v>
      </c>
      <c r="R5" s="14">
        <f>SUM(D5:D200)</f>
        <v>0.55196120000000015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'2026.05'!$B$222-'2026.05'!$G$222</f>
        <v>0.5</v>
      </c>
      <c r="C6" s="5">
        <f>C5+B6</f>
        <v>17.84</v>
      </c>
      <c r="D6" s="14">
        <f>'2026.05'!$D$222-'2026.05'!$I$222</f>
        <v>1.4037060000000001E-2</v>
      </c>
      <c r="E6" s="14">
        <f>E5+D6</f>
        <v>0.53697675000000011</v>
      </c>
      <c r="F6" s="5">
        <v>35.380000000000003</v>
      </c>
      <c r="G6" s="5">
        <f>E6*F6</f>
        <v>18.998237415000006</v>
      </c>
      <c r="H6" s="5">
        <f>G6-C6</f>
        <v>1.1582374150000057</v>
      </c>
      <c r="I6" s="20">
        <f>(G6-C6)/C6</f>
        <v>6.492362191704068E-2</v>
      </c>
      <c r="J6" s="5">
        <f>'2026.05'!$L$222</f>
        <v>0</v>
      </c>
    </row>
    <row r="7" spans="1:19" x14ac:dyDescent="0.25">
      <c r="A7" s="62" t="str">
        <f>'2026.06'!$N$2</f>
        <v>2026.06</v>
      </c>
      <c r="B7" s="5">
        <f>'2026.06'!$B$222-'2026.06'!$G$222</f>
        <v>0.53</v>
      </c>
      <c r="C7" s="5">
        <f>C6+B7</f>
        <v>18.37</v>
      </c>
      <c r="D7" s="14">
        <f>'2026.06'!$D$222-'2026.06'!$I$222</f>
        <v>1.498445E-2</v>
      </c>
      <c r="E7" s="14">
        <f>E6+D7</f>
        <v>0.55196120000000015</v>
      </c>
      <c r="F7" s="57">
        <v>35.33</v>
      </c>
      <c r="G7" s="5">
        <f>E7*F7</f>
        <v>19.500789196000003</v>
      </c>
      <c r="H7" s="5">
        <f>G7-C7</f>
        <v>1.1307891960000021</v>
      </c>
      <c r="I7" s="20">
        <f>(G7-C7)/C7</f>
        <v>6.1556298094719762E-2</v>
      </c>
      <c r="J7" s="5">
        <f>'2026.06'!$L$222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D42C1A60-EAA0-442C-9956-9F5212B88B15}"/>
    <hyperlink ref="A6" location="'2025.05'!A1" display="'2025.05'!A1" xr:uid="{6F6C5102-05E9-4C35-AC10-0D47C9312D65}"/>
    <hyperlink ref="A7" location="'2026.06'!A1" display="'2026.06'!A1" xr:uid="{E6CECB73-66EF-4FC7-8E1A-C38C81D9E05A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F34F-2613-4D63-B173-7833AD166E9B}">
  <dimension ref="A1:S31"/>
  <sheetViews>
    <sheetView workbookViewId="0">
      <pane ySplit="13" topLeftCell="A14" activePane="bottomLeft" state="frozen"/>
      <selection activeCell="J36" sqref="J36"/>
      <selection pane="bottomLeft" activeCell="A7" sqref="A7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123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125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'2026.04'!$B$236-'2026.04'!$G$236</f>
        <v>22.950000000000003</v>
      </c>
      <c r="C5" s="5">
        <f>B5</f>
        <v>22.950000000000003</v>
      </c>
      <c r="D5" s="14">
        <f>'2026.04'!$D$236-'2026.04'!$I$236</f>
        <v>0.36169154000000003</v>
      </c>
      <c r="E5" s="14">
        <f>D5</f>
        <v>0.36169154000000003</v>
      </c>
      <c r="F5" s="5">
        <v>69.56</v>
      </c>
      <c r="G5" s="5">
        <f>E5*F5</f>
        <v>25.159263522400003</v>
      </c>
      <c r="H5" s="5">
        <f>G5-C5</f>
        <v>2.2092635224000006</v>
      </c>
      <c r="I5" s="20">
        <f>(G5-C5)/C5</f>
        <v>9.6264205769063194E-2</v>
      </c>
      <c r="J5" s="5">
        <f>'2026.04'!$L$236</f>
        <v>0</v>
      </c>
      <c r="L5" s="3" t="s">
        <v>2</v>
      </c>
      <c r="M5" s="5">
        <f>SUM(B5:B200)</f>
        <v>25.770000000000003</v>
      </c>
      <c r="N5" s="5">
        <f>INDEX(G5:G200,MATCH(9.99999999999999E+307,G5:G200))</f>
        <v>30.699282838600002</v>
      </c>
      <c r="O5" s="20">
        <f>INDEX(I5:I200,MATCH(9.99999999999999E+307,I5:I200))</f>
        <v>0.19127989284439265</v>
      </c>
      <c r="P5" s="5">
        <f>N5+S5</f>
        <v>30.699282838600002</v>
      </c>
      <c r="Q5" s="20">
        <f>(P5-M5)/M5</f>
        <v>0.19127989284439265</v>
      </c>
      <c r="R5" s="14">
        <f>SUM(D5:D200)</f>
        <v>0.39884738000000003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'2026.05'!$B$236-'2026.05'!$G$236</f>
        <v>2.54</v>
      </c>
      <c r="C6" s="5">
        <f>C5+B6</f>
        <v>25.490000000000002</v>
      </c>
      <c r="D6" s="14">
        <f>'2026.05'!$D$236-'2026.05'!$I$236</f>
        <v>3.3493330000000002E-2</v>
      </c>
      <c r="E6" s="14">
        <f>E5+D6</f>
        <v>0.39518487000000002</v>
      </c>
      <c r="F6" s="5">
        <v>75.430000000000007</v>
      </c>
      <c r="G6" s="5">
        <f>E6*F6</f>
        <v>29.808794744100005</v>
      </c>
      <c r="H6" s="5">
        <f>G6-C6</f>
        <v>4.3187947441000034</v>
      </c>
      <c r="I6" s="20">
        <f>(G6-C6)/C6</f>
        <v>0.16943094327579455</v>
      </c>
      <c r="J6" s="5">
        <f>'2026.05'!$L$236</f>
        <v>0</v>
      </c>
    </row>
    <row r="7" spans="1:19" x14ac:dyDescent="0.25">
      <c r="A7" s="62" t="str">
        <f>'2026.06'!$N$2</f>
        <v>2026.06</v>
      </c>
      <c r="B7" s="5">
        <f>'2026.06'!$B$236-'2026.06'!$G$236</f>
        <v>0.28000000000000003</v>
      </c>
      <c r="C7" s="5">
        <f>C6+B7</f>
        <v>25.770000000000003</v>
      </c>
      <c r="D7" s="14">
        <f>'2026.06'!$D$236-'2026.06'!$I$236</f>
        <v>3.6625099999999999E-3</v>
      </c>
      <c r="E7" s="14">
        <f>E6+D7</f>
        <v>0.39884738000000003</v>
      </c>
      <c r="F7" s="57">
        <v>76.97</v>
      </c>
      <c r="G7" s="5">
        <f>E7*F7</f>
        <v>30.699282838600002</v>
      </c>
      <c r="H7" s="5">
        <f>G7-C7</f>
        <v>4.9292828385999989</v>
      </c>
      <c r="I7" s="20">
        <f>(G7-C7)/C7</f>
        <v>0.19127989284439265</v>
      </c>
      <c r="J7" s="5">
        <f>'2026.06'!$L$236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3BFA8DF4-3579-4BBC-BC0E-6F919C8BDA22}"/>
    <hyperlink ref="A6" location="'2026.05'!A1" display="'2026.05'!A1" xr:uid="{4393FACB-8794-4906-A2EA-245DDF6BA4E9}"/>
    <hyperlink ref="A7" location="'2026.06'!A1" display="'2026.06'!A1" xr:uid="{1B1D87AB-666B-4D0B-86B7-63F3313D2266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10D7-7E34-4DC9-B1D3-1D7FE2B15E3D}">
  <dimension ref="A1:S31"/>
  <sheetViews>
    <sheetView workbookViewId="0">
      <pane ySplit="13" topLeftCell="A14" activePane="bottomLeft" state="frozen"/>
      <selection activeCell="J36" sqref="J36"/>
      <selection pane="bottomLeft" activeCell="D24" sqref="D24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126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127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'2026.04'!$B$250-'2026.04'!$G$250</f>
        <v>15.62</v>
      </c>
      <c r="C5" s="5">
        <f>B5</f>
        <v>15.62</v>
      </c>
      <c r="D5" s="14">
        <f>'2026.04'!$D$250-'2026.04'!$I$250</f>
        <v>1.5340177699999999</v>
      </c>
      <c r="E5" s="14">
        <f>D5</f>
        <v>1.5340177699999999</v>
      </c>
      <c r="F5" s="5">
        <v>10.220000000000001</v>
      </c>
      <c r="G5" s="5">
        <f>E5*F5</f>
        <v>15.677661609400001</v>
      </c>
      <c r="H5" s="5">
        <f>G5-C5</f>
        <v>5.7661609400001979E-2</v>
      </c>
      <c r="I5" s="20">
        <f>(G5-C5)/C5</f>
        <v>3.6915242893727261E-3</v>
      </c>
      <c r="J5" s="5">
        <f>'2026.04'!$L$250</f>
        <v>0</v>
      </c>
      <c r="L5" s="3" t="s">
        <v>2</v>
      </c>
      <c r="M5" s="5">
        <f>SUM(B5:B200)</f>
        <v>19.36</v>
      </c>
      <c r="N5" s="5">
        <f>INDEX(G5:G200,MATCH(9.99999999999999E+307,G5:G200))</f>
        <v>19.5548535239</v>
      </c>
      <c r="O5" s="20">
        <f>INDEX(I5:I200,MATCH(9.99999999999999E+307,I5:I200))</f>
        <v>1.0064748135330624E-2</v>
      </c>
      <c r="P5" s="5">
        <f>N5+S5</f>
        <v>19.5548535239</v>
      </c>
      <c r="Q5" s="20">
        <f>(P5-M5)/M5</f>
        <v>1.0064748135330624E-2</v>
      </c>
      <c r="R5" s="14">
        <f>SUM(D5:D200)</f>
        <v>1.89301583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'2026.05'!$B$250-'2026.05'!$G$250</f>
        <v>3.0300000000000002</v>
      </c>
      <c r="C6" s="5">
        <f>C5+B6</f>
        <v>18.649999999999999</v>
      </c>
      <c r="D6" s="14">
        <f>'2026.05'!$D$250-'2026.05'!$I$250</f>
        <v>0.29070584999999999</v>
      </c>
      <c r="E6" s="14">
        <f>E5+D6</f>
        <v>1.8247236199999999</v>
      </c>
      <c r="F6" s="5">
        <v>10.34</v>
      </c>
      <c r="G6" s="5">
        <f>E6*F6</f>
        <v>18.867642230799998</v>
      </c>
      <c r="H6" s="5">
        <f>G6-C6</f>
        <v>0.21764223079999923</v>
      </c>
      <c r="I6" s="20">
        <f>(G6-C6)/C6</f>
        <v>1.1669824707774758E-2</v>
      </c>
      <c r="J6" s="5">
        <f>'2026.05'!$L$250</f>
        <v>0</v>
      </c>
    </row>
    <row r="7" spans="1:19" x14ac:dyDescent="0.25">
      <c r="A7" s="62" t="str">
        <f>'2026.06'!$N$2</f>
        <v>2026.06</v>
      </c>
      <c r="B7" s="5">
        <f>'2026.06'!$B$250-'2026.06'!$G$250</f>
        <v>0.71</v>
      </c>
      <c r="C7" s="5">
        <f>C6+B7</f>
        <v>19.36</v>
      </c>
      <c r="D7" s="14">
        <f>'2026.06'!$D$250-'2026.06'!$I$250</f>
        <v>6.8292210000000006E-2</v>
      </c>
      <c r="E7" s="14">
        <f>E6+D7</f>
        <v>1.89301583</v>
      </c>
      <c r="F7" s="57">
        <v>10.33</v>
      </c>
      <c r="G7" s="5">
        <f>E7*F7</f>
        <v>19.5548535239</v>
      </c>
      <c r="H7" s="5">
        <f>G7-C7</f>
        <v>0.19485352390000088</v>
      </c>
      <c r="I7" s="20">
        <f>(G7-C7)/C7</f>
        <v>1.0064748135330624E-2</v>
      </c>
      <c r="J7" s="5">
        <f>'2026.06'!$L$250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83CE7941-2BF1-4183-B2E4-7143DDD825D6}"/>
    <hyperlink ref="A6" location="'2026.05'!A1" display="'2026.05'!A1" xr:uid="{A21F443E-A848-442A-8C3B-F6AD0A156F08}"/>
    <hyperlink ref="A7" location="'2026.06'!A1" display="'2026.06'!A1" xr:uid="{9C2D220B-0F93-4B2F-958E-55A7BC8AA02D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383C-5FF2-4890-8B48-094289D2B1ED}">
  <dimension ref="A1:S31"/>
  <sheetViews>
    <sheetView workbookViewId="0">
      <pane ySplit="13" topLeftCell="A14" activePane="bottomLeft" state="frozen"/>
      <selection activeCell="J36" sqref="J36"/>
      <selection pane="bottomLeft" activeCell="D19" sqref="D19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128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129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'2026.04'!$B$264-'2026.04'!$G$264</f>
        <v>24.74</v>
      </c>
      <c r="C5" s="5">
        <f>B5</f>
        <v>24.74</v>
      </c>
      <c r="D5" s="14">
        <f>'2026.04'!$D$264-'2026.04'!$I$264</f>
        <v>0.38260589</v>
      </c>
      <c r="E5" s="14">
        <f>D5</f>
        <v>0.38260589</v>
      </c>
      <c r="F5" s="5">
        <v>65.239999999999995</v>
      </c>
      <c r="G5" s="5">
        <f>E5*F5</f>
        <v>24.9612082636</v>
      </c>
      <c r="H5" s="5">
        <f>G5-C5</f>
        <v>0.22120826360000123</v>
      </c>
      <c r="I5" s="20">
        <f>(G5-C5)/C5</f>
        <v>8.9413202748585795E-3</v>
      </c>
      <c r="J5" s="5">
        <f>'2026.04'!$L$264</f>
        <v>0</v>
      </c>
      <c r="L5" s="3" t="s">
        <v>2</v>
      </c>
      <c r="M5" s="5">
        <f>SUM(B5:B200)</f>
        <v>31.31</v>
      </c>
      <c r="N5" s="5">
        <f>INDEX(G5:G200,MATCH(9.99999999999999E+307,G5:G200))</f>
        <v>31.780642442399998</v>
      </c>
      <c r="O5" s="20">
        <f>INDEX(I5:I200,MATCH(9.99999999999999E+307,I5:I200))</f>
        <v>1.5031697297987834E-2</v>
      </c>
      <c r="P5" s="5">
        <f>N5+S5</f>
        <v>31.780642442399998</v>
      </c>
      <c r="Q5" s="20">
        <f>(P5-M5)/M5</f>
        <v>1.5031697297987834E-2</v>
      </c>
      <c r="R5" s="14">
        <f>SUM(D5:D200)</f>
        <v>0.48240198000000001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'2026.05'!$B$264-'2026.05'!$G$264</f>
        <v>5.56</v>
      </c>
      <c r="C6" s="5">
        <f>C5+B6</f>
        <v>30.299999999999997</v>
      </c>
      <c r="D6" s="14">
        <f>'2026.05'!$D$264-'2026.05'!$I$264</f>
        <v>8.4472159999999991E-2</v>
      </c>
      <c r="E6" s="14">
        <f>E5+D6</f>
        <v>0.46707805000000002</v>
      </c>
      <c r="F6" s="5">
        <v>65.900000000000006</v>
      </c>
      <c r="G6" s="5">
        <f>E6*F6</f>
        <v>30.780443495000004</v>
      </c>
      <c r="H6" s="5">
        <f>G6-C6</f>
        <v>0.48044349500000649</v>
      </c>
      <c r="I6" s="20">
        <f>(G6-C6)/C6</f>
        <v>1.5856220957095924E-2</v>
      </c>
      <c r="J6" s="5">
        <f>'2026.05'!$L$264</f>
        <v>0</v>
      </c>
    </row>
    <row r="7" spans="1:19" x14ac:dyDescent="0.25">
      <c r="A7" s="62" t="str">
        <f>'2026.06'!$N$2</f>
        <v>2026.06</v>
      </c>
      <c r="B7" s="5">
        <f>'2026.06'!$B$264-'2026.06'!$G$264</f>
        <v>1.01</v>
      </c>
      <c r="C7" s="5">
        <f>C6+B7</f>
        <v>31.31</v>
      </c>
      <c r="D7" s="14">
        <f>'2026.06'!$D$264-'2026.06'!$I$264</f>
        <v>1.5323929999999999E-2</v>
      </c>
      <c r="E7" s="14">
        <f>E6+D7</f>
        <v>0.48240198000000001</v>
      </c>
      <c r="F7" s="57">
        <v>65.88</v>
      </c>
      <c r="G7" s="5">
        <f>E7*F7</f>
        <v>31.780642442399998</v>
      </c>
      <c r="H7" s="5">
        <f>G7-C7</f>
        <v>0.47064244239999908</v>
      </c>
      <c r="I7" s="20">
        <f>(G7-C7)/C7</f>
        <v>1.5031697297987834E-2</v>
      </c>
      <c r="J7" s="5">
        <f>'2026.06'!$L$264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5E770B7F-3B6E-420B-8E57-2E80855726FD}"/>
    <hyperlink ref="A6" location="'2026.05'!A1" display="'2026.05'!A1" xr:uid="{4CA4A6DF-95AC-4B42-B395-B81E633F7D8E}"/>
    <hyperlink ref="A7" location="'2026.06'!A1" display="'2026.06'!A1" xr:uid="{0FD3AC85-0E72-405B-BCBE-BDD6D62E8C8E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0341-397D-4A25-9DA0-6DA64D154043}">
  <dimension ref="A1:S31"/>
  <sheetViews>
    <sheetView workbookViewId="0">
      <pane ySplit="13" topLeftCell="A14" activePane="bottomLeft" state="frozen"/>
      <selection activeCell="J36" sqref="J36"/>
      <selection pane="bottomLeft" activeCell="A7" sqref="A7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131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134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'2026.04'!$B$292-'2026.04'!$G$292</f>
        <v>36.050000000000004</v>
      </c>
      <c r="C5" s="5">
        <f>B5</f>
        <v>36.050000000000004</v>
      </c>
      <c r="D5" s="14">
        <f>'2026.04'!$D$292-'2026.04'!$I$292</f>
        <v>0.42365238999999999</v>
      </c>
      <c r="E5" s="14">
        <f>D5</f>
        <v>0.42365238999999999</v>
      </c>
      <c r="F5" s="5">
        <v>95.13</v>
      </c>
      <c r="G5" s="5">
        <f>E5*F5</f>
        <v>40.302051860699997</v>
      </c>
      <c r="H5" s="5">
        <f>G5-C5</f>
        <v>4.2520518606999929</v>
      </c>
      <c r="I5" s="20">
        <f>(G5-C5)/C5</f>
        <v>0.11794873399999979</v>
      </c>
      <c r="J5" s="5">
        <f>'2026.04'!$L$292</f>
        <v>0</v>
      </c>
      <c r="L5" s="3" t="s">
        <v>2</v>
      </c>
      <c r="M5" s="5">
        <f>SUM(B5:B200)</f>
        <v>39.980000000000004</v>
      </c>
      <c r="N5" s="5">
        <f>INDEX(G5:G200,MATCH(9.99999999999999E+307,G5:G200))</f>
        <v>49.131359955200004</v>
      </c>
      <c r="O5" s="20">
        <f>INDEX(I5:I200,MATCH(9.99999999999999E+307,I5:I200))</f>
        <v>0.22889844810405202</v>
      </c>
      <c r="P5" s="5">
        <f>N5+S5</f>
        <v>49.131359955200004</v>
      </c>
      <c r="Q5" s="20">
        <f>(P5-M5)/M5</f>
        <v>0.22889844810405202</v>
      </c>
      <c r="R5" s="14">
        <f>SUM(D5:D200)</f>
        <v>0.46072168000000002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'2026.05'!$B$292-'2026.05'!$G$292</f>
        <v>2.71</v>
      </c>
      <c r="C6" s="5">
        <f>C5+B6</f>
        <v>38.760000000000005</v>
      </c>
      <c r="D6" s="14">
        <f>'2026.05'!$D$292-'2026.05'!$I$292</f>
        <v>2.5590180000000001E-2</v>
      </c>
      <c r="E6" s="14">
        <f>E5+D6</f>
        <v>0.44924257000000001</v>
      </c>
      <c r="F6" s="5">
        <v>105.82</v>
      </c>
      <c r="G6" s="5">
        <f>E6*F6</f>
        <v>47.538848757399997</v>
      </c>
      <c r="H6" s="5">
        <f>G6-C6</f>
        <v>8.7788487573999916</v>
      </c>
      <c r="I6" s="20">
        <f>(G6-C6)/C6</f>
        <v>0.22649248600103175</v>
      </c>
      <c r="J6" s="5">
        <f>'2026.05'!$L$292</f>
        <v>0</v>
      </c>
    </row>
    <row r="7" spans="1:19" x14ac:dyDescent="0.25">
      <c r="A7" s="62" t="str">
        <f>'2026.06'!$N$2</f>
        <v>2026.06</v>
      </c>
      <c r="B7" s="5">
        <f>'2026.06'!$B$292-'2026.06'!$G$292</f>
        <v>1.22</v>
      </c>
      <c r="C7" s="5">
        <f>C6+B7</f>
        <v>39.980000000000004</v>
      </c>
      <c r="D7" s="14">
        <f>'2026.06'!$D$292-'2026.06'!$I$292</f>
        <v>1.1479110000000001E-2</v>
      </c>
      <c r="E7" s="14">
        <f>E6+D7</f>
        <v>0.46072168000000002</v>
      </c>
      <c r="F7" s="57">
        <v>106.64</v>
      </c>
      <c r="G7" s="5">
        <f>E7*F7</f>
        <v>49.131359955200004</v>
      </c>
      <c r="H7" s="5">
        <f>G7-C7</f>
        <v>9.1513599552000002</v>
      </c>
      <c r="I7" s="20">
        <f>(G7-C7)/C7</f>
        <v>0.22889844810405202</v>
      </c>
      <c r="J7" s="5">
        <f>'2026.06'!$L$292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C3A4B5C1-B856-4CF3-86FE-75990FABCFE9}"/>
    <hyperlink ref="A6" location="'2026.05'!A1" display="'2026.05'!A1" xr:uid="{53763D45-F2F7-4AA0-A036-EA0B968CF4B8}"/>
    <hyperlink ref="A7" location="'2026.06'!A1" display="'2026.06'!A1" xr:uid="{61C980AA-21C7-42E7-A7A9-2C9C573F3142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2F1B-7423-45CC-900D-DF5DC987AD5C}">
  <dimension ref="A1:S31"/>
  <sheetViews>
    <sheetView workbookViewId="0">
      <pane ySplit="13" topLeftCell="A14" activePane="bottomLeft" state="frozen"/>
      <selection activeCell="J36" sqref="J36"/>
      <selection pane="bottomLeft" activeCell="E26" sqref="E26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130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135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'2026.04'!$B$278-'2026.04'!$G$278</f>
        <v>9.69</v>
      </c>
      <c r="C5" s="5">
        <f>B5</f>
        <v>9.69</v>
      </c>
      <c r="D5" s="14">
        <f>'2026.04'!$D$278-'2026.04'!$I$278</f>
        <v>0.61320171000000001</v>
      </c>
      <c r="E5" s="14">
        <f>D5</f>
        <v>0.61320171000000001</v>
      </c>
      <c r="F5" s="5">
        <v>18.07</v>
      </c>
      <c r="G5" s="5">
        <f>E5*F5</f>
        <v>11.080554899700001</v>
      </c>
      <c r="H5" s="5">
        <f>G5-C5</f>
        <v>1.3905548997000015</v>
      </c>
      <c r="I5" s="20">
        <f>(G5-C5)/C5</f>
        <v>0.14350411761609924</v>
      </c>
      <c r="J5" s="5">
        <f>'2026.04'!$L$278</f>
        <v>0</v>
      </c>
      <c r="L5" s="3" t="s">
        <v>2</v>
      </c>
      <c r="M5" s="5">
        <f>SUM(B5:B200)</f>
        <v>11.819999999999999</v>
      </c>
      <c r="N5" s="5">
        <f>INDEX(G5:G200,MATCH(9.99999999999999E+307,G5:G200))</f>
        <v>15.0569407134</v>
      </c>
      <c r="O5" s="20">
        <f>INDEX(I5:I200,MATCH(9.99999999999999E+307,I5:I200))</f>
        <v>0.27385285223350264</v>
      </c>
      <c r="P5" s="5">
        <f>N5+S5</f>
        <v>15.0569407134</v>
      </c>
      <c r="Q5" s="20">
        <f>(P5-M5)/M5</f>
        <v>0.27385285223350264</v>
      </c>
      <c r="R5" s="14">
        <f>SUM(D5:D200)</f>
        <v>0.71905160999999995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'2026.05'!$B$278-'2026.05'!$G$278</f>
        <v>2.0299999999999998</v>
      </c>
      <c r="C6" s="5">
        <f>C5+B6</f>
        <v>11.719999999999999</v>
      </c>
      <c r="D6" s="14">
        <f>'2026.05'!$D$278-'2026.05'!$I$278</f>
        <v>0.10102015</v>
      </c>
      <c r="E6" s="14">
        <f>E5+D6</f>
        <v>0.71422185999999999</v>
      </c>
      <c r="F6" s="5">
        <v>20.29</v>
      </c>
      <c r="G6" s="5">
        <f>E6*F6</f>
        <v>14.491561539399999</v>
      </c>
      <c r="H6" s="5">
        <f>G6-C6</f>
        <v>2.7715615394000004</v>
      </c>
      <c r="I6" s="20">
        <f>(G6-C6)/C6</f>
        <v>0.23648136001706491</v>
      </c>
      <c r="J6" s="5">
        <f>'2026.05'!$L$278</f>
        <v>0</v>
      </c>
    </row>
    <row r="7" spans="1:19" x14ac:dyDescent="0.25">
      <c r="A7" s="62" t="str">
        <f>'2026.06'!$N$2</f>
        <v>2026.06</v>
      </c>
      <c r="B7" s="5">
        <f>'2026.06'!$B$278-'2026.06'!$G$278</f>
        <v>0.1</v>
      </c>
      <c r="C7" s="5">
        <f>C6+B7</f>
        <v>11.819999999999999</v>
      </c>
      <c r="D7" s="14">
        <f>'2026.06'!$D$278-'2026.06'!$I$278</f>
        <v>4.8297499999999998E-3</v>
      </c>
      <c r="E7" s="14">
        <f>E6+D7</f>
        <v>0.71905160999999995</v>
      </c>
      <c r="F7" s="5">
        <v>20.94</v>
      </c>
      <c r="G7" s="5">
        <f>E7*F7</f>
        <v>15.0569407134</v>
      </c>
      <c r="H7" s="5">
        <f>G7-C7</f>
        <v>3.236940713400001</v>
      </c>
      <c r="I7" s="20">
        <f>(G7-C7)/C7</f>
        <v>0.27385285223350264</v>
      </c>
      <c r="J7" s="5">
        <f>'2026.06'!$L$278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FFF7BD09-4E03-475B-AEBF-CAC4888AEF72}"/>
    <hyperlink ref="A6" location="'2026.05'!A1" display="'2026.05'!A1" xr:uid="{222988D9-757E-4C89-93E8-4C5261ECB3C3}"/>
    <hyperlink ref="A7" location="'2026.06'!A1" display="'2026.06'!A1" xr:uid="{92C9BF5D-61E7-4F10-9E4C-105276DFFFA0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C2A7-5F53-4670-BFA0-1F2F252651F6}">
  <dimension ref="A1:S31"/>
  <sheetViews>
    <sheetView workbookViewId="0">
      <pane ySplit="13" topLeftCell="A14" activePane="bottomLeft" state="frozen"/>
      <selection activeCell="J36" sqref="J36"/>
      <selection pane="bottomLeft" activeCell="A7" sqref="A7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136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140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'2026.04'!$B$320-'2026.04'!$G$320</f>
        <v>33.489999999999995</v>
      </c>
      <c r="C5" s="5">
        <f>B5</f>
        <v>33.489999999999995</v>
      </c>
      <c r="D5" s="14">
        <f>'2026.04'!$D$320-'2026.04'!$I$320</f>
        <v>1.0892835299999999</v>
      </c>
      <c r="E5" s="14">
        <f>D5</f>
        <v>1.0892835299999999</v>
      </c>
      <c r="F5" s="5">
        <v>30.63</v>
      </c>
      <c r="G5" s="5">
        <f>E5*F5</f>
        <v>33.364754523899997</v>
      </c>
      <c r="H5" s="5">
        <f>G5-C5</f>
        <v>-0.12524547609999814</v>
      </c>
      <c r="I5" s="20">
        <f>(G5-C5)/C5</f>
        <v>-3.7397872827709213E-3</v>
      </c>
      <c r="J5" s="5">
        <f>'2026.04'!$L$320</f>
        <v>0</v>
      </c>
      <c r="L5" s="3" t="s">
        <v>2</v>
      </c>
      <c r="M5" s="5">
        <f>SUM(B5:B200)</f>
        <v>32.069999999999993</v>
      </c>
      <c r="N5" s="5">
        <f>INDEX(G5:G200,MATCH(9.99999999999999E+307,G5:G200))</f>
        <v>31.730974558499994</v>
      </c>
      <c r="O5" s="20">
        <f>INDEX(I5:I200,MATCH(9.99999999999999E+307,I5:I200))</f>
        <v>-1.0571420065481721E-2</v>
      </c>
      <c r="P5" s="5">
        <f>N5+S5</f>
        <v>31.730974558499994</v>
      </c>
      <c r="Q5" s="20">
        <f>(P5-M5)/M5</f>
        <v>-1.0571420065481721E-2</v>
      </c>
      <c r="R5" s="14">
        <f>SUM(D5:D200)</f>
        <v>1.0420681299999999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'2026.05'!$B$320-'2026.05'!$G$320</f>
        <v>-2.5199999999999996</v>
      </c>
      <c r="C6" s="5">
        <f>C5+B6</f>
        <v>30.969999999999995</v>
      </c>
      <c r="D6" s="14">
        <f>'2026.05'!$D$320-'2026.05'!$I$320</f>
        <v>-8.3350880000000002E-2</v>
      </c>
      <c r="E6" s="14">
        <f>E5+D6</f>
        <v>1.0059326499999999</v>
      </c>
      <c r="F6" s="5">
        <v>30.58</v>
      </c>
      <c r="G6" s="5">
        <f>E6*F6</f>
        <v>30.761420436999995</v>
      </c>
      <c r="H6" s="5">
        <f>G6-C6</f>
        <v>-0.20857956300000069</v>
      </c>
      <c r="I6" s="20">
        <f>(G6-C6)/C6</f>
        <v>-6.7348906360994746E-3</v>
      </c>
      <c r="J6" s="5">
        <f>'2026.05'!$L$320</f>
        <v>0</v>
      </c>
    </row>
    <row r="7" spans="1:19" x14ac:dyDescent="0.25">
      <c r="A7" s="62" t="str">
        <f>'2026.06'!$N$2</f>
        <v>2026.06</v>
      </c>
      <c r="B7" s="5">
        <f>'2026.06'!$B$320-'2026.06'!$G$320</f>
        <v>1.1000000000000001</v>
      </c>
      <c r="C7" s="5">
        <f>C6+B7</f>
        <v>32.069999999999993</v>
      </c>
      <c r="D7" s="14">
        <f>'2026.06'!$D$320-'2026.06'!$I$320</f>
        <v>3.6135479999999998E-2</v>
      </c>
      <c r="E7" s="14">
        <f>E6+D7</f>
        <v>1.0420681299999999</v>
      </c>
      <c r="F7" s="5">
        <v>30.45</v>
      </c>
      <c r="G7" s="5">
        <f>E7*F7</f>
        <v>31.730974558499994</v>
      </c>
      <c r="H7" s="5">
        <f>G7-C7</f>
        <v>-0.33902544149999869</v>
      </c>
      <c r="I7" s="20">
        <f>(G7-C7)/C7</f>
        <v>-1.0571420065481721E-2</v>
      </c>
      <c r="J7" s="5">
        <f>'2026.06'!$L$320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711E7CC9-BF54-4282-BB23-42088FFB33E2}"/>
    <hyperlink ref="A6" location="'2026.05'!A1" display="'2026.05'!A1" xr:uid="{4883DCF3-C794-4270-8B56-4D6E3C922F7B}"/>
    <hyperlink ref="A7" location="'2026.06'!A1" display="'2026.06'!A1" xr:uid="{68E338D3-9416-455F-B725-0B2F90413D57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FB44-7EC3-405C-B252-1D3692B07883}">
  <dimension ref="A1:S31"/>
  <sheetViews>
    <sheetView workbookViewId="0">
      <pane ySplit="13" topLeftCell="A14" activePane="bottomLeft" state="frozen"/>
      <selection activeCell="J36" sqref="J36"/>
      <selection pane="bottomLeft" activeCell="E20" sqref="E20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137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139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'2026.04'!$B$334-'2026.04'!$G$334</f>
        <v>36.660000000000004</v>
      </c>
      <c r="C5" s="5">
        <f>B5</f>
        <v>36.660000000000004</v>
      </c>
      <c r="D5" s="14">
        <f>'2026.04'!$D$334-'2026.04'!$I$334</f>
        <v>1.83071155</v>
      </c>
      <c r="E5" s="14">
        <f>D5</f>
        <v>1.83071155</v>
      </c>
      <c r="F5" s="5">
        <v>20.12</v>
      </c>
      <c r="G5" s="5">
        <f>E5*F5</f>
        <v>36.833916385999999</v>
      </c>
      <c r="H5" s="5">
        <f>G5-C5</f>
        <v>0.17391638599999482</v>
      </c>
      <c r="I5" s="20">
        <f>(G5-C5)/C5</f>
        <v>4.7440367157663612E-3</v>
      </c>
      <c r="J5" s="5">
        <f>'2026.04'!$L$334</f>
        <v>0</v>
      </c>
      <c r="L5" s="3" t="s">
        <v>2</v>
      </c>
      <c r="M5" s="5">
        <f>SUM(B5:B200)</f>
        <v>33.78</v>
      </c>
      <c r="N5" s="5">
        <f>INDEX(G5:G200,MATCH(9.99999999999999E+307,G5:G200))</f>
        <v>34.172676806399998</v>
      </c>
      <c r="O5" s="20">
        <f>INDEX(I5:I200,MATCH(9.99999999999999E+307,I5:I200))</f>
        <v>1.1624535417406668E-2</v>
      </c>
      <c r="P5" s="5">
        <f>N5+S5</f>
        <v>34.172676806399998</v>
      </c>
      <c r="Q5" s="20">
        <f>(P5-M5)/M5</f>
        <v>1.1624535417406668E-2</v>
      </c>
      <c r="R5" s="14">
        <f>SUM(D5:D200)</f>
        <v>1.6883733599999999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'2026.05'!$B$334-'2026.05'!$G$334</f>
        <v>-4.07</v>
      </c>
      <c r="C6" s="5">
        <f>C5+B6</f>
        <v>32.590000000000003</v>
      </c>
      <c r="D6" s="14">
        <f>'2026.05'!$D$334-'2026.05'!$I$334</f>
        <v>-0.20101958000000003</v>
      </c>
      <c r="E6" s="14">
        <f>E5+D6</f>
        <v>1.6296919699999999</v>
      </c>
      <c r="F6" s="5">
        <v>20.309999999999999</v>
      </c>
      <c r="G6" s="5">
        <f>E6*F6</f>
        <v>33.099043910699997</v>
      </c>
      <c r="H6" s="5">
        <f>G6-C6</f>
        <v>0.50904391069999377</v>
      </c>
      <c r="I6" s="20">
        <f>(G6-C6)/C6</f>
        <v>1.5619635185639575E-2</v>
      </c>
      <c r="J6" s="5">
        <f>'2026.05'!$L$334</f>
        <v>0</v>
      </c>
    </row>
    <row r="7" spans="1:19" x14ac:dyDescent="0.25">
      <c r="A7" s="62" t="str">
        <f>'2026.06'!$N$2</f>
        <v>2026.06</v>
      </c>
      <c r="B7" s="5">
        <f>'2026.06'!$B$334-'2026.06'!$G$334</f>
        <v>1.19</v>
      </c>
      <c r="C7" s="5">
        <f>C6+B7</f>
        <v>33.78</v>
      </c>
      <c r="D7" s="14">
        <f>'2026.06'!$D$334-'2026.06'!$I$334</f>
        <v>5.868139E-2</v>
      </c>
      <c r="E7" s="14">
        <f>E6+D7</f>
        <v>1.6883733599999999</v>
      </c>
      <c r="F7" s="5">
        <v>20.239999999999998</v>
      </c>
      <c r="G7" s="5">
        <f>E7*F7</f>
        <v>34.172676806399998</v>
      </c>
      <c r="H7" s="5">
        <f>G7-C7</f>
        <v>0.39267680639999725</v>
      </c>
      <c r="I7" s="20">
        <f>(G7-C7)/C7</f>
        <v>1.1624535417406668E-2</v>
      </c>
      <c r="J7" s="5">
        <f>'2026.06'!$L$334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15F66D89-10C2-4822-BFC0-592254FB332F}"/>
    <hyperlink ref="A6" location="'2026.05'!A1" display="'2026.05'!A1" xr:uid="{48651AC8-49E8-430B-A460-3AB9186BDA4A}"/>
    <hyperlink ref="A7" location="'2026.06'!A1" display="'2026.06'!A1" xr:uid="{F86C7CBA-63E4-49BF-9284-2A9EDEBD03D8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BC5F-E2F5-4370-8958-C547E14EA162}">
  <dimension ref="A1:S31"/>
  <sheetViews>
    <sheetView workbookViewId="0">
      <pane ySplit="13" topLeftCell="A14" activePane="bottomLeft" state="frozen"/>
      <selection activeCell="J36" sqref="J36"/>
      <selection pane="bottomLeft" activeCell="C17" sqref="C17"/>
    </sheetView>
  </sheetViews>
  <sheetFormatPr defaultRowHeight="15" x14ac:dyDescent="0.25"/>
  <cols>
    <col min="1" max="1" width="15.7109375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141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142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'2026.04'!$B$362-'2026.04'!$G$362</f>
        <v>62.86</v>
      </c>
      <c r="C5" s="5">
        <f>B5</f>
        <v>62.86</v>
      </c>
      <c r="D5" s="14">
        <f>'2026.04'!$D$362-'2026.04'!$I$362</f>
        <v>0.21564058000000003</v>
      </c>
      <c r="E5" s="14">
        <f>D5</f>
        <v>0.21564058000000003</v>
      </c>
      <c r="F5" s="5">
        <v>298.13</v>
      </c>
      <c r="G5" s="5">
        <f>E5*F5</f>
        <v>64.288926115400002</v>
      </c>
      <c r="H5" s="5">
        <f>G5-C5</f>
        <v>1.428926115400003</v>
      </c>
      <c r="I5" s="20">
        <f>(G5-C5)/C5</f>
        <v>2.2731882204899825E-2</v>
      </c>
      <c r="J5" s="5">
        <f>'2026.04'!$L$362</f>
        <v>0</v>
      </c>
      <c r="L5" s="3" t="s">
        <v>2</v>
      </c>
      <c r="M5" s="5">
        <f>SUM(B5:B200)</f>
        <v>67.499999999999986</v>
      </c>
      <c r="N5" s="5">
        <f>INDEX(G5:G200,MATCH(9.99999999999999E+307,G5:G200))</f>
        <v>70.720432873200011</v>
      </c>
      <c r="O5" s="20">
        <f>INDEX(I5:I200,MATCH(9.99999999999999E+307,I5:I200))</f>
        <v>4.7710116640000376E-2</v>
      </c>
      <c r="P5" s="5">
        <f>N5+S5</f>
        <v>70.720432873200011</v>
      </c>
      <c r="Q5" s="20">
        <f>(P5-M5)/M5</f>
        <v>4.7710116640000376E-2</v>
      </c>
      <c r="R5" s="14">
        <f>SUM(D5:D200)</f>
        <v>0.23118052000000003</v>
      </c>
      <c r="S5" s="5">
        <f>SUM(J5:J200)</f>
        <v>0</v>
      </c>
    </row>
    <row r="6" spans="1:19" x14ac:dyDescent="0.25">
      <c r="A6" s="62" t="str">
        <f>'2026.05'!$N$2</f>
        <v>2026.05</v>
      </c>
      <c r="B6" s="5">
        <f>'2026.05'!$B$362-'2026.05'!$G$362</f>
        <v>2.0699999999999998</v>
      </c>
      <c r="C6" s="5">
        <f>C5+B6</f>
        <v>64.929999999999993</v>
      </c>
      <c r="D6" s="14">
        <f>'2026.05'!$D$362-'2026.05'!$I$362</f>
        <v>7.1164700000000006E-3</v>
      </c>
      <c r="E6" s="14">
        <f>E5+D6</f>
        <v>0.22275705000000004</v>
      </c>
      <c r="F6" s="5">
        <v>306.12</v>
      </c>
      <c r="G6" s="5">
        <f>E6*F6</f>
        <v>68.190388146000018</v>
      </c>
      <c r="H6" s="5">
        <f>G6-C6</f>
        <v>3.2603881460000252</v>
      </c>
      <c r="I6" s="20">
        <f>(G6-C6)/C6</f>
        <v>5.0213894132142702E-2</v>
      </c>
      <c r="J6" s="5">
        <f>'2026.05'!$L$362</f>
        <v>0</v>
      </c>
    </row>
    <row r="7" spans="1:19" x14ac:dyDescent="0.25">
      <c r="A7" s="62" t="str">
        <f>'2026.06'!$N$2</f>
        <v>2026.06</v>
      </c>
      <c r="B7" s="5">
        <f>'2026.06'!$B$362-'2026.06'!$G$362</f>
        <v>2.57</v>
      </c>
      <c r="C7" s="5">
        <f>C6+B7</f>
        <v>67.499999999999986</v>
      </c>
      <c r="D7" s="14">
        <f>'2026.06'!$D$362-'2026.06'!$I$362</f>
        <v>8.4234700000000006E-3</v>
      </c>
      <c r="E7" s="14">
        <f>E6+D7</f>
        <v>0.23118052000000003</v>
      </c>
      <c r="F7" s="5">
        <v>305.91000000000003</v>
      </c>
      <c r="G7" s="5">
        <f>E7*F7</f>
        <v>70.720432873200011</v>
      </c>
      <c r="H7" s="5">
        <f>G7-C7</f>
        <v>3.2204328732000249</v>
      </c>
      <c r="I7" s="20">
        <f>(G7-C7)/C7</f>
        <v>4.7710116640000376E-2</v>
      </c>
      <c r="J7" s="5">
        <f>'2026.06'!$L$362</f>
        <v>0</v>
      </c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EAB8501E-995D-4647-A479-331FF9A79289}"/>
    <hyperlink ref="A6" location="'2026.05'!A1" display="'2026.05'!A1" xr:uid="{59BC1E18-13B9-4BB0-ACC9-15F23F739297}"/>
    <hyperlink ref="A7" location="'2026.06'!A1" display="'2026.06'!A1" xr:uid="{664C1238-E1AD-498E-B53F-3D7E93D7404E}"/>
  </hyperlinks>
  <pageMargins left="0.7" right="0.7" top="0.75" bottom="0.75" header="0.3" footer="0.3"/>
  <pageSetup orientation="portrait" r:id="rId1"/>
  <ignoredErrors>
    <ignoredError sqref="D5:D7" formula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2E92-F9B1-4FC8-8187-074EFF4FEB4D}">
  <sheetPr>
    <tabColor rgb="FF92D050"/>
  </sheetPr>
  <dimension ref="A1:S31"/>
  <sheetViews>
    <sheetView workbookViewId="0">
      <pane ySplit="13" topLeftCell="A14" activePane="bottomLeft" state="frozen"/>
      <selection activeCell="A7" sqref="A7"/>
      <selection pane="bottomLeft" activeCell="A7" sqref="A7"/>
    </sheetView>
  </sheetViews>
  <sheetFormatPr defaultRowHeight="15" x14ac:dyDescent="0.25"/>
  <cols>
    <col min="1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64" t="s">
        <v>132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133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'2026.04'!$B$306-'2026.04'!$G$306</f>
        <v>6.37</v>
      </c>
      <c r="C5" s="5">
        <f>B5</f>
        <v>6.37</v>
      </c>
      <c r="D5" s="14">
        <f>'2026.04'!$D$306-'2026.04'!$I$306</f>
        <v>0.12975613999999999</v>
      </c>
      <c r="E5" s="14">
        <f>D5</f>
        <v>0.12975613999999999</v>
      </c>
      <c r="F5" s="5">
        <v>45.32</v>
      </c>
      <c r="G5" s="5">
        <f>E5*F5</f>
        <v>5.8805482647999998</v>
      </c>
      <c r="H5" s="5">
        <f>G5-C5</f>
        <v>-0.48945173520000029</v>
      </c>
      <c r="I5" s="20">
        <f>(G5-C5)/C5</f>
        <v>-7.6837007095761425E-2</v>
      </c>
      <c r="J5" s="5">
        <f>'2026.04'!$L$306</f>
        <v>0</v>
      </c>
      <c r="L5" s="3" t="s">
        <v>2</v>
      </c>
      <c r="M5" s="5">
        <v>7.51</v>
      </c>
      <c r="N5" s="5">
        <v>6.45</v>
      </c>
      <c r="O5" s="20">
        <f>INDEX(I5:I100,MATCH(9.99999999999999E+307,I5:I100))</f>
        <v>-1</v>
      </c>
      <c r="P5" s="5">
        <f>N5+S5</f>
        <v>6.45</v>
      </c>
      <c r="Q5" s="20">
        <f>(P5-M5)/M5</f>
        <v>-0.14114513981358184</v>
      </c>
      <c r="R5" s="14">
        <v>0.15515585000000001</v>
      </c>
      <c r="S5" s="5">
        <f>SUM(J5:J67)</f>
        <v>0</v>
      </c>
    </row>
    <row r="6" spans="1:19" x14ac:dyDescent="0.25">
      <c r="A6" s="62" t="str">
        <f>'2026.05'!$N$2</f>
        <v>2026.05</v>
      </c>
      <c r="B6" s="5">
        <f>'2026.05'!$B$306-'2026.05'!$G$306</f>
        <v>-5.33</v>
      </c>
      <c r="C6" s="5">
        <f>C5+B6</f>
        <v>1.04</v>
      </c>
      <c r="D6" s="14">
        <f>'2026.05'!$D$306-'2026.05'!$I$306</f>
        <v>-0.12975614000000002</v>
      </c>
      <c r="E6" s="14">
        <f>E5+D6</f>
        <v>0</v>
      </c>
      <c r="F6" s="51">
        <v>41.57</v>
      </c>
      <c r="G6" s="5">
        <f>E6*F6</f>
        <v>0</v>
      </c>
      <c r="H6" s="5">
        <f>G6-C6</f>
        <v>-1.04</v>
      </c>
      <c r="I6" s="20">
        <f>(G6-C6)/C6</f>
        <v>-1</v>
      </c>
      <c r="J6" s="5">
        <f>'2026.05'!$L$306</f>
        <v>0</v>
      </c>
    </row>
    <row r="7" spans="1:19" x14ac:dyDescent="0.25">
      <c r="A7" s="6"/>
      <c r="B7" s="5"/>
      <c r="C7" s="5"/>
      <c r="D7" s="14"/>
      <c r="E7" s="14"/>
      <c r="F7" s="5"/>
      <c r="G7" s="5"/>
      <c r="H7" s="5"/>
      <c r="I7" s="20"/>
      <c r="J7" s="5"/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6" location="'2026.05'!A1" display="'2026.05'!A1" xr:uid="{0180B889-5B36-463B-AA98-873B469C1C71}"/>
    <hyperlink ref="A5" location="'2026.04'!A1" display="'2026.04'!A1" xr:uid="{B5D09BBD-D71D-49AB-8C87-2ABC0536C1EF}"/>
  </hyperlinks>
  <pageMargins left="0.7" right="0.7" top="0.75" bottom="0.75" header="0.3" footer="0.3"/>
  <pageSetup orientation="portrait" r:id="rId1"/>
  <ignoredErrors>
    <ignoredError sqref="D5:D6" formula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7A56-A9C7-4DE0-AB14-C8A7717D9B68}">
  <sheetPr>
    <tabColor rgb="FF92D050"/>
  </sheetPr>
  <dimension ref="A1:S31"/>
  <sheetViews>
    <sheetView workbookViewId="0">
      <pane ySplit="13" topLeftCell="A14" activePane="bottomLeft" state="frozen"/>
      <selection activeCell="A7" sqref="A7"/>
      <selection pane="bottomLeft" activeCell="A7" sqref="A7"/>
    </sheetView>
  </sheetViews>
  <sheetFormatPr defaultRowHeight="15" x14ac:dyDescent="0.25"/>
  <cols>
    <col min="1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64" t="s">
        <v>138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143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'2026.04'!$B$348-'2026.04'!$G$348</f>
        <v>9.7200000000000006</v>
      </c>
      <c r="C5" s="5">
        <f>B5</f>
        <v>9.7200000000000006</v>
      </c>
      <c r="D5" s="14">
        <f>'2026.04'!$D$348-'2026.04'!$I$348</f>
        <v>1.0089314900000002</v>
      </c>
      <c r="E5" s="14">
        <f>D5</f>
        <v>1.0089314900000002</v>
      </c>
      <c r="F5" s="5">
        <v>9.76</v>
      </c>
      <c r="G5" s="5">
        <f>E5*F5</f>
        <v>9.8471713424000011</v>
      </c>
      <c r="H5" s="5">
        <f>G5-C5</f>
        <v>0.1271713424000005</v>
      </c>
      <c r="I5" s="20">
        <f>(G5-C5)/C5</f>
        <v>1.3083471440329269E-2</v>
      </c>
      <c r="J5" s="5">
        <f>'2026.04'!$L$348</f>
        <v>0</v>
      </c>
      <c r="L5" s="3" t="s">
        <v>2</v>
      </c>
      <c r="M5" s="5">
        <v>9.7200000000000006</v>
      </c>
      <c r="N5" s="5">
        <v>10</v>
      </c>
      <c r="O5" s="20">
        <f>INDEX(I5:I100,MATCH(9.99999999999999E+307,I5:I100))</f>
        <v>-1</v>
      </c>
      <c r="P5" s="5">
        <f>N5+S5</f>
        <v>10</v>
      </c>
      <c r="Q5" s="20">
        <f>(P5-M5)/M5</f>
        <v>2.8806584362139849E-2</v>
      </c>
      <c r="R5" s="14">
        <v>1.0089314899999999</v>
      </c>
      <c r="S5" s="5">
        <f>SUM(J5:J67)</f>
        <v>0</v>
      </c>
    </row>
    <row r="6" spans="1:19" x14ac:dyDescent="0.25">
      <c r="A6" s="62" t="str">
        <f>'2026.05'!$N$2</f>
        <v>2026.05</v>
      </c>
      <c r="B6" s="5">
        <f>'2026.05'!$B$348-'2026.05'!$G$348</f>
        <v>-10</v>
      </c>
      <c r="C6" s="5">
        <f>C5+B6</f>
        <v>-0.27999999999999936</v>
      </c>
      <c r="D6" s="14">
        <f>'2026.05'!$D$348-'2026.05'!$I$348</f>
        <v>-1.0089314899999999</v>
      </c>
      <c r="E6" s="14">
        <f>E5+D6</f>
        <v>0</v>
      </c>
      <c r="F6" s="51">
        <v>9.91</v>
      </c>
      <c r="G6" s="5">
        <f>E6*F6</f>
        <v>0</v>
      </c>
      <c r="H6" s="5">
        <f>G6-C6</f>
        <v>0.27999999999999936</v>
      </c>
      <c r="I6" s="20">
        <f>(G6-C6)/C6</f>
        <v>-1</v>
      </c>
      <c r="J6" s="5">
        <f>'2026.05'!$L$348</f>
        <v>0</v>
      </c>
    </row>
    <row r="7" spans="1:19" x14ac:dyDescent="0.25">
      <c r="A7" s="6"/>
      <c r="B7" s="5"/>
      <c r="C7" s="5"/>
      <c r="D7" s="14"/>
      <c r="E7" s="14"/>
      <c r="F7" s="5"/>
      <c r="G7" s="5"/>
      <c r="H7" s="5"/>
      <c r="I7" s="20"/>
      <c r="J7" s="5"/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221FFDA2-F61E-4EFA-8B66-DBCF94D73AFF}"/>
    <hyperlink ref="A6" location="'2026.05'!A1" display="'2026.05'!A1" xr:uid="{98DCC8A5-7FF5-4931-98F8-8694177EA2A6}"/>
  </hyperlinks>
  <pageMargins left="0.7" right="0.7" top="0.75" bottom="0.75" header="0.3" footer="0.3"/>
  <pageSetup orientation="portrait" r:id="rId1"/>
  <ignoredErrors>
    <ignoredError sqref="D5:D6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3F84-802C-43BD-A2B3-850A598DFC5D}">
  <sheetPr>
    <tabColor rgb="FF92D050"/>
  </sheetPr>
  <dimension ref="A1:S31"/>
  <sheetViews>
    <sheetView workbookViewId="0">
      <pane ySplit="13" topLeftCell="A14" activePane="bottomLeft" state="frozen"/>
      <selection activeCell="A7" sqref="A7"/>
      <selection pane="bottomLeft" activeCell="A7" sqref="A7"/>
    </sheetView>
  </sheetViews>
  <sheetFormatPr defaultRowHeight="15" x14ac:dyDescent="0.25"/>
  <cols>
    <col min="1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64" t="s">
        <v>144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147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'2026.04'!$B$376-'2026.04'!$G$376</f>
        <v>9.4300000000000015</v>
      </c>
      <c r="C5" s="5">
        <f>B5</f>
        <v>9.4300000000000015</v>
      </c>
      <c r="D5" s="14">
        <f>'2026.04'!$D$376-'2026.04'!$I$376</f>
        <v>2.3162829999999999E-2</v>
      </c>
      <c r="E5" s="14">
        <f>D5</f>
        <v>2.3162829999999999E-2</v>
      </c>
      <c r="F5" s="5">
        <v>445.54</v>
      </c>
      <c r="G5" s="5">
        <f>E5*F5</f>
        <v>10.3199672782</v>
      </c>
      <c r="H5" s="5">
        <f>G5-C5</f>
        <v>0.88996727819999855</v>
      </c>
      <c r="I5" s="20">
        <f>(G5-C5)/C5</f>
        <v>9.4376169480381591E-2</v>
      </c>
      <c r="J5" s="5">
        <f>'2026.04'!$L$376</f>
        <v>0</v>
      </c>
      <c r="L5" s="3" t="s">
        <v>2</v>
      </c>
      <c r="M5" s="5">
        <v>9.43</v>
      </c>
      <c r="N5" s="5">
        <v>10.85</v>
      </c>
      <c r="O5" s="20">
        <f>INDEX(I5:I100,MATCH(9.99999999999999E+307,I5:I100))</f>
        <v>-1</v>
      </c>
      <c r="P5" s="5">
        <f>N5+S5</f>
        <v>10.85</v>
      </c>
      <c r="Q5" s="20">
        <f>(P5-M5)/M5</f>
        <v>0.15058324496288442</v>
      </c>
      <c r="R5" s="14">
        <v>2.3162829999999999E-2</v>
      </c>
      <c r="S5" s="5">
        <f>SUM(J5:J67)</f>
        <v>0</v>
      </c>
    </row>
    <row r="6" spans="1:19" x14ac:dyDescent="0.25">
      <c r="A6" s="62" t="str">
        <f>'2026.05'!$N$2</f>
        <v>2026.05</v>
      </c>
      <c r="B6" s="5">
        <f>'2026.05'!$B$376-'2026.05'!$G$376</f>
        <v>-10.85</v>
      </c>
      <c r="C6" s="5">
        <f>C5+B6</f>
        <v>-1.4199999999999982</v>
      </c>
      <c r="D6" s="14">
        <f>'2026.05'!$D$376-'2026.05'!$I$376</f>
        <v>-2.3162829999999999E-2</v>
      </c>
      <c r="E6" s="14">
        <f>E5+D6</f>
        <v>0</v>
      </c>
      <c r="F6" s="51">
        <v>468.42</v>
      </c>
      <c r="G6" s="5">
        <f>E6*F6</f>
        <v>0</v>
      </c>
      <c r="H6" s="5">
        <f>G6-C6</f>
        <v>1.4199999999999982</v>
      </c>
      <c r="I6" s="20">
        <f>(G6-C6)/C6</f>
        <v>-1</v>
      </c>
      <c r="J6" s="5">
        <f>'2026.05'!$L$376</f>
        <v>0</v>
      </c>
    </row>
    <row r="7" spans="1:19" x14ac:dyDescent="0.25">
      <c r="A7" s="6"/>
      <c r="B7" s="5"/>
      <c r="C7" s="5"/>
      <c r="D7" s="14"/>
      <c r="E7" s="14"/>
      <c r="F7" s="5"/>
      <c r="G7" s="5"/>
      <c r="H7" s="5"/>
      <c r="I7" s="20"/>
      <c r="J7" s="5"/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54AC1C35-90B0-4B00-B6FF-ECB285D8912D}"/>
    <hyperlink ref="A6" location="'2026.05'!A1" display="'2026.05'!A1" xr:uid="{94DC1E43-4350-4AA3-BE89-EE69A0F96E69}"/>
  </hyperlinks>
  <pageMargins left="0.7" right="0.7" top="0.75" bottom="0.75" header="0.3" footer="0.3"/>
  <pageSetup orientation="portrait" r:id="rId1"/>
  <ignoredErrors>
    <ignoredError sqref="D5:D6" formula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0736-C21B-4928-A534-9EFF4141F804}">
  <sheetPr>
    <tabColor rgb="FF92D050"/>
  </sheetPr>
  <dimension ref="A1:S31"/>
  <sheetViews>
    <sheetView workbookViewId="0">
      <pane ySplit="13" topLeftCell="A14" activePane="bottomLeft" state="frozen"/>
      <selection activeCell="A7" sqref="A7"/>
      <selection pane="bottomLeft" activeCell="A7" sqref="A7"/>
    </sheetView>
  </sheetViews>
  <sheetFormatPr defaultRowHeight="15" x14ac:dyDescent="0.25"/>
  <cols>
    <col min="1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64" t="s">
        <v>145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146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'2026.04'!$N$2</f>
        <v>2026.04</v>
      </c>
      <c r="B5" s="5">
        <f>'2026.04'!$B$390-'2026.04'!$G$390</f>
        <v>2.1099999999999994</v>
      </c>
      <c r="C5" s="5">
        <f>B5</f>
        <v>2.1099999999999994</v>
      </c>
      <c r="D5" s="14">
        <f>'2026.04'!$D$390-'2026.04'!$I$390</f>
        <v>2.0708189999999998E-2</v>
      </c>
      <c r="E5" s="14">
        <f>D5</f>
        <v>2.0708189999999998E-2</v>
      </c>
      <c r="F5" s="5">
        <v>104.31</v>
      </c>
      <c r="G5" s="5">
        <f>E5*F5</f>
        <v>2.1600712988999997</v>
      </c>
      <c r="H5" s="5">
        <f>G5-C5</f>
        <v>5.0071298900000283E-2</v>
      </c>
      <c r="I5" s="20">
        <f>(G5-C5)/C5</f>
        <v>2.3730473412322414E-2</v>
      </c>
      <c r="J5" s="5">
        <f>'2026.04'!$L$390</f>
        <v>0</v>
      </c>
      <c r="L5" s="3" t="s">
        <v>2</v>
      </c>
      <c r="M5" s="5">
        <v>2.11</v>
      </c>
      <c r="N5" s="5">
        <v>2.14</v>
      </c>
      <c r="O5" s="20">
        <f>INDEX(I5:I100,MATCH(9.99999999999999E+307,I5:I100))</f>
        <v>-1</v>
      </c>
      <c r="P5" s="5">
        <f>N5+S5</f>
        <v>2.14</v>
      </c>
      <c r="Q5" s="20">
        <f>(P5-M5)/M5</f>
        <v>1.4218009478673105E-2</v>
      </c>
      <c r="R5" s="14">
        <v>0.20070819000000001</v>
      </c>
      <c r="S5" s="5">
        <f>SUM(J5:J67)</f>
        <v>0</v>
      </c>
    </row>
    <row r="6" spans="1:19" x14ac:dyDescent="0.25">
      <c r="A6" s="62" t="str">
        <f>'2026.05'!$N$2</f>
        <v>2026.05</v>
      </c>
      <c r="B6" s="5">
        <f>'2026.05'!$B$390-'2026.05'!$G$390</f>
        <v>-2.14</v>
      </c>
      <c r="C6" s="5">
        <f>C5+B6</f>
        <v>-3.0000000000000693E-2</v>
      </c>
      <c r="D6" s="14">
        <f>'2026.05'!$D$390-'2026.05'!$I$390</f>
        <v>-2.0708190000000001E-2</v>
      </c>
      <c r="E6" s="14">
        <f>E5+D6</f>
        <v>0</v>
      </c>
      <c r="F6" s="51">
        <v>103.34</v>
      </c>
      <c r="G6" s="5">
        <f>E6*F6</f>
        <v>0</v>
      </c>
      <c r="H6" s="5">
        <f>G6-C6</f>
        <v>3.0000000000000693E-2</v>
      </c>
      <c r="I6" s="20">
        <f>(G6-C6)/C6</f>
        <v>-1</v>
      </c>
      <c r="J6" s="5">
        <f>'2026.05'!$L$390</f>
        <v>0</v>
      </c>
    </row>
    <row r="7" spans="1:19" x14ac:dyDescent="0.25">
      <c r="A7" s="6"/>
      <c r="B7" s="5"/>
      <c r="C7" s="5"/>
      <c r="D7" s="14"/>
      <c r="E7" s="14"/>
      <c r="F7" s="5"/>
      <c r="G7" s="5"/>
      <c r="H7" s="5"/>
      <c r="I7" s="20"/>
      <c r="J7" s="5"/>
    </row>
    <row r="8" spans="1:19" x14ac:dyDescent="0.25">
      <c r="A8" s="6"/>
      <c r="B8" s="5"/>
      <c r="C8" s="5"/>
      <c r="D8" s="14"/>
      <c r="E8" s="14"/>
      <c r="F8" s="5"/>
      <c r="G8" s="5"/>
      <c r="H8" s="5"/>
      <c r="I8" s="20"/>
      <c r="J8" s="5"/>
    </row>
    <row r="9" spans="1:19" x14ac:dyDescent="0.25">
      <c r="A9" s="6"/>
      <c r="B9" s="5"/>
      <c r="C9" s="5"/>
      <c r="D9" s="14"/>
      <c r="E9" s="14"/>
      <c r="F9" s="5"/>
      <c r="G9" s="5"/>
      <c r="H9" s="5"/>
      <c r="I9" s="20"/>
      <c r="J9" s="5"/>
    </row>
    <row r="10" spans="1:19" x14ac:dyDescent="0.25">
      <c r="A10" s="6"/>
      <c r="B10" s="5"/>
      <c r="C10" s="5"/>
      <c r="D10" s="14"/>
      <c r="E10" s="14"/>
      <c r="F10" s="5"/>
      <c r="G10" s="5"/>
      <c r="H10" s="5"/>
      <c r="I10" s="20"/>
      <c r="J10" s="5"/>
    </row>
    <row r="11" spans="1:19" x14ac:dyDescent="0.25">
      <c r="A11" s="6"/>
      <c r="B11" s="5"/>
      <c r="C11" s="5"/>
      <c r="D11" s="14"/>
      <c r="E11" s="14"/>
      <c r="F11" s="5"/>
      <c r="G11" s="5"/>
      <c r="H11" s="5"/>
      <c r="I11" s="20"/>
      <c r="J11" s="5"/>
    </row>
    <row r="12" spans="1:19" x14ac:dyDescent="0.25">
      <c r="A12" s="6"/>
      <c r="B12" s="5"/>
      <c r="C12" s="5"/>
      <c r="D12" s="14"/>
      <c r="E12" s="14"/>
      <c r="F12" s="5"/>
      <c r="G12" s="5"/>
      <c r="H12" s="5"/>
      <c r="I12" s="20"/>
      <c r="J12" s="5"/>
    </row>
    <row r="13" spans="1:19" x14ac:dyDescent="0.25">
      <c r="A13" s="6"/>
      <c r="B13" s="5"/>
      <c r="C13" s="5"/>
      <c r="D13" s="14"/>
      <c r="E13" s="14"/>
      <c r="F13" s="5"/>
      <c r="G13" s="5"/>
      <c r="H13" s="5"/>
      <c r="I13" s="20"/>
      <c r="J13" s="5"/>
    </row>
    <row r="14" spans="1:19" x14ac:dyDescent="0.25">
      <c r="A14" s="6"/>
      <c r="B14" s="5"/>
      <c r="C14" s="5"/>
      <c r="D14" s="14"/>
      <c r="E14" s="14"/>
      <c r="F14" s="5"/>
      <c r="G14" s="5"/>
      <c r="H14" s="5"/>
      <c r="I14" s="20"/>
      <c r="J14" s="5"/>
    </row>
    <row r="15" spans="1:19" x14ac:dyDescent="0.25">
      <c r="A15" s="6"/>
      <c r="B15" s="5"/>
      <c r="C15" s="5"/>
      <c r="D15" s="14"/>
      <c r="E15" s="14"/>
      <c r="F15" s="5"/>
      <c r="G15" s="5"/>
      <c r="H15" s="5"/>
      <c r="I15" s="20"/>
      <c r="J15" s="5"/>
    </row>
    <row r="16" spans="1:19" x14ac:dyDescent="0.25">
      <c r="A16" s="6"/>
      <c r="B16" s="5"/>
      <c r="C16" s="5"/>
      <c r="D16" s="14"/>
      <c r="E16" s="14"/>
      <c r="F16" s="5"/>
      <c r="G16" s="5"/>
      <c r="H16" s="5"/>
      <c r="I16" s="20"/>
      <c r="J16" s="5"/>
    </row>
    <row r="17" spans="1:10" x14ac:dyDescent="0.25">
      <c r="A17" s="6"/>
      <c r="B17" s="5"/>
      <c r="C17" s="5"/>
      <c r="D17" s="14"/>
      <c r="E17" s="14"/>
      <c r="F17" s="5"/>
      <c r="G17" s="5"/>
      <c r="H17" s="5"/>
      <c r="I17" s="20"/>
      <c r="J17" s="5"/>
    </row>
    <row r="18" spans="1:10" x14ac:dyDescent="0.25">
      <c r="A18" s="6"/>
      <c r="B18" s="5"/>
      <c r="C18" s="5"/>
      <c r="D18" s="14"/>
      <c r="E18" s="14"/>
      <c r="F18" s="5"/>
      <c r="G18" s="5"/>
      <c r="H18" s="5"/>
      <c r="I18" s="20"/>
      <c r="J18" s="5"/>
    </row>
    <row r="19" spans="1:10" x14ac:dyDescent="0.25">
      <c r="A19" s="6"/>
      <c r="B19" s="5"/>
      <c r="C19" s="5"/>
      <c r="D19" s="14"/>
      <c r="E19" s="14"/>
      <c r="F19" s="5"/>
      <c r="G19" s="5"/>
      <c r="H19" s="5"/>
      <c r="I19" s="20"/>
      <c r="J19" s="5"/>
    </row>
    <row r="20" spans="1:10" x14ac:dyDescent="0.25">
      <c r="A20" s="6"/>
      <c r="B20" s="5"/>
      <c r="C20" s="5"/>
      <c r="D20" s="14"/>
      <c r="E20" s="14"/>
      <c r="F20" s="5"/>
      <c r="G20" s="5"/>
      <c r="H20" s="5"/>
      <c r="I20" s="20"/>
      <c r="J20" s="5"/>
    </row>
    <row r="21" spans="1:10" x14ac:dyDescent="0.25">
      <c r="A21" s="6"/>
      <c r="B21" s="5"/>
      <c r="C21" s="5"/>
      <c r="D21" s="14"/>
      <c r="E21" s="14"/>
      <c r="F21" s="5"/>
      <c r="G21" s="5"/>
      <c r="H21" s="5"/>
      <c r="I21" s="20"/>
      <c r="J21" s="5"/>
    </row>
    <row r="22" spans="1:10" x14ac:dyDescent="0.25">
      <c r="A22" s="6"/>
      <c r="B22" s="5"/>
      <c r="C22" s="5"/>
      <c r="D22" s="14"/>
      <c r="E22" s="14"/>
      <c r="F22" s="5"/>
      <c r="G22" s="5"/>
      <c r="H22" s="5"/>
      <c r="I22" s="20"/>
      <c r="J22" s="5"/>
    </row>
    <row r="23" spans="1:10" x14ac:dyDescent="0.25">
      <c r="A23" s="6"/>
      <c r="B23" s="5"/>
      <c r="C23" s="5"/>
      <c r="D23" s="14"/>
      <c r="E23" s="14"/>
      <c r="F23" s="5"/>
      <c r="G23" s="5"/>
      <c r="H23" s="5"/>
      <c r="I23" s="20"/>
      <c r="J23" s="5"/>
    </row>
    <row r="24" spans="1:10" x14ac:dyDescent="0.25">
      <c r="A24" s="6"/>
      <c r="B24" s="5"/>
      <c r="C24" s="5"/>
      <c r="D24" s="14"/>
      <c r="E24" s="14"/>
      <c r="F24" s="5"/>
      <c r="G24" s="5"/>
      <c r="H24" s="5"/>
      <c r="I24" s="20"/>
      <c r="J24" s="5"/>
    </row>
    <row r="25" spans="1:10" x14ac:dyDescent="0.25">
      <c r="A25" s="6"/>
      <c r="B25" s="5"/>
      <c r="C25" s="5"/>
      <c r="D25" s="14"/>
      <c r="E25" s="14"/>
      <c r="F25" s="5"/>
      <c r="G25" s="5"/>
      <c r="H25" s="5"/>
      <c r="I25" s="20"/>
      <c r="J25" s="5"/>
    </row>
    <row r="26" spans="1:10" x14ac:dyDescent="0.25">
      <c r="A26" s="6"/>
      <c r="B26" s="5"/>
      <c r="C26" s="5"/>
      <c r="D26" s="14"/>
      <c r="E26" s="14"/>
      <c r="F26" s="5"/>
      <c r="G26" s="5"/>
      <c r="H26" s="5"/>
      <c r="I26" s="20"/>
      <c r="J26" s="5"/>
    </row>
    <row r="27" spans="1:10" x14ac:dyDescent="0.25">
      <c r="A27" s="6"/>
      <c r="B27" s="5"/>
      <c r="C27" s="5"/>
      <c r="D27" s="14"/>
      <c r="E27" s="14"/>
      <c r="F27" s="5"/>
      <c r="G27" s="5"/>
      <c r="H27" s="5"/>
      <c r="I27" s="20"/>
      <c r="J27" s="5"/>
    </row>
    <row r="28" spans="1:10" x14ac:dyDescent="0.25">
      <c r="A28" s="6"/>
      <c r="B28" s="5"/>
      <c r="C28" s="5"/>
      <c r="D28" s="14"/>
      <c r="E28" s="14"/>
      <c r="F28" s="5"/>
      <c r="G28" s="5"/>
      <c r="H28" s="5"/>
      <c r="I28" s="20"/>
      <c r="J28" s="5"/>
    </row>
    <row r="29" spans="1:10" x14ac:dyDescent="0.25">
      <c r="A29" s="6"/>
      <c r="B29" s="5"/>
      <c r="C29" s="5"/>
      <c r="D29" s="14"/>
      <c r="E29" s="14"/>
      <c r="F29" s="5"/>
      <c r="G29" s="5"/>
      <c r="H29" s="5"/>
      <c r="I29" s="20"/>
      <c r="J29" s="5"/>
    </row>
    <row r="30" spans="1:10" x14ac:dyDescent="0.25">
      <c r="A30" s="6"/>
      <c r="B30" s="5"/>
      <c r="C30" s="5"/>
      <c r="D30" s="14"/>
      <c r="E30" s="14"/>
      <c r="F30" s="5"/>
      <c r="G30" s="5"/>
      <c r="H30" s="5"/>
      <c r="I30" s="20"/>
      <c r="J30" s="5"/>
    </row>
    <row r="31" spans="1:10" x14ac:dyDescent="0.25">
      <c r="A31" s="6"/>
      <c r="B31" s="5"/>
      <c r="C31" s="5"/>
      <c r="D31" s="14"/>
      <c r="E31" s="14"/>
      <c r="F31" s="5"/>
      <c r="G31" s="5"/>
      <c r="H31" s="5"/>
      <c r="I31" s="20"/>
      <c r="J31" s="5"/>
    </row>
  </sheetData>
  <mergeCells count="11">
    <mergeCell ref="L3:L4"/>
    <mergeCell ref="A3:A4"/>
    <mergeCell ref="B3:C3"/>
    <mergeCell ref="D3:E3"/>
    <mergeCell ref="F3:I3"/>
    <mergeCell ref="J3:J4"/>
    <mergeCell ref="M3:M4"/>
    <mergeCell ref="N3:O3"/>
    <mergeCell ref="P3:Q3"/>
    <mergeCell ref="R3:R4"/>
    <mergeCell ref="S3:S4"/>
  </mergeCells>
  <hyperlinks>
    <hyperlink ref="A5" location="'2026.04'!A1" display="'2026.04'!A1" xr:uid="{CBD70D4F-F587-4B72-943E-63301E22EF17}"/>
    <hyperlink ref="A6" location="'2026.05'!A1" display="'2026.05'!A1" xr:uid="{E3A786C0-873E-4BC4-AAA8-66A7187E7371}"/>
  </hyperlinks>
  <pageMargins left="0.7" right="0.7" top="0.75" bottom="0.75" header="0.3" footer="0.3"/>
  <pageSetup orientation="portrait" r:id="rId1"/>
  <ignoredErrors>
    <ignoredError sqref="D5:D6" formula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S31"/>
  <sheetViews>
    <sheetView workbookViewId="0">
      <pane ySplit="13" topLeftCell="A14" activePane="bottomLeft" state="frozen"/>
      <selection activeCell="A7" sqref="A7"/>
      <selection pane="bottomLeft" activeCell="A7" sqref="A7"/>
    </sheetView>
  </sheetViews>
  <sheetFormatPr defaultRowHeight="15" x14ac:dyDescent="0.25"/>
  <cols>
    <col min="1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64" t="s">
        <v>14</v>
      </c>
    </row>
    <row r="3" spans="1:19" x14ac:dyDescent="0.25">
      <c r="A3" s="68" t="s">
        <v>90</v>
      </c>
      <c r="B3" s="71" t="s">
        <v>3</v>
      </c>
      <c r="C3" s="75"/>
      <c r="D3" s="71" t="s">
        <v>1</v>
      </c>
      <c r="E3" s="72"/>
      <c r="F3" s="71" t="s">
        <v>91</v>
      </c>
      <c r="G3" s="76"/>
      <c r="H3" s="76"/>
      <c r="I3" s="72"/>
      <c r="J3" s="68" t="s">
        <v>25</v>
      </c>
      <c r="L3" s="68" t="s">
        <v>57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93</v>
      </c>
      <c r="E4" s="3" t="s">
        <v>72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'2024.02'!A1</f>
        <v>2024.02</v>
      </c>
      <c r="B5" s="5">
        <f>'2024.02'!B18</f>
        <v>10</v>
      </c>
      <c r="C5" s="5">
        <f>B5</f>
        <v>10</v>
      </c>
      <c r="D5" s="14">
        <f>'2024.02'!D18</f>
        <v>0.13644426000000001</v>
      </c>
      <c r="E5" s="14">
        <f>D5</f>
        <v>0.13644426000000001</v>
      </c>
      <c r="F5" s="5">
        <v>73.069999999999993</v>
      </c>
      <c r="G5" s="5">
        <f t="shared" ref="G5:G27" si="0">E5*F5</f>
        <v>9.9699820781999993</v>
      </c>
      <c r="H5" s="5">
        <f t="shared" ref="H5:H10" si="1">G5-C5</f>
        <v>-3.0017921800000735E-2</v>
      </c>
      <c r="I5" s="20">
        <f t="shared" ref="I5:I10" si="2">(G5-C5)/C5</f>
        <v>-3.0017921800000735E-3</v>
      </c>
      <c r="J5" s="5">
        <f>'2024.02'!E18</f>
        <v>0</v>
      </c>
      <c r="L5" s="3" t="s">
        <v>2</v>
      </c>
      <c r="M5" s="5">
        <f>SUM(B5:B67)</f>
        <v>38.17</v>
      </c>
      <c r="N5" s="5">
        <f>INDEX(G5:G100,MATCH(9.99999999999999E+307,G5:G100))</f>
        <v>42.120533412</v>
      </c>
      <c r="O5" s="20">
        <f>INDEX(I5:I100,MATCH(9.99999999999999E+307,I5:I100))</f>
        <v>0.10349838648152995</v>
      </c>
      <c r="P5" s="5">
        <f>N5+S5</f>
        <v>42.120533412</v>
      </c>
      <c r="Q5" s="20">
        <f>(P5-M5)/M5</f>
        <v>0.10349838648152995</v>
      </c>
      <c r="R5" s="14">
        <f>SUM(D5:D67)</f>
        <v>0.45882934000000003</v>
      </c>
      <c r="S5" s="5">
        <f>SUM(J5:J67)</f>
        <v>0</v>
      </c>
    </row>
    <row r="6" spans="1:19" x14ac:dyDescent="0.25">
      <c r="A6" s="62" t="str">
        <f>'2024.03'!A1</f>
        <v>2024.03</v>
      </c>
      <c r="B6" s="5">
        <f>'2024.03'!B18</f>
        <v>0</v>
      </c>
      <c r="C6" s="5">
        <f>C5+B6</f>
        <v>10</v>
      </c>
      <c r="D6" s="14">
        <f>'2024.03'!D18</f>
        <v>0</v>
      </c>
      <c r="E6" s="14">
        <f t="shared" ref="E6:E19" si="3">E5+D6</f>
        <v>0.13644426000000001</v>
      </c>
      <c r="F6" s="5">
        <v>74.760000000000005</v>
      </c>
      <c r="G6" s="5">
        <f t="shared" si="0"/>
        <v>10.200572877600001</v>
      </c>
      <c r="H6" s="5">
        <f t="shared" si="1"/>
        <v>0.20057287760000087</v>
      </c>
      <c r="I6" s="20">
        <f t="shared" si="2"/>
        <v>2.0057287760000087E-2</v>
      </c>
      <c r="J6" s="5">
        <f>'2024.03'!E18</f>
        <v>0</v>
      </c>
    </row>
    <row r="7" spans="1:19" x14ac:dyDescent="0.25">
      <c r="A7" s="62" t="str">
        <f>'2024.04'!A1</f>
        <v>2024.04</v>
      </c>
      <c r="B7" s="5">
        <f>'2024.04'!B18</f>
        <v>0</v>
      </c>
      <c r="C7" s="5">
        <f t="shared" ref="C7:C27" si="4">C6+B7</f>
        <v>10</v>
      </c>
      <c r="D7" s="14">
        <f>'2024.04'!D18</f>
        <v>0</v>
      </c>
      <c r="E7" s="14">
        <f t="shared" si="3"/>
        <v>0.13644426000000001</v>
      </c>
      <c r="F7" s="5">
        <v>71.75</v>
      </c>
      <c r="G7" s="5">
        <f t="shared" si="0"/>
        <v>9.7898756550000012</v>
      </c>
      <c r="H7" s="5">
        <f t="shared" si="1"/>
        <v>-0.21012434499999877</v>
      </c>
      <c r="I7" s="20">
        <f t="shared" si="2"/>
        <v>-2.1012434499999878E-2</v>
      </c>
      <c r="J7" s="5">
        <f>'2024.04'!E18</f>
        <v>0</v>
      </c>
    </row>
    <row r="8" spans="1:19" x14ac:dyDescent="0.25">
      <c r="A8" s="62" t="str">
        <f>'2024.05'!A1</f>
        <v>2024.05</v>
      </c>
      <c r="B8" s="5">
        <f>'2024.05'!B18</f>
        <v>0</v>
      </c>
      <c r="C8" s="5">
        <f t="shared" si="4"/>
        <v>10</v>
      </c>
      <c r="D8" s="14">
        <f>'2024.05'!D18</f>
        <v>0</v>
      </c>
      <c r="E8" s="14">
        <f t="shared" si="3"/>
        <v>0.13644426000000001</v>
      </c>
      <c r="F8" s="5">
        <v>74.98</v>
      </c>
      <c r="G8" s="5">
        <f t="shared" si="0"/>
        <v>10.230590614800001</v>
      </c>
      <c r="H8" s="5">
        <f t="shared" si="1"/>
        <v>0.23059061480000054</v>
      </c>
      <c r="I8" s="20">
        <f t="shared" si="2"/>
        <v>2.3059061480000052E-2</v>
      </c>
      <c r="J8" s="5">
        <f>'2024.05'!E18</f>
        <v>0</v>
      </c>
    </row>
    <row r="9" spans="1:19" x14ac:dyDescent="0.25">
      <c r="A9" s="62" t="str">
        <f>'2024.06'!A1</f>
        <v>2024.06</v>
      </c>
      <c r="B9" s="5">
        <f>'2024.06'!B18</f>
        <v>0</v>
      </c>
      <c r="C9" s="5">
        <f t="shared" si="4"/>
        <v>10</v>
      </c>
      <c r="D9" s="14">
        <f>'2024.06'!D18</f>
        <v>0</v>
      </c>
      <c r="E9" s="14">
        <f t="shared" si="3"/>
        <v>0.13644426000000001</v>
      </c>
      <c r="F9" s="5">
        <v>84.28</v>
      </c>
      <c r="G9" s="5">
        <f t="shared" si="0"/>
        <v>11.4995222328</v>
      </c>
      <c r="H9" s="5">
        <f t="shared" si="1"/>
        <v>1.4995222328000004</v>
      </c>
      <c r="I9" s="20">
        <f t="shared" si="2"/>
        <v>0.14995222328000005</v>
      </c>
      <c r="J9" s="5">
        <f>'2024.06'!E18</f>
        <v>0</v>
      </c>
    </row>
    <row r="10" spans="1:19" x14ac:dyDescent="0.25">
      <c r="A10" s="62" t="str">
        <f>'2024.07'!A1</f>
        <v>2024.07</v>
      </c>
      <c r="B10" s="5">
        <f>'2024.07'!B18</f>
        <v>0</v>
      </c>
      <c r="C10" s="5">
        <f t="shared" si="4"/>
        <v>10</v>
      </c>
      <c r="D10" s="14">
        <f>'2024.07'!D18</f>
        <v>0</v>
      </c>
      <c r="E10" s="14">
        <f t="shared" si="3"/>
        <v>0.13644426000000001</v>
      </c>
      <c r="F10" s="5">
        <v>81.209999999999994</v>
      </c>
      <c r="G10" s="5">
        <f t="shared" si="0"/>
        <v>11.0806383546</v>
      </c>
      <c r="H10" s="5">
        <f t="shared" si="1"/>
        <v>1.0806383545999996</v>
      </c>
      <c r="I10" s="20">
        <f t="shared" si="2"/>
        <v>0.10806383545999995</v>
      </c>
      <c r="J10" s="5">
        <f>'2024.07'!E18</f>
        <v>0</v>
      </c>
    </row>
    <row r="11" spans="1:19" x14ac:dyDescent="0.25">
      <c r="A11" s="62" t="str">
        <f>'2024.08'!A1</f>
        <v>2024.08</v>
      </c>
      <c r="B11" s="5">
        <f>'2024.08'!B18</f>
        <v>0</v>
      </c>
      <c r="C11" s="5">
        <f t="shared" si="4"/>
        <v>10</v>
      </c>
      <c r="D11" s="14">
        <f>'2024.08'!D18</f>
        <v>0</v>
      </c>
      <c r="E11" s="14">
        <f t="shared" si="3"/>
        <v>0.13644426000000001</v>
      </c>
      <c r="F11" s="5">
        <v>80.25</v>
      </c>
      <c r="G11" s="5">
        <f t="shared" si="0"/>
        <v>10.949651865000002</v>
      </c>
      <c r="H11" s="5">
        <f t="shared" ref="H11:H26" si="5">G11-C11</f>
        <v>0.94965186500000165</v>
      </c>
      <c r="I11" s="20">
        <f t="shared" ref="I11:I26" si="6">(G11-C11)/C11</f>
        <v>9.4965186500000159E-2</v>
      </c>
      <c r="J11" s="5">
        <f>'2024.08'!E18</f>
        <v>0</v>
      </c>
    </row>
    <row r="12" spans="1:19" x14ac:dyDescent="0.25">
      <c r="A12" s="62" t="str">
        <f>'2024.09'!A1</f>
        <v>2024.09</v>
      </c>
      <c r="B12" s="5">
        <f>'2024.09'!B18</f>
        <v>0</v>
      </c>
      <c r="C12" s="5">
        <f t="shared" si="4"/>
        <v>10</v>
      </c>
      <c r="D12" s="14">
        <f>'2024.09'!D18</f>
        <v>0</v>
      </c>
      <c r="E12" s="14">
        <f t="shared" si="3"/>
        <v>0.13644426000000001</v>
      </c>
      <c r="F12" s="5">
        <v>81.209999999999994</v>
      </c>
      <c r="G12" s="5">
        <f t="shared" si="0"/>
        <v>11.0806383546</v>
      </c>
      <c r="H12" s="5">
        <f t="shared" si="5"/>
        <v>1.0806383545999996</v>
      </c>
      <c r="I12" s="20">
        <f t="shared" si="6"/>
        <v>0.10806383545999995</v>
      </c>
      <c r="J12" s="5">
        <f>'2024.09'!E18</f>
        <v>0</v>
      </c>
    </row>
    <row r="13" spans="1:19" x14ac:dyDescent="0.25">
      <c r="A13" s="62" t="str">
        <f>'2024.10'!A1</f>
        <v>2024.10</v>
      </c>
      <c r="B13" s="5">
        <f>'2024.10'!B18</f>
        <v>0</v>
      </c>
      <c r="C13" s="5">
        <f t="shared" si="4"/>
        <v>10</v>
      </c>
      <c r="D13" s="14">
        <f>'2024.10'!D18</f>
        <v>0</v>
      </c>
      <c r="E13" s="14">
        <f t="shared" si="3"/>
        <v>0.13644426000000001</v>
      </c>
      <c r="F13" s="5">
        <v>83.04</v>
      </c>
      <c r="G13" s="5">
        <f t="shared" si="0"/>
        <v>11.330331350400002</v>
      </c>
      <c r="H13" s="5">
        <f t="shared" si="5"/>
        <v>1.3303313504000016</v>
      </c>
      <c r="I13" s="20">
        <f t="shared" si="6"/>
        <v>0.13303313504000017</v>
      </c>
      <c r="J13" s="5">
        <f>'2024.10'!E18</f>
        <v>0</v>
      </c>
    </row>
    <row r="14" spans="1:19" x14ac:dyDescent="0.25">
      <c r="A14" s="62" t="str">
        <f>'2024.11'!A1</f>
        <v>2024.11</v>
      </c>
      <c r="B14" s="5">
        <f>'2024.11'!B18</f>
        <v>0</v>
      </c>
      <c r="C14" s="5">
        <f t="shared" si="4"/>
        <v>10</v>
      </c>
      <c r="D14" s="14">
        <f>'2024.11'!D18</f>
        <v>0</v>
      </c>
      <c r="E14" s="14">
        <f t="shared" si="3"/>
        <v>0.13644426000000001</v>
      </c>
      <c r="F14" s="5">
        <v>89.63</v>
      </c>
      <c r="G14" s="5">
        <f t="shared" si="0"/>
        <v>12.229499023800001</v>
      </c>
      <c r="H14" s="5">
        <f t="shared" si="5"/>
        <v>2.2294990238000008</v>
      </c>
      <c r="I14" s="20">
        <f t="shared" si="6"/>
        <v>0.22294990238000006</v>
      </c>
      <c r="J14" s="5">
        <f>'2024.11'!E18</f>
        <v>0</v>
      </c>
    </row>
    <row r="15" spans="1:19" x14ac:dyDescent="0.25">
      <c r="A15" s="62" t="str">
        <f>'2024.12'!A1</f>
        <v>2024.12</v>
      </c>
      <c r="B15" s="5">
        <f>'2024.12'!B18</f>
        <v>0</v>
      </c>
      <c r="C15" s="5">
        <f t="shared" si="4"/>
        <v>10</v>
      </c>
      <c r="D15" s="14">
        <f>'2024.12'!D18</f>
        <v>0</v>
      </c>
      <c r="E15" s="14">
        <f t="shared" si="3"/>
        <v>0.13644426000000001</v>
      </c>
      <c r="F15" s="5">
        <v>92.86</v>
      </c>
      <c r="G15" s="5">
        <f t="shared" si="0"/>
        <v>12.670213983600002</v>
      </c>
      <c r="H15" s="5">
        <f t="shared" si="5"/>
        <v>2.6702139836000018</v>
      </c>
      <c r="I15" s="20">
        <f t="shared" si="6"/>
        <v>0.26702139836000016</v>
      </c>
      <c r="J15" s="5">
        <f>'2024.12'!E18</f>
        <v>0</v>
      </c>
    </row>
    <row r="16" spans="1:19" x14ac:dyDescent="0.25">
      <c r="A16" s="62" t="str">
        <f>'2025.01'!A1</f>
        <v>2025.01</v>
      </c>
      <c r="B16" s="5">
        <f>'2025.01'!B18</f>
        <v>0</v>
      </c>
      <c r="C16" s="5">
        <f t="shared" si="4"/>
        <v>10</v>
      </c>
      <c r="D16" s="14">
        <f>'2025.01'!D18</f>
        <v>0</v>
      </c>
      <c r="E16" s="14">
        <f t="shared" si="3"/>
        <v>0.13644426000000001</v>
      </c>
      <c r="F16" s="5">
        <v>91.03</v>
      </c>
      <c r="G16" s="5">
        <f t="shared" si="0"/>
        <v>12.420520987800002</v>
      </c>
      <c r="H16" s="5">
        <f t="shared" si="5"/>
        <v>2.4205209878000016</v>
      </c>
      <c r="I16" s="20">
        <f t="shared" si="6"/>
        <v>0.24205209878000017</v>
      </c>
      <c r="J16" s="5">
        <f>'2025.01'!E18</f>
        <v>0</v>
      </c>
    </row>
    <row r="17" spans="1:10" x14ac:dyDescent="0.25">
      <c r="A17" s="62" t="str">
        <f>'2025.02'!A1</f>
        <v>2025.02</v>
      </c>
      <c r="B17" s="5">
        <f>'2025.02'!B18</f>
        <v>0</v>
      </c>
      <c r="C17" s="5">
        <f t="shared" si="4"/>
        <v>10</v>
      </c>
      <c r="D17" s="14">
        <f>'2025.02'!D18</f>
        <v>0</v>
      </c>
      <c r="E17" s="14">
        <f t="shared" si="3"/>
        <v>0.13644426000000001</v>
      </c>
      <c r="F17" s="5">
        <v>87.43</v>
      </c>
      <c r="G17" s="5">
        <f t="shared" si="0"/>
        <v>11.929321651800002</v>
      </c>
      <c r="H17" s="5">
        <f t="shared" si="5"/>
        <v>1.9293216518000023</v>
      </c>
      <c r="I17" s="20">
        <f t="shared" si="6"/>
        <v>0.19293216518000023</v>
      </c>
      <c r="J17" s="5">
        <f>'2025.02'!E18</f>
        <v>0</v>
      </c>
    </row>
    <row r="18" spans="1:10" x14ac:dyDescent="0.25">
      <c r="A18" s="62" t="str">
        <f>'2025.03'!A1</f>
        <v>2025.03</v>
      </c>
      <c r="B18" s="5">
        <f>'2025.03'!B18</f>
        <v>1.7</v>
      </c>
      <c r="C18" s="5">
        <f t="shared" si="4"/>
        <v>11.7</v>
      </c>
      <c r="D18" s="14">
        <f>'2025.03'!D18</f>
        <v>2.0974699999999999E-2</v>
      </c>
      <c r="E18" s="14">
        <f t="shared" si="3"/>
        <v>0.15741896</v>
      </c>
      <c r="F18" s="5">
        <v>77.5</v>
      </c>
      <c r="G18" s="5">
        <f t="shared" si="0"/>
        <v>12.199969400000001</v>
      </c>
      <c r="H18" s="5">
        <f t="shared" si="5"/>
        <v>0.49996940000000123</v>
      </c>
      <c r="I18" s="20">
        <f t="shared" si="6"/>
        <v>4.2732427350427461E-2</v>
      </c>
      <c r="J18" s="5">
        <f>'2025.03'!E18</f>
        <v>0</v>
      </c>
    </row>
    <row r="19" spans="1:10" x14ac:dyDescent="0.25">
      <c r="A19" s="62" t="str">
        <f>'2025.04'!A1</f>
        <v>2025.04</v>
      </c>
      <c r="B19" s="5">
        <f>'2025.04'!B18</f>
        <v>6.63</v>
      </c>
      <c r="C19" s="5">
        <f t="shared" si="4"/>
        <v>18.329999999999998</v>
      </c>
      <c r="D19" s="14">
        <f>'2025.04'!D18</f>
        <v>8.8411359999999994E-2</v>
      </c>
      <c r="E19" s="14">
        <f t="shared" si="3"/>
        <v>0.24583031999999999</v>
      </c>
      <c r="F19" s="5">
        <v>76.150000000000006</v>
      </c>
      <c r="G19" s="5">
        <f t="shared" si="0"/>
        <v>18.719978868000002</v>
      </c>
      <c r="H19" s="5">
        <f t="shared" si="5"/>
        <v>0.38997886800000359</v>
      </c>
      <c r="I19" s="20">
        <f t="shared" si="6"/>
        <v>2.127544288052393E-2</v>
      </c>
      <c r="J19" s="5">
        <f>'2025.04'!E18</f>
        <v>0</v>
      </c>
    </row>
    <row r="20" spans="1:10" x14ac:dyDescent="0.25">
      <c r="A20" s="62" t="str">
        <f>'2025.05'!A1</f>
        <v>2025.05</v>
      </c>
      <c r="B20" s="5">
        <f>'2025.05'!B18</f>
        <v>1.01</v>
      </c>
      <c r="C20" s="5">
        <f t="shared" si="4"/>
        <v>19.34</v>
      </c>
      <c r="D20" s="14">
        <f>'2025.05'!D18</f>
        <v>1.314131E-2</v>
      </c>
      <c r="E20" s="14">
        <f t="shared" ref="E20" si="7">E19+D20</f>
        <v>0.25897163000000001</v>
      </c>
      <c r="F20" s="5">
        <v>83.06</v>
      </c>
      <c r="G20" s="5">
        <f t="shared" si="0"/>
        <v>21.5101835878</v>
      </c>
      <c r="H20" s="5">
        <f t="shared" si="5"/>
        <v>2.1701835878000004</v>
      </c>
      <c r="I20" s="20">
        <f t="shared" si="6"/>
        <v>0.11221218137538783</v>
      </c>
      <c r="J20" s="5">
        <f>'2025.05'!E18</f>
        <v>0</v>
      </c>
    </row>
    <row r="21" spans="1:10" x14ac:dyDescent="0.25">
      <c r="A21" s="62" t="str">
        <f>'2025.06'!A1</f>
        <v>2025.06</v>
      </c>
      <c r="B21" s="5">
        <f>'2025.06'!B24</f>
        <v>1.6</v>
      </c>
      <c r="C21" s="5">
        <f t="shared" si="4"/>
        <v>20.94</v>
      </c>
      <c r="D21" s="14">
        <f>'2025.06'!D24</f>
        <v>1.943398E-2</v>
      </c>
      <c r="E21" s="14">
        <f t="shared" ref="E21" si="8">E20+D21</f>
        <v>0.27840561000000003</v>
      </c>
      <c r="F21" s="5">
        <v>87.57</v>
      </c>
      <c r="G21" s="5">
        <f t="shared" si="0"/>
        <v>24.379979267700001</v>
      </c>
      <c r="H21" s="5">
        <f t="shared" si="5"/>
        <v>3.4399792677000001</v>
      </c>
      <c r="I21" s="20">
        <f t="shared" si="6"/>
        <v>0.16427790199140402</v>
      </c>
      <c r="J21" s="5">
        <f>'2025.06'!E24</f>
        <v>0</v>
      </c>
    </row>
    <row r="22" spans="1:10" x14ac:dyDescent="0.25">
      <c r="A22" s="62" t="str">
        <f>'2025.07'!A1</f>
        <v>2025.07</v>
      </c>
      <c r="B22" s="5">
        <f>'2025.07'!B24</f>
        <v>0.95</v>
      </c>
      <c r="C22" s="5">
        <f t="shared" si="4"/>
        <v>21.89</v>
      </c>
      <c r="D22" s="14">
        <f>'2025.07'!D24</f>
        <v>1.0659500000000001E-2</v>
      </c>
      <c r="E22" s="14">
        <f t="shared" ref="E22" si="9">E21+D22</f>
        <v>0.28906511000000001</v>
      </c>
      <c r="F22" s="5">
        <v>94.1</v>
      </c>
      <c r="G22" s="5">
        <f t="shared" si="0"/>
        <v>27.201026850999998</v>
      </c>
      <c r="H22" s="5">
        <f t="shared" si="5"/>
        <v>5.3110268509999976</v>
      </c>
      <c r="I22" s="20">
        <f t="shared" si="6"/>
        <v>0.24262342855185004</v>
      </c>
      <c r="J22" s="5">
        <f>'2025.07'!E24</f>
        <v>0</v>
      </c>
    </row>
    <row r="23" spans="1:10" x14ac:dyDescent="0.25">
      <c r="A23" s="62" t="str">
        <f>'2025.08'!A1</f>
        <v>2025.08</v>
      </c>
      <c r="B23" s="5">
        <f>'2025.08'!B24</f>
        <v>2.4500000000000002</v>
      </c>
      <c r="C23" s="5">
        <f t="shared" si="4"/>
        <v>24.34</v>
      </c>
      <c r="D23" s="14">
        <f>'2025.08'!D24</f>
        <v>2.6444080000000002E-2</v>
      </c>
      <c r="E23" s="14">
        <f t="shared" ref="E23" si="10">E22+D23</f>
        <v>0.31550918999999999</v>
      </c>
      <c r="F23" s="5">
        <v>91.95</v>
      </c>
      <c r="G23" s="5">
        <f t="shared" si="0"/>
        <v>29.0110700205</v>
      </c>
      <c r="H23" s="5">
        <f t="shared" si="5"/>
        <v>4.6710700205000002</v>
      </c>
      <c r="I23" s="20">
        <f t="shared" si="6"/>
        <v>0.19190920380032869</v>
      </c>
      <c r="J23" s="5">
        <f>'2025.08'!E24</f>
        <v>0</v>
      </c>
    </row>
    <row r="24" spans="1:10" x14ac:dyDescent="0.25">
      <c r="A24" s="62" t="str">
        <f>'2025.09'!A1</f>
        <v>2025.09</v>
      </c>
      <c r="B24" s="5">
        <f>'2025.09'!B24</f>
        <v>2.12</v>
      </c>
      <c r="C24" s="5">
        <f t="shared" si="4"/>
        <v>26.46</v>
      </c>
      <c r="D24" s="14">
        <f>'2025.09'!D24</f>
        <v>2.3105069999999998E-2</v>
      </c>
      <c r="E24" s="14">
        <f t="shared" ref="E24" si="11">E23+D24</f>
        <v>0.33861426</v>
      </c>
      <c r="F24" s="5">
        <v>97.9</v>
      </c>
      <c r="G24" s="5">
        <f t="shared" si="0"/>
        <v>33.150336054</v>
      </c>
      <c r="H24" s="5">
        <f t="shared" si="5"/>
        <v>6.6903360539999994</v>
      </c>
      <c r="I24" s="20">
        <f t="shared" si="6"/>
        <v>0.25284716757369613</v>
      </c>
      <c r="J24" s="5">
        <f>'2025.09'!E24</f>
        <v>0</v>
      </c>
    </row>
    <row r="25" spans="1:10" x14ac:dyDescent="0.25">
      <c r="A25" s="62" t="str">
        <f>'2025.10'!A1</f>
        <v>2025.10</v>
      </c>
      <c r="B25" s="5">
        <f>'2025.10'!B24</f>
        <v>0.23</v>
      </c>
      <c r="C25" s="5">
        <f t="shared" si="4"/>
        <v>26.69</v>
      </c>
      <c r="D25" s="14">
        <f>'2025.10'!D24</f>
        <v>2.3423900000000002E-3</v>
      </c>
      <c r="E25" s="14">
        <f t="shared" ref="E25" si="12">E24+D25</f>
        <v>0.34095665000000003</v>
      </c>
      <c r="F25" s="5">
        <v>106.64</v>
      </c>
      <c r="G25" s="5">
        <f t="shared" si="0"/>
        <v>36.359617156000006</v>
      </c>
      <c r="H25" s="5">
        <f t="shared" si="5"/>
        <v>9.6696171560000046</v>
      </c>
      <c r="I25" s="20">
        <f t="shared" si="6"/>
        <v>0.36229363641813428</v>
      </c>
      <c r="J25" s="5">
        <f>'2025.10'!E24</f>
        <v>0</v>
      </c>
    </row>
    <row r="26" spans="1:10" x14ac:dyDescent="0.25">
      <c r="A26" s="62" t="str">
        <f>'2025.11'!A1</f>
        <v>2025.11</v>
      </c>
      <c r="B26" s="5">
        <f>'2025.11'!B24</f>
        <v>0</v>
      </c>
      <c r="C26" s="5">
        <f t="shared" si="4"/>
        <v>26.69</v>
      </c>
      <c r="D26" s="14">
        <f>'2025.11'!D24</f>
        <v>0</v>
      </c>
      <c r="E26" s="14">
        <f t="shared" ref="E26" si="13">E25+D26</f>
        <v>0.34095665000000003</v>
      </c>
      <c r="F26" s="5">
        <v>101.16</v>
      </c>
      <c r="G26" s="5">
        <f t="shared" si="0"/>
        <v>34.491174714000003</v>
      </c>
      <c r="H26" s="5">
        <f t="shared" si="5"/>
        <v>7.8011747140000018</v>
      </c>
      <c r="I26" s="20">
        <f t="shared" si="6"/>
        <v>0.29228829951292623</v>
      </c>
      <c r="J26" s="5">
        <f>'2025.11'!E24</f>
        <v>0</v>
      </c>
    </row>
    <row r="27" spans="1:10" x14ac:dyDescent="0.25">
      <c r="A27" s="62" t="str">
        <f>'2025.12'!A1</f>
        <v>2025.12</v>
      </c>
      <c r="B27" s="5">
        <f>'2025.12'!B24</f>
        <v>2.88</v>
      </c>
      <c r="C27" s="5">
        <f t="shared" si="4"/>
        <v>29.57</v>
      </c>
      <c r="D27" s="14">
        <f>'2025.12'!D24</f>
        <v>2.8872180000000001E-2</v>
      </c>
      <c r="E27" s="14">
        <f t="shared" ref="E27" si="14">E26+D27</f>
        <v>0.36982883000000005</v>
      </c>
      <c r="F27" s="5">
        <v>100.72</v>
      </c>
      <c r="G27" s="5">
        <f t="shared" si="0"/>
        <v>37.249159757600005</v>
      </c>
      <c r="H27" s="5">
        <f>G27-C27</f>
        <v>7.6791597576000044</v>
      </c>
      <c r="I27" s="20">
        <f>(G27-C27)/C27</f>
        <v>0.25969427655055816</v>
      </c>
      <c r="J27" s="5">
        <f>'2025.12'!E24</f>
        <v>0</v>
      </c>
    </row>
    <row r="28" spans="1:10" x14ac:dyDescent="0.25">
      <c r="A28" s="62" t="str">
        <f>'2026.01'!A1</f>
        <v>2026.01</v>
      </c>
      <c r="B28" s="5">
        <f>'2026.01'!B24</f>
        <v>1.33</v>
      </c>
      <c r="C28" s="5">
        <f t="shared" ref="C28" si="15">C27+B28</f>
        <v>30.9</v>
      </c>
      <c r="D28" s="14">
        <f>'2026.01'!D24</f>
        <v>1.312932E-2</v>
      </c>
      <c r="E28" s="14">
        <f t="shared" ref="E28" si="16">E27+D28</f>
        <v>0.38295815000000005</v>
      </c>
      <c r="F28" s="5">
        <v>97.82</v>
      </c>
      <c r="G28" s="5">
        <f t="shared" ref="G28" si="17">E28*F28</f>
        <v>37.460966233000001</v>
      </c>
      <c r="H28" s="5">
        <f>G28-C28</f>
        <v>6.560966233000002</v>
      </c>
      <c r="I28" s="20">
        <f>(G28-C28)/C28</f>
        <v>0.2123290043042072</v>
      </c>
      <c r="J28" s="5">
        <f>'2026.01'!E24</f>
        <v>0</v>
      </c>
    </row>
    <row r="29" spans="1:10" x14ac:dyDescent="0.25">
      <c r="A29" s="62">
        <f>'2026.02'!A1</f>
        <v>2026.02</v>
      </c>
      <c r="B29" s="5">
        <f>'2026.02'!B24</f>
        <v>2.93</v>
      </c>
      <c r="C29" s="5">
        <f t="shared" ref="C29" si="18">C28+B29</f>
        <v>33.83</v>
      </c>
      <c r="D29" s="14">
        <f>'2026.02'!D24</f>
        <v>2.956609E-2</v>
      </c>
      <c r="E29" s="14">
        <f t="shared" ref="E29" si="19">E28+D29</f>
        <v>0.41252424000000004</v>
      </c>
      <c r="F29" s="5">
        <v>94.35</v>
      </c>
      <c r="G29" s="5">
        <f t="shared" ref="G29" si="20">E29*F29</f>
        <v>38.921662044000001</v>
      </c>
      <c r="H29" s="5">
        <f>G29-C29</f>
        <v>5.0916620440000031</v>
      </c>
      <c r="I29" s="20">
        <f>(G29-C29)/C29</f>
        <v>0.15050730251256292</v>
      </c>
      <c r="J29" s="5">
        <f>'2026.02'!E24</f>
        <v>0</v>
      </c>
    </row>
    <row r="30" spans="1:10" x14ac:dyDescent="0.25">
      <c r="A30" s="62">
        <f>'2026.03'!A1</f>
        <v>2026.03</v>
      </c>
      <c r="B30" s="5">
        <f>'2026.03'!B24</f>
        <v>3.28</v>
      </c>
      <c r="C30" s="5">
        <f t="shared" ref="C30" si="21">C29+B30</f>
        <v>37.11</v>
      </c>
      <c r="D30" s="14">
        <f>'2026.03'!D24</f>
        <v>3.4975470000000002E-2</v>
      </c>
      <c r="E30" s="14">
        <f t="shared" ref="E30" si="22">E29+D30</f>
        <v>0.44749971000000005</v>
      </c>
      <c r="F30" s="5">
        <v>92.47</v>
      </c>
      <c r="G30" s="5">
        <f t="shared" ref="G30" si="23">E30*F30</f>
        <v>41.380298183700006</v>
      </c>
      <c r="H30" s="5">
        <f>G30-C30</f>
        <v>4.2702981837000067</v>
      </c>
      <c r="I30" s="20">
        <f>(G30-C30)/C30</f>
        <v>0.11507136037995168</v>
      </c>
      <c r="J30" s="5">
        <f>'2026.03'!E24</f>
        <v>0</v>
      </c>
    </row>
    <row r="31" spans="1:10" x14ac:dyDescent="0.25">
      <c r="A31" s="62" t="str">
        <f>'2026.04'!N2</f>
        <v>2026.04</v>
      </c>
      <c r="B31" s="5">
        <f>'2026.04'!B26</f>
        <v>1.06</v>
      </c>
      <c r="C31" s="5">
        <f t="shared" ref="C31" si="24">C30+B31</f>
        <v>38.17</v>
      </c>
      <c r="D31" s="14">
        <f>'2026.04'!D26</f>
        <v>1.132963E-2</v>
      </c>
      <c r="E31" s="14">
        <f t="shared" ref="E31" si="25">E30+D31</f>
        <v>0.45882934000000003</v>
      </c>
      <c r="F31" s="51">
        <v>91.8</v>
      </c>
      <c r="G31" s="5">
        <f t="shared" ref="G31" si="26">E31*F31</f>
        <v>42.120533412</v>
      </c>
      <c r="H31" s="5">
        <f>G31-C31</f>
        <v>3.9505334119999986</v>
      </c>
      <c r="I31" s="20">
        <f>(G31-C31)/C31</f>
        <v>0.10349838648152995</v>
      </c>
      <c r="J31" s="5">
        <f>'2026.04'!L26</f>
        <v>0</v>
      </c>
    </row>
  </sheetData>
  <mergeCells count="11">
    <mergeCell ref="R3:R4"/>
    <mergeCell ref="S3:S4"/>
    <mergeCell ref="P3:Q3"/>
    <mergeCell ref="N3:O3"/>
    <mergeCell ref="L3:L4"/>
    <mergeCell ref="M3:M4"/>
    <mergeCell ref="A3:A4"/>
    <mergeCell ref="B3:C3"/>
    <mergeCell ref="D3:E3"/>
    <mergeCell ref="F3:I3"/>
    <mergeCell ref="J3:J4"/>
  </mergeCells>
  <hyperlinks>
    <hyperlink ref="A5" location="'2024.02'!A1" display="'2024.02'!A1" xr:uid="{549044CB-75A4-41B0-AEB2-158595ED5AA7}"/>
    <hyperlink ref="A6" location="'2024.03'!A1" display="'2024.03'!A1" xr:uid="{3C30BF4B-B22D-4D17-BABC-AC6949A59B9B}"/>
    <hyperlink ref="A7" location="'2024.04'!A1" display="'2024.04'!A1" xr:uid="{12BD7BA3-19C8-4E7B-BE63-A9AC99E3FABC}"/>
    <hyperlink ref="A8" location="'2024.05'!A1" display="'2024.05'!A1" xr:uid="{7C606662-2E13-43F9-8380-4D9EA21B3F22}"/>
    <hyperlink ref="A9" location="'2024.06'!A1" display="'2024.06'!A1" xr:uid="{7E3B7EB7-8A2D-480E-9E89-3A6907730726}"/>
    <hyperlink ref="A10" location="'2024.07'!A1" display="'2024.07'!A1" xr:uid="{5DB7AF52-C2B9-4B12-9BD4-B5D4FEC0A70F}"/>
    <hyperlink ref="A11" location="'2024.08'!A1" display="'2024.08'!A1" xr:uid="{A18C9863-13AA-4672-847C-3733BA9912D3}"/>
    <hyperlink ref="A12" location="'2024.09'!A1" display="'2024.09'!A1" xr:uid="{560CE2D5-E158-4A8A-A6FF-B567882BA7C6}"/>
    <hyperlink ref="A13" location="'2024.10'!A1" display="'2024.10'!A1" xr:uid="{DD2F118E-21EE-465C-9111-46A764410DEE}"/>
    <hyperlink ref="A14" location="'2024.11'!A1" display="'2024.11'!A1" xr:uid="{74641923-8C02-45D5-988C-ED01CB5D1E93}"/>
    <hyperlink ref="A15" location="'2024.12'!A1" display="'2024.12'!A1" xr:uid="{DF48AD48-DD42-46A2-B59C-3A482B0D2B85}"/>
    <hyperlink ref="A31" location="'2026.04'!A1" display="'2026.04'!A1" xr:uid="{EB987B7D-D489-4EEE-95F9-1DC6679FFE0A}"/>
    <hyperlink ref="A30" location="'2026.03'!A1" display="'2026.03'!A1" xr:uid="{BEB5F86C-2A1B-44B2-B3CD-E669A7E48656}"/>
    <hyperlink ref="A29" location="'2026.02'!A1" display="'2026.02'!A1" xr:uid="{5983A1B9-26F0-473F-BDEB-4F1D9C3407AD}"/>
    <hyperlink ref="A28" location="'2026.01'!A1" display="'2026.01'!A1" xr:uid="{00C9E7A6-B5FE-4105-9AC4-FF2B71BED62C}"/>
    <hyperlink ref="A27" location="'2025.12'!A1" display="'2025.12'!A1" xr:uid="{3B5ABFBD-8DD5-4598-8708-C13136659770}"/>
    <hyperlink ref="A26" location="'2025.11'!A1" display="'2025.11'!A1" xr:uid="{0D15ACB8-3352-40EE-AA6C-6AB9833A1167}"/>
    <hyperlink ref="A25" location="'2025.10'!A1" display="'2025.10'!A1" xr:uid="{814D9563-171D-4EF8-B1BE-C96BE466E276}"/>
    <hyperlink ref="A16" location="'2025.01'!A1" display="'2025.01'!A1" xr:uid="{B3A394CA-A1D2-4E8D-A823-DF9686E41A03}"/>
    <hyperlink ref="A17" location="'2025.02'!A1" display="'2025.02'!A1" xr:uid="{D4CD2F83-499B-4C50-8287-A639EB3E8537}"/>
    <hyperlink ref="A18" location="'2025.03'!A1" display="'2025.03'!A1" xr:uid="{1B683B21-47D0-4E4F-8108-E8AD78D6D5D6}"/>
    <hyperlink ref="A19" location="'2025.04'!A1" display="'2025.04'!A1" xr:uid="{1A71DE45-9321-4453-991E-E45DCF6DC5A0}"/>
    <hyperlink ref="A20" location="'2025.05'!A1" display="'2025.05'!A1" xr:uid="{064BE747-E8E4-4FF3-8E00-18D7F6116933}"/>
    <hyperlink ref="A21" location="'2025.06'!A1" display="'2025.06'!A1" xr:uid="{2104E7A3-189A-4D4E-8DB4-6604A586D84E}"/>
    <hyperlink ref="A22" location="'2025.07'!A1" display="'2025.07'!A1" xr:uid="{B25B8E04-6D1B-4E94-BD82-BA5642EF0A93}"/>
    <hyperlink ref="A23" location="'2025.08'!A1" display="'2025.08'!A1" xr:uid="{EBC42FE4-55E1-465A-8ACD-2F141DD0AD8B}"/>
    <hyperlink ref="A24" location="'2025.09'!A1" display="'2025.09'!A1" xr:uid="{D5E8C164-B324-487E-B016-FE212A655D60}"/>
  </hyperlinks>
  <pageMargins left="0.7" right="0.7" top="0.75" bottom="0.75" header="0.3" footer="0.3"/>
  <pageSetup orientation="portrait" r:id="rId1"/>
  <ignoredErrors>
    <ignoredError sqref="D5:D20 N5 D21:D31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S31"/>
  <sheetViews>
    <sheetView workbookViewId="0">
      <pane ySplit="12" topLeftCell="A13" activePane="bottomLeft" state="frozen"/>
      <selection activeCell="A7" sqref="A7"/>
      <selection pane="bottomLeft" activeCell="A7" sqref="A7"/>
    </sheetView>
  </sheetViews>
  <sheetFormatPr defaultRowHeight="15" x14ac:dyDescent="0.25"/>
  <cols>
    <col min="1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13" t="s">
        <v>15</v>
      </c>
    </row>
    <row r="3" spans="1:19" x14ac:dyDescent="0.25">
      <c r="A3" s="68" t="s">
        <v>90</v>
      </c>
      <c r="B3" s="71" t="s">
        <v>3</v>
      </c>
      <c r="C3" s="72"/>
      <c r="D3" s="77" t="s">
        <v>1</v>
      </c>
      <c r="E3" s="77"/>
      <c r="F3" s="71" t="s">
        <v>91</v>
      </c>
      <c r="G3" s="76"/>
      <c r="H3" s="76"/>
      <c r="I3" s="72"/>
      <c r="J3" s="68" t="s">
        <v>25</v>
      </c>
      <c r="L3" s="68" t="s">
        <v>62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72</v>
      </c>
      <c r="E4" s="3" t="s">
        <v>93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" t="str">
        <f>'2024.02'!A1</f>
        <v>2024.02</v>
      </c>
      <c r="B5" s="5">
        <f>'2024.02'!B27</f>
        <v>15</v>
      </c>
      <c r="C5" s="5">
        <f>B5</f>
        <v>15</v>
      </c>
      <c r="D5" s="14">
        <f>'2024.02'!D27</f>
        <v>0.18726100000000001</v>
      </c>
      <c r="E5" s="14">
        <f>D5</f>
        <v>0.18726100000000001</v>
      </c>
      <c r="F5" s="5">
        <v>80.58</v>
      </c>
      <c r="G5" s="5">
        <f t="shared" ref="G5:G27" si="0">E5*F5</f>
        <v>15.08949138</v>
      </c>
      <c r="H5" s="5">
        <f>G5-C5</f>
        <v>8.949138000000012E-2</v>
      </c>
      <c r="I5" s="20">
        <f>(G5-C5)/C5</f>
        <v>5.9660920000000079E-3</v>
      </c>
      <c r="J5" s="5">
        <f>'2024.02'!E27</f>
        <v>0</v>
      </c>
      <c r="L5" s="3" t="s">
        <v>2</v>
      </c>
      <c r="M5" s="5">
        <f>SUM(B5:B67)</f>
        <v>66.58</v>
      </c>
      <c r="N5" s="5">
        <f>INDEX(G5:G100,MATCH(9.99999999999999E+307,G5:G100))</f>
        <v>64.197156096000015</v>
      </c>
      <c r="O5" s="20">
        <f>INDEX(I5:I100,MATCH(9.99999999999999E+307,I5:I100))</f>
        <v>-3.5789184499849559E-2</v>
      </c>
      <c r="P5" s="5">
        <f>N5+S5</f>
        <v>69.07715609600001</v>
      </c>
      <c r="Q5" s="20">
        <f>(P5-M5)/M5</f>
        <v>3.7506099369180111E-2</v>
      </c>
      <c r="R5" s="14">
        <f>SUM(D5:D67)</f>
        <v>0.85939968000000022</v>
      </c>
      <c r="S5" s="5">
        <f>SUM(J5:J67)</f>
        <v>4.88</v>
      </c>
    </row>
    <row r="6" spans="1:19" x14ac:dyDescent="0.25">
      <c r="A6" s="6" t="str">
        <f>'2024.03'!A1</f>
        <v>2024.03</v>
      </c>
      <c r="B6" s="5">
        <f>'2024.03'!B27</f>
        <v>0</v>
      </c>
      <c r="C6" s="5">
        <f>C5+B6</f>
        <v>15</v>
      </c>
      <c r="D6" s="14">
        <f>'2024.03'!D27</f>
        <v>0</v>
      </c>
      <c r="E6" s="14">
        <f t="shared" ref="E6:E11" si="1">E5+D6</f>
        <v>0.18726100000000001</v>
      </c>
      <c r="F6" s="5">
        <v>80.58</v>
      </c>
      <c r="G6" s="5">
        <f t="shared" si="0"/>
        <v>15.08949138</v>
      </c>
      <c r="H6" s="5">
        <f t="shared" ref="H6:H27" si="2">G6-C6</f>
        <v>8.949138000000012E-2</v>
      </c>
      <c r="I6" s="20">
        <f t="shared" ref="I6:I27" si="3">(G6-C6)/C6</f>
        <v>5.9660920000000079E-3</v>
      </c>
      <c r="J6" s="5">
        <f>'2024.03'!E27</f>
        <v>0</v>
      </c>
    </row>
    <row r="7" spans="1:19" x14ac:dyDescent="0.25">
      <c r="A7" s="6" t="str">
        <f>'2024.04'!A1</f>
        <v>2024.04</v>
      </c>
      <c r="B7" s="5">
        <f>'2024.04'!B27</f>
        <v>0</v>
      </c>
      <c r="C7" s="5">
        <f t="shared" ref="C7:C27" si="4">C6+B7</f>
        <v>15</v>
      </c>
      <c r="D7" s="14">
        <f>'2024.04'!D27</f>
        <v>0</v>
      </c>
      <c r="E7" s="14">
        <f t="shared" si="1"/>
        <v>0.18726100000000001</v>
      </c>
      <c r="F7" s="5">
        <v>81.92</v>
      </c>
      <c r="G7" s="5">
        <f t="shared" si="0"/>
        <v>15.340421120000002</v>
      </c>
      <c r="H7" s="5">
        <f t="shared" si="2"/>
        <v>0.34042112000000202</v>
      </c>
      <c r="I7" s="20">
        <f t="shared" si="3"/>
        <v>2.2694741333333469E-2</v>
      </c>
      <c r="J7" s="5">
        <f>'2024.04'!E27</f>
        <v>0</v>
      </c>
    </row>
    <row r="8" spans="1:19" x14ac:dyDescent="0.25">
      <c r="A8" s="6" t="str">
        <f>'2024.05'!A1</f>
        <v>2024.05</v>
      </c>
      <c r="B8" s="5">
        <f>'2024.05'!B27</f>
        <v>0</v>
      </c>
      <c r="C8" s="5">
        <f t="shared" si="4"/>
        <v>15</v>
      </c>
      <c r="D8" s="14">
        <f>'2024.05'!D27</f>
        <v>0</v>
      </c>
      <c r="E8" s="14">
        <f t="shared" si="1"/>
        <v>0.18726100000000001</v>
      </c>
      <c r="F8" s="5">
        <v>81.22</v>
      </c>
      <c r="G8" s="5">
        <f t="shared" si="0"/>
        <v>15.20933842</v>
      </c>
      <c r="H8" s="5">
        <f t="shared" si="2"/>
        <v>0.20933841999999991</v>
      </c>
      <c r="I8" s="20">
        <f t="shared" si="3"/>
        <v>1.3955894666666661E-2</v>
      </c>
      <c r="J8" s="5">
        <f>'2024.05'!E27</f>
        <v>0</v>
      </c>
    </row>
    <row r="9" spans="1:19" x14ac:dyDescent="0.25">
      <c r="A9" s="6" t="str">
        <f>'2024.06'!A1</f>
        <v>2024.06</v>
      </c>
      <c r="B9" s="5">
        <f>'2024.06'!B27</f>
        <v>0</v>
      </c>
      <c r="C9" s="5">
        <f t="shared" si="4"/>
        <v>15</v>
      </c>
      <c r="D9" s="14">
        <f>'2024.06'!D27</f>
        <v>0</v>
      </c>
      <c r="E9" s="14">
        <f t="shared" si="1"/>
        <v>0.18726100000000001</v>
      </c>
      <c r="F9" s="5">
        <v>80.42</v>
      </c>
      <c r="G9" s="5">
        <f t="shared" si="0"/>
        <v>15.059529620000001</v>
      </c>
      <c r="H9" s="5">
        <f t="shared" si="2"/>
        <v>5.952962000000106E-2</v>
      </c>
      <c r="I9" s="20">
        <f t="shared" si="3"/>
        <v>3.9686413333334036E-3</v>
      </c>
      <c r="J9" s="5">
        <f>'2024.06'!E27</f>
        <v>0.47</v>
      </c>
    </row>
    <row r="10" spans="1:19" x14ac:dyDescent="0.25">
      <c r="A10" s="6" t="str">
        <f>'2024.07'!A1</f>
        <v>2024.07</v>
      </c>
      <c r="B10" s="5">
        <f>'2024.07'!B27</f>
        <v>0.14000000000000001</v>
      </c>
      <c r="C10" s="5">
        <f t="shared" si="4"/>
        <v>15.14</v>
      </c>
      <c r="D10" s="14">
        <f>'2024.07'!D27</f>
        <v>1.7514200000000001E-3</v>
      </c>
      <c r="E10" s="14">
        <f t="shared" si="1"/>
        <v>0.18901242000000001</v>
      </c>
      <c r="F10" s="5">
        <v>79.78</v>
      </c>
      <c r="G10" s="5">
        <f t="shared" si="0"/>
        <v>15.079410867600002</v>
      </c>
      <c r="H10" s="5">
        <f t="shared" si="2"/>
        <v>-6.0589132399998746E-2</v>
      </c>
      <c r="I10" s="20">
        <f t="shared" si="3"/>
        <v>-4.0019242007925193E-3</v>
      </c>
      <c r="J10" s="5">
        <f>'2024.07'!E27</f>
        <v>0</v>
      </c>
    </row>
    <row r="11" spans="1:19" x14ac:dyDescent="0.25">
      <c r="A11" s="6" t="str">
        <f>'2024.08'!A1</f>
        <v>2024.08</v>
      </c>
      <c r="B11" s="5">
        <f>'2024.08'!B27</f>
        <v>0</v>
      </c>
      <c r="C11" s="5">
        <f t="shared" si="4"/>
        <v>15.14</v>
      </c>
      <c r="D11" s="14">
        <f>'2024.08'!D27</f>
        <v>0</v>
      </c>
      <c r="E11" s="14">
        <f t="shared" si="1"/>
        <v>0.18901242000000001</v>
      </c>
      <c r="F11" s="5">
        <v>79.040000000000006</v>
      </c>
      <c r="G11" s="5">
        <f t="shared" si="0"/>
        <v>14.939541676800003</v>
      </c>
      <c r="H11" s="5">
        <f t="shared" si="2"/>
        <v>-0.20045832319999768</v>
      </c>
      <c r="I11" s="20">
        <f t="shared" si="3"/>
        <v>-1.324031196829575E-2</v>
      </c>
      <c r="J11" s="5">
        <f>'2024.08'!E27</f>
        <v>0</v>
      </c>
    </row>
    <row r="12" spans="1:19" x14ac:dyDescent="0.25">
      <c r="A12" s="6" t="str">
        <f>'2024.09'!A1</f>
        <v>2024.09</v>
      </c>
      <c r="B12" s="5">
        <f>'2024.09'!B27</f>
        <v>0</v>
      </c>
      <c r="C12" s="5">
        <f t="shared" si="4"/>
        <v>15.14</v>
      </c>
      <c r="D12" s="14">
        <f>'2024.09'!D27</f>
        <v>0</v>
      </c>
      <c r="E12" s="14">
        <f t="shared" ref="E12" si="5">E11+D12</f>
        <v>0.18901242000000001</v>
      </c>
      <c r="F12" s="5">
        <v>79.41</v>
      </c>
      <c r="G12" s="5">
        <f t="shared" si="0"/>
        <v>15.009476272200001</v>
      </c>
      <c r="H12" s="5">
        <f t="shared" si="2"/>
        <v>-0.13052372779999999</v>
      </c>
      <c r="I12" s="20">
        <f t="shared" si="3"/>
        <v>-8.6211180845442523E-3</v>
      </c>
      <c r="J12" s="5">
        <f>'2024.09'!E27</f>
        <v>0</v>
      </c>
    </row>
    <row r="13" spans="1:19" x14ac:dyDescent="0.25">
      <c r="A13" s="6" t="str">
        <f>'2024.10'!A1</f>
        <v>2024.10</v>
      </c>
      <c r="B13" s="5">
        <f>'2024.10'!B27</f>
        <v>0</v>
      </c>
      <c r="C13" s="5">
        <f t="shared" si="4"/>
        <v>15.14</v>
      </c>
      <c r="D13" s="14">
        <f>'2024.10'!D27</f>
        <v>0</v>
      </c>
      <c r="E13" s="14">
        <f t="shared" ref="E13" si="6">E12+D13</f>
        <v>0.18901242000000001</v>
      </c>
      <c r="F13" s="5">
        <v>82.06</v>
      </c>
      <c r="G13" s="5">
        <f t="shared" si="0"/>
        <v>15.510359185200002</v>
      </c>
      <c r="H13" s="5">
        <f t="shared" si="2"/>
        <v>0.37035918520000166</v>
      </c>
      <c r="I13" s="20">
        <f t="shared" si="3"/>
        <v>2.4462297569352816E-2</v>
      </c>
      <c r="J13" s="5">
        <f>'2024.10'!E27</f>
        <v>0</v>
      </c>
    </row>
    <row r="14" spans="1:19" x14ac:dyDescent="0.25">
      <c r="A14" s="6" t="str">
        <f>'2024.11'!A1</f>
        <v>2024.11</v>
      </c>
      <c r="B14" s="5">
        <f>'2024.11'!B27</f>
        <v>0</v>
      </c>
      <c r="C14" s="5">
        <f t="shared" si="4"/>
        <v>15.14</v>
      </c>
      <c r="D14" s="14">
        <f>'2024.11'!D27</f>
        <v>0</v>
      </c>
      <c r="E14" s="14">
        <f t="shared" ref="E14" si="7">E13+D14</f>
        <v>0.18901242000000001</v>
      </c>
      <c r="F14" s="5">
        <v>84.49</v>
      </c>
      <c r="G14" s="5">
        <f t="shared" si="0"/>
        <v>15.9696593658</v>
      </c>
      <c r="H14" s="5">
        <f t="shared" si="2"/>
        <v>0.82965936579999955</v>
      </c>
      <c r="I14" s="20">
        <f t="shared" si="3"/>
        <v>5.4799165508586496E-2</v>
      </c>
      <c r="J14" s="5">
        <f>'2024.11'!E27</f>
        <v>0</v>
      </c>
    </row>
    <row r="15" spans="1:19" x14ac:dyDescent="0.25">
      <c r="A15" s="6" t="str">
        <f>'2024.12'!A1</f>
        <v>2024.12</v>
      </c>
      <c r="B15" s="5">
        <f>'2024.12'!B27</f>
        <v>2.6</v>
      </c>
      <c r="C15" s="5">
        <f t="shared" si="4"/>
        <v>17.740000000000002</v>
      </c>
      <c r="D15" s="14">
        <f>'2024.12'!D27</f>
        <v>3.1523170000000003E-2</v>
      </c>
      <c r="E15" s="14">
        <f t="shared" ref="E15" si="8">E14+D15</f>
        <v>0.22053559</v>
      </c>
      <c r="F15" s="5">
        <v>82.53</v>
      </c>
      <c r="G15" s="5">
        <f t="shared" si="0"/>
        <v>18.2008022427</v>
      </c>
      <c r="H15" s="5">
        <f t="shared" si="2"/>
        <v>0.46080224269999803</v>
      </c>
      <c r="I15" s="20">
        <f t="shared" si="3"/>
        <v>2.597532371476877E-2</v>
      </c>
      <c r="J15" s="5">
        <f>'2024.12'!E27</f>
        <v>0</v>
      </c>
    </row>
    <row r="16" spans="1:19" x14ac:dyDescent="0.25">
      <c r="A16" s="6" t="str">
        <f>'2025.01'!A1</f>
        <v>2025.01</v>
      </c>
      <c r="B16" s="5">
        <f>'2025.01'!B27</f>
        <v>0</v>
      </c>
      <c r="C16" s="5">
        <f t="shared" si="4"/>
        <v>17.740000000000002</v>
      </c>
      <c r="D16" s="14">
        <f>'2025.01'!D27</f>
        <v>0</v>
      </c>
      <c r="E16" s="14">
        <f t="shared" ref="E16" si="9">E15+D16</f>
        <v>0.22053559</v>
      </c>
      <c r="F16" s="5">
        <v>84.75</v>
      </c>
      <c r="G16" s="5">
        <f t="shared" si="0"/>
        <v>18.6903912525</v>
      </c>
      <c r="H16" s="5">
        <f t="shared" si="2"/>
        <v>0.95039125249999756</v>
      </c>
      <c r="I16" s="20">
        <f t="shared" si="3"/>
        <v>5.3573351324689822E-2</v>
      </c>
      <c r="J16" s="5">
        <f>'2025.01'!E27</f>
        <v>0.5</v>
      </c>
    </row>
    <row r="17" spans="1:10" x14ac:dyDescent="0.25">
      <c r="A17" s="6" t="str">
        <f>'2025.02'!A1</f>
        <v>2025.02</v>
      </c>
      <c r="B17" s="5">
        <f>'2025.02'!B27</f>
        <v>0</v>
      </c>
      <c r="C17" s="5">
        <f t="shared" si="4"/>
        <v>17.740000000000002</v>
      </c>
      <c r="D17" s="14">
        <f>'2025.02'!D27</f>
        <v>0</v>
      </c>
      <c r="E17" s="14">
        <f t="shared" ref="E17" si="10">E16+D17</f>
        <v>0.22053559</v>
      </c>
      <c r="F17" s="5">
        <v>84.11</v>
      </c>
      <c r="G17" s="5">
        <f t="shared" si="0"/>
        <v>18.549248474900001</v>
      </c>
      <c r="H17" s="5">
        <f t="shared" si="2"/>
        <v>0.80924847489999863</v>
      </c>
      <c r="I17" s="20">
        <f t="shared" si="3"/>
        <v>4.5617163184892812E-2</v>
      </c>
      <c r="J17" s="5">
        <f>'2025.02'!E27</f>
        <v>0</v>
      </c>
    </row>
    <row r="18" spans="1:10" x14ac:dyDescent="0.25">
      <c r="A18" s="6" t="str">
        <f>'2025.03'!A1</f>
        <v>2025.03</v>
      </c>
      <c r="B18" s="5">
        <f>'2025.03'!B27</f>
        <v>1.01</v>
      </c>
      <c r="C18" s="5">
        <f t="shared" si="4"/>
        <v>18.750000000000004</v>
      </c>
      <c r="D18" s="14">
        <f>'2025.03'!D27</f>
        <v>1.2394000000000001E-2</v>
      </c>
      <c r="E18" s="14">
        <f t="shared" ref="E18" si="11">E17+D18</f>
        <v>0.23292958999999999</v>
      </c>
      <c r="F18" s="5">
        <v>81.010000000000005</v>
      </c>
      <c r="G18" s="5">
        <f t="shared" si="0"/>
        <v>18.869626085900002</v>
      </c>
      <c r="H18" s="5">
        <f t="shared" si="2"/>
        <v>0.11962608589999846</v>
      </c>
      <c r="I18" s="20">
        <f t="shared" si="3"/>
        <v>6.3800579146665835E-3</v>
      </c>
      <c r="J18" s="5">
        <f>'2025.03'!E27</f>
        <v>0</v>
      </c>
    </row>
    <row r="19" spans="1:10" x14ac:dyDescent="0.25">
      <c r="A19" s="6" t="str">
        <f>'2025.04'!A1</f>
        <v>2025.04</v>
      </c>
      <c r="B19" s="5">
        <f>'2025.04'!B27</f>
        <v>9.42</v>
      </c>
      <c r="C19" s="5">
        <f t="shared" si="4"/>
        <v>28.17</v>
      </c>
      <c r="D19" s="14">
        <f>'2025.04'!D27</f>
        <v>0.12103849999999999</v>
      </c>
      <c r="E19" s="14">
        <f t="shared" ref="E19" si="12">E18+D19</f>
        <v>0.35396808999999996</v>
      </c>
      <c r="F19" s="5">
        <v>77.61</v>
      </c>
      <c r="G19" s="5">
        <f t="shared" si="0"/>
        <v>27.471463464899998</v>
      </c>
      <c r="H19" s="5">
        <f t="shared" si="2"/>
        <v>-0.69853653510000413</v>
      </c>
      <c r="I19" s="20">
        <f t="shared" si="3"/>
        <v>-2.4797179094781827E-2</v>
      </c>
      <c r="J19" s="5">
        <f>'2025.04'!E27</f>
        <v>0</v>
      </c>
    </row>
    <row r="20" spans="1:10" x14ac:dyDescent="0.25">
      <c r="A20" s="6" t="str">
        <f>'2025.05'!A1</f>
        <v>2025.05</v>
      </c>
      <c r="B20" s="5">
        <f>'2025.05'!B27</f>
        <v>2.5499999999999998</v>
      </c>
      <c r="C20" s="5">
        <f t="shared" si="4"/>
        <v>30.720000000000002</v>
      </c>
      <c r="D20" s="14">
        <f>'2025.05'!D27</f>
        <v>3.2745510000000005E-2</v>
      </c>
      <c r="E20" s="14">
        <f t="shared" ref="E20" si="13">E19+D20</f>
        <v>0.38671359999999999</v>
      </c>
      <c r="F20" s="5">
        <v>78.2</v>
      </c>
      <c r="G20" s="5">
        <f t="shared" si="0"/>
        <v>30.24100352</v>
      </c>
      <c r="H20" s="5">
        <f t="shared" si="2"/>
        <v>-0.47899648000000283</v>
      </c>
      <c r="I20" s="20">
        <f t="shared" si="3"/>
        <v>-1.5592333333333425E-2</v>
      </c>
      <c r="J20" s="5">
        <f>'2025.05'!E27</f>
        <v>0</v>
      </c>
    </row>
    <row r="21" spans="1:10" x14ac:dyDescent="0.25">
      <c r="A21" s="6" t="str">
        <f>'2025.06'!A1</f>
        <v>2025.06</v>
      </c>
      <c r="B21" s="5">
        <f>'2025.06'!B36</f>
        <v>4.08</v>
      </c>
      <c r="C21" s="5">
        <f t="shared" si="4"/>
        <v>34.800000000000004</v>
      </c>
      <c r="D21" s="14">
        <f>'2025.06'!D36</f>
        <v>5.2376850000000003E-2</v>
      </c>
      <c r="E21" s="14">
        <f t="shared" ref="E21" si="14">E20+D21</f>
        <v>0.43909045000000002</v>
      </c>
      <c r="F21" s="5">
        <v>74.400000000000006</v>
      </c>
      <c r="G21" s="5">
        <f t="shared" si="0"/>
        <v>32.668329480000004</v>
      </c>
      <c r="H21" s="5">
        <f t="shared" si="2"/>
        <v>-2.1316705200000001</v>
      </c>
      <c r="I21" s="20">
        <f t="shared" si="3"/>
        <v>-6.1254899999999994E-2</v>
      </c>
      <c r="J21" s="5">
        <f>'2025.06'!E36</f>
        <v>0</v>
      </c>
    </row>
    <row r="22" spans="1:10" x14ac:dyDescent="0.25">
      <c r="A22" s="6" t="str">
        <f>'2025.07'!A1</f>
        <v>2025.07</v>
      </c>
      <c r="B22" s="5">
        <f>'2025.07'!B36</f>
        <v>7.0500000000000007</v>
      </c>
      <c r="C22" s="5">
        <f t="shared" si="4"/>
        <v>41.850000000000009</v>
      </c>
      <c r="D22" s="14">
        <f>'2025.07'!D36</f>
        <v>9.464655000000001E-2</v>
      </c>
      <c r="E22" s="14">
        <f t="shared" ref="E22" si="15">E21+D22</f>
        <v>0.53373700000000002</v>
      </c>
      <c r="F22" s="5">
        <v>76.650000000000006</v>
      </c>
      <c r="G22" s="5">
        <f t="shared" si="0"/>
        <v>40.910941050000005</v>
      </c>
      <c r="H22" s="5">
        <f t="shared" si="2"/>
        <v>-0.93905895000000328</v>
      </c>
      <c r="I22" s="20">
        <f t="shared" si="3"/>
        <v>-2.2438684587813694E-2</v>
      </c>
      <c r="J22" s="5">
        <f>'2025.07'!E36</f>
        <v>1.08</v>
      </c>
    </row>
    <row r="23" spans="1:10" x14ac:dyDescent="0.25">
      <c r="A23" s="6" t="str">
        <f>'2025.08'!A1</f>
        <v>2025.08</v>
      </c>
      <c r="B23" s="5">
        <f>'2025.08'!B36</f>
        <v>3.88</v>
      </c>
      <c r="C23" s="5">
        <f t="shared" si="4"/>
        <v>45.730000000000011</v>
      </c>
      <c r="D23" s="14">
        <f>'2025.08'!D36</f>
        <v>5.1008990000000004E-2</v>
      </c>
      <c r="E23" s="14">
        <f t="shared" ref="E23" si="16">E22+D23</f>
        <v>0.58474599000000005</v>
      </c>
      <c r="F23" s="5">
        <v>75.95</v>
      </c>
      <c r="G23" s="5">
        <f t="shared" si="0"/>
        <v>44.411457940500007</v>
      </c>
      <c r="H23" s="5">
        <f t="shared" si="2"/>
        <v>-1.3185420595000039</v>
      </c>
      <c r="I23" s="20">
        <f t="shared" si="3"/>
        <v>-2.883319614038932E-2</v>
      </c>
      <c r="J23" s="5">
        <f>'2025.08'!E36</f>
        <v>0</v>
      </c>
    </row>
    <row r="24" spans="1:10" x14ac:dyDescent="0.25">
      <c r="A24" s="6" t="str">
        <f>'2025.09'!A1</f>
        <v>2025.09</v>
      </c>
      <c r="B24" s="5">
        <f>'2025.09'!B36</f>
        <v>2.38</v>
      </c>
      <c r="C24" s="5">
        <f t="shared" si="4"/>
        <v>48.110000000000014</v>
      </c>
      <c r="D24" s="14">
        <f>'2025.09'!D36</f>
        <v>3.1213149999999999E-2</v>
      </c>
      <c r="E24" s="14">
        <f t="shared" ref="E24" si="17">E23+D24</f>
        <v>0.61595914000000007</v>
      </c>
      <c r="F24" s="5">
        <v>76.3</v>
      </c>
      <c r="G24" s="5">
        <f t="shared" si="0"/>
        <v>46.997682382000001</v>
      </c>
      <c r="H24" s="5">
        <f t="shared" si="2"/>
        <v>-1.1123176180000129</v>
      </c>
      <c r="I24" s="20">
        <f t="shared" si="3"/>
        <v>-2.312029968821477E-2</v>
      </c>
      <c r="J24" s="5">
        <f>'2025.09'!E36</f>
        <v>0</v>
      </c>
    </row>
    <row r="25" spans="1:10" x14ac:dyDescent="0.25">
      <c r="A25" s="6" t="str">
        <f>'2025.10'!A1</f>
        <v>2025.10</v>
      </c>
      <c r="B25" s="5">
        <f>'2025.10'!B36</f>
        <v>2.97</v>
      </c>
      <c r="C25" s="5">
        <f t="shared" si="4"/>
        <v>51.080000000000013</v>
      </c>
      <c r="D25" s="14">
        <f>'2025.10'!D36</f>
        <v>3.8914579999999997E-2</v>
      </c>
      <c r="E25" s="14">
        <f t="shared" ref="E25" si="18">E24+D25</f>
        <v>0.6548737200000001</v>
      </c>
      <c r="F25" s="5">
        <v>77.709999999999994</v>
      </c>
      <c r="G25" s="5">
        <f t="shared" si="0"/>
        <v>50.890236781200002</v>
      </c>
      <c r="H25" s="5">
        <f t="shared" si="2"/>
        <v>-0.18976321880001024</v>
      </c>
      <c r="I25" s="20">
        <f t="shared" si="3"/>
        <v>-3.7150199451842247E-3</v>
      </c>
      <c r="J25" s="5">
        <f>'2025.10'!E36</f>
        <v>0</v>
      </c>
    </row>
    <row r="26" spans="1:10" x14ac:dyDescent="0.25">
      <c r="A26" s="6" t="str">
        <f>'2025.11'!A1</f>
        <v>2025.11</v>
      </c>
      <c r="B26" s="5">
        <f>'2025.11'!B36</f>
        <v>3.18</v>
      </c>
      <c r="C26" s="5">
        <f t="shared" si="4"/>
        <v>54.260000000000012</v>
      </c>
      <c r="D26" s="14">
        <f>'2025.11'!D36</f>
        <v>4.0784389999999997E-2</v>
      </c>
      <c r="E26" s="14">
        <f t="shared" ref="E26" si="19">E25+D26</f>
        <v>0.69565811000000011</v>
      </c>
      <c r="F26" s="5">
        <v>77.78</v>
      </c>
      <c r="G26" s="5">
        <f t="shared" si="0"/>
        <v>54.10828779580001</v>
      </c>
      <c r="H26" s="5">
        <f t="shared" si="2"/>
        <v>-0.15171220420000253</v>
      </c>
      <c r="I26" s="20">
        <f t="shared" si="3"/>
        <v>-2.796022930335468E-3</v>
      </c>
      <c r="J26" s="5">
        <f>'2025.11'!E36</f>
        <v>0</v>
      </c>
    </row>
    <row r="27" spans="1:10" x14ac:dyDescent="0.25">
      <c r="A27" s="6" t="str">
        <f>'2025.12'!A1</f>
        <v>2025.12</v>
      </c>
      <c r="B27" s="5">
        <f>'2025.12'!B36</f>
        <v>1.65</v>
      </c>
      <c r="C27" s="5">
        <f t="shared" si="4"/>
        <v>55.910000000000011</v>
      </c>
      <c r="D27" s="14">
        <f>'2025.12'!D36</f>
        <v>2.1304340000000001E-2</v>
      </c>
      <c r="E27" s="14">
        <f t="shared" ref="E27" si="20">E26+D27</f>
        <v>0.71696245000000014</v>
      </c>
      <c r="F27" s="5">
        <v>74.63</v>
      </c>
      <c r="G27" s="5">
        <f t="shared" si="0"/>
        <v>53.506907643500007</v>
      </c>
      <c r="H27" s="5">
        <f t="shared" si="2"/>
        <v>-2.4030923565000037</v>
      </c>
      <c r="I27" s="20">
        <f t="shared" si="3"/>
        <v>-4.2981440824539495E-2</v>
      </c>
      <c r="J27" s="5">
        <f>'2025.12'!E36</f>
        <v>1.76</v>
      </c>
    </row>
    <row r="28" spans="1:10" x14ac:dyDescent="0.25">
      <c r="A28" s="6" t="str">
        <f>'2026.01'!A1</f>
        <v>2026.01</v>
      </c>
      <c r="B28" s="5">
        <f>'2026.01'!B36</f>
        <v>4.3899999999999997</v>
      </c>
      <c r="C28" s="5">
        <f t="shared" ref="C28" si="21">C27+B28</f>
        <v>60.300000000000011</v>
      </c>
      <c r="D28" s="14">
        <f>'2026.01'!D36</f>
        <v>5.857942E-2</v>
      </c>
      <c r="E28" s="14">
        <f t="shared" ref="E28" si="22">E27+D28</f>
        <v>0.77554187000000019</v>
      </c>
      <c r="F28" s="5">
        <v>74.209999999999994</v>
      </c>
      <c r="G28" s="5">
        <f t="shared" ref="G28" si="23">E28*F28</f>
        <v>57.552962172700006</v>
      </c>
      <c r="H28" s="5">
        <f t="shared" ref="H28" si="24">G28-C28</f>
        <v>-2.7470378273000051</v>
      </c>
      <c r="I28" s="20">
        <f t="shared" ref="I28" si="25">(G28-C28)/C28</f>
        <v>-4.555618287396359E-2</v>
      </c>
      <c r="J28" s="5">
        <f>'2026.01'!E36</f>
        <v>0</v>
      </c>
    </row>
    <row r="29" spans="1:10" x14ac:dyDescent="0.25">
      <c r="A29" s="6">
        <f>'2026.02'!A1</f>
        <v>2026.02</v>
      </c>
      <c r="B29" s="5">
        <f>'2026.02'!B36</f>
        <v>2.36</v>
      </c>
      <c r="C29" s="5">
        <f t="shared" ref="C29" si="26">C28+B29</f>
        <v>62.660000000000011</v>
      </c>
      <c r="D29" s="14">
        <f>'2026.02'!D36</f>
        <v>3.1479260000000002E-2</v>
      </c>
      <c r="E29" s="14">
        <f t="shared" ref="E29" si="27">E28+D29</f>
        <v>0.8070211300000002</v>
      </c>
      <c r="F29" s="5">
        <v>74.63</v>
      </c>
      <c r="G29" s="5">
        <f t="shared" ref="G29" si="28">E29*F29</f>
        <v>60.227986931900013</v>
      </c>
      <c r="H29" s="5">
        <f t="shared" ref="H29" si="29">G29-C29</f>
        <v>-2.4320130680999981</v>
      </c>
      <c r="I29" s="20">
        <f t="shared" ref="I29" si="30">(G29-C29)/C29</f>
        <v>-3.8812848198212541E-2</v>
      </c>
      <c r="J29" s="5">
        <f>'2026.02'!E36</f>
        <v>0</v>
      </c>
    </row>
    <row r="30" spans="1:10" x14ac:dyDescent="0.25">
      <c r="A30" s="6">
        <f>'2026.03'!A1</f>
        <v>2026.03</v>
      </c>
      <c r="B30" s="5">
        <f>'2026.03'!B36</f>
        <v>2.21</v>
      </c>
      <c r="C30" s="5">
        <f t="shared" ref="C30" si="31">C29+B30</f>
        <v>64.87</v>
      </c>
      <c r="D30" s="14">
        <f>'2026.03'!D36</f>
        <v>2.9355900000000001E-2</v>
      </c>
      <c r="E30" s="14">
        <f t="shared" ref="E30" si="32">E29+D30</f>
        <v>0.83637703000000019</v>
      </c>
      <c r="F30" s="5">
        <v>74.62</v>
      </c>
      <c r="G30" s="5">
        <f t="shared" ref="G30" si="33">E30*F30</f>
        <v>62.410453978600017</v>
      </c>
      <c r="H30" s="5">
        <f t="shared" ref="H30" si="34">G30-C30</f>
        <v>-2.4595460213999871</v>
      </c>
      <c r="I30" s="20">
        <f t="shared" ref="I30" si="35">(G30-C30)/C30</f>
        <v>-3.7914999559118034E-2</v>
      </c>
      <c r="J30" s="5">
        <f>'2026.03'!E36</f>
        <v>0</v>
      </c>
    </row>
    <row r="31" spans="1:10" x14ac:dyDescent="0.25">
      <c r="A31" s="6" t="str">
        <f>'2026.04'!N2</f>
        <v>2026.04</v>
      </c>
      <c r="B31" s="5">
        <f>'2026.04'!B40</f>
        <v>1.71</v>
      </c>
      <c r="C31" s="5">
        <f t="shared" ref="C31" si="36">C30+B31</f>
        <v>66.58</v>
      </c>
      <c r="D31" s="14">
        <f>'2026.04'!D40</f>
        <v>2.3022649999999999E-2</v>
      </c>
      <c r="E31" s="14">
        <f t="shared" ref="E31" si="37">E30+D31</f>
        <v>0.85939968000000022</v>
      </c>
      <c r="F31" s="51">
        <v>74.7</v>
      </c>
      <c r="G31" s="5">
        <f t="shared" ref="G31" si="38">E31*F31</f>
        <v>64.197156096000015</v>
      </c>
      <c r="H31" s="5">
        <f t="shared" ref="H31" si="39">G31-C31</f>
        <v>-2.3828439039999836</v>
      </c>
      <c r="I31" s="20">
        <f t="shared" ref="I31" si="40">(G31-C31)/C31</f>
        <v>-3.5789184499849559E-2</v>
      </c>
      <c r="J31" s="5">
        <f>'2026.04'!L40</f>
        <v>1.07</v>
      </c>
    </row>
  </sheetData>
  <mergeCells count="11">
    <mergeCell ref="L3:L4"/>
    <mergeCell ref="B3:C3"/>
    <mergeCell ref="D3:E3"/>
    <mergeCell ref="F3:I3"/>
    <mergeCell ref="A3:A4"/>
    <mergeCell ref="J3:J4"/>
    <mergeCell ref="M3:M4"/>
    <mergeCell ref="R3:R4"/>
    <mergeCell ref="S3:S4"/>
    <mergeCell ref="N3:O3"/>
    <mergeCell ref="P3:Q3"/>
  </mergeCells>
  <pageMargins left="0.7" right="0.7" top="0.75" bottom="0.75" header="0.3" footer="0.3"/>
  <pageSetup orientation="portrait" r:id="rId1"/>
  <ignoredErrors>
    <ignoredError sqref="D5:D31" formula="1"/>
  </ignoredError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S34"/>
  <sheetViews>
    <sheetView workbookViewId="0">
      <pane ySplit="14" topLeftCell="A15" activePane="bottomLeft" state="frozen"/>
      <selection activeCell="A7" sqref="A7"/>
      <selection pane="bottomLeft" activeCell="A7" sqref="A7"/>
    </sheetView>
  </sheetViews>
  <sheetFormatPr defaultRowHeight="15" x14ac:dyDescent="0.25"/>
  <cols>
    <col min="1" max="1" width="10.7109375" style="1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21" t="s">
        <v>16</v>
      </c>
    </row>
    <row r="3" spans="1:19" x14ac:dyDescent="0.25">
      <c r="A3" s="68" t="s">
        <v>90</v>
      </c>
      <c r="B3" s="71" t="s">
        <v>3</v>
      </c>
      <c r="C3" s="72"/>
      <c r="D3" s="77" t="s">
        <v>1</v>
      </c>
      <c r="E3" s="77"/>
      <c r="F3" s="71" t="s">
        <v>91</v>
      </c>
      <c r="G3" s="76"/>
      <c r="H3" s="76"/>
      <c r="I3" s="72"/>
      <c r="J3" s="68" t="s">
        <v>25</v>
      </c>
      <c r="L3" s="68" t="s">
        <v>64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72</v>
      </c>
      <c r="E4" s="3" t="s">
        <v>93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" t="str">
        <f>'2024.02'!A1</f>
        <v>2024.02</v>
      </c>
      <c r="B5" s="5">
        <f>'2024.02'!B36</f>
        <v>12</v>
      </c>
      <c r="C5" s="5">
        <f>B5</f>
        <v>12</v>
      </c>
      <c r="D5" s="14">
        <f>'2024.02'!D36</f>
        <v>2.5457708299999999</v>
      </c>
      <c r="E5" s="14">
        <f>D5</f>
        <v>2.5457708299999999</v>
      </c>
      <c r="F5" s="5">
        <v>4.76</v>
      </c>
      <c r="G5" s="5">
        <f t="shared" ref="G5:G20" si="0">E5*F5</f>
        <v>12.117869150799999</v>
      </c>
      <c r="H5" s="5">
        <f t="shared" ref="H5:H27" si="1">G5-C5</f>
        <v>0.11786915079999893</v>
      </c>
      <c r="I5" s="20">
        <f>(G5-C5)/C5</f>
        <v>9.8224292333332439E-3</v>
      </c>
      <c r="J5" s="5">
        <f>'2024.02'!E36</f>
        <v>0</v>
      </c>
      <c r="L5" s="3" t="s">
        <v>2</v>
      </c>
      <c r="M5" s="5">
        <f>SUM(B5:B67)</f>
        <v>50.1</v>
      </c>
      <c r="N5" s="5">
        <f>INDEX(G5:G100,MATCH(9.99999999999999E+307,G5:G100))</f>
        <v>48.950537003899989</v>
      </c>
      <c r="O5" s="20">
        <f>INDEX(I5:I100,MATCH(9.99999999999999E+307,I5:I100))</f>
        <v>-2.294337317564896E-2</v>
      </c>
      <c r="P5" s="5">
        <f>N5+S5</f>
        <v>51.340537003899989</v>
      </c>
      <c r="Q5" s="20">
        <f>(P5-M5)/M5</f>
        <v>2.4761217642714325E-2</v>
      </c>
      <c r="R5" s="14">
        <f>SUM(D5:D67)</f>
        <v>11.150464009999999</v>
      </c>
      <c r="S5" s="5">
        <f>SUM(J5:J67)</f>
        <v>2.39</v>
      </c>
    </row>
    <row r="6" spans="1:19" x14ac:dyDescent="0.25">
      <c r="A6" s="6" t="str">
        <f>'2024.03'!A1</f>
        <v>2024.03</v>
      </c>
      <c r="B6" s="5">
        <f>'2024.03'!B36</f>
        <v>0</v>
      </c>
      <c r="C6" s="5">
        <f t="shared" ref="C6:C27" si="2">C5+B6</f>
        <v>12</v>
      </c>
      <c r="D6" s="14">
        <f>'2024.03'!D36</f>
        <v>0</v>
      </c>
      <c r="E6" s="14">
        <f t="shared" ref="E6:E20" si="3">E5+D6</f>
        <v>2.5457708299999999</v>
      </c>
      <c r="F6" s="5">
        <v>4.79</v>
      </c>
      <c r="G6" s="5">
        <f t="shared" si="0"/>
        <v>12.194242275700001</v>
      </c>
      <c r="H6" s="5">
        <f t="shared" si="1"/>
        <v>0.19424227570000063</v>
      </c>
      <c r="I6" s="20">
        <f t="shared" ref="I6:I27" si="4">(G6-C6)/C6</f>
        <v>1.6186856308333386E-2</v>
      </c>
      <c r="J6" s="5">
        <f>'2024.03'!E36</f>
        <v>0</v>
      </c>
    </row>
    <row r="7" spans="1:19" x14ac:dyDescent="0.25">
      <c r="A7" s="6" t="str">
        <f>'2024.04'!A1</f>
        <v>2024.04</v>
      </c>
      <c r="B7" s="5">
        <f>'2024.04'!B36</f>
        <v>0</v>
      </c>
      <c r="C7" s="5">
        <f t="shared" si="2"/>
        <v>12</v>
      </c>
      <c r="D7" s="14">
        <f>'2024.04'!D36</f>
        <v>0</v>
      </c>
      <c r="E7" s="14">
        <f t="shared" si="3"/>
        <v>2.5457708299999999</v>
      </c>
      <c r="F7" s="5">
        <v>4.78</v>
      </c>
      <c r="G7" s="5">
        <f t="shared" si="0"/>
        <v>12.168784567399999</v>
      </c>
      <c r="H7" s="5">
        <f t="shared" si="1"/>
        <v>0.16878456739999947</v>
      </c>
      <c r="I7" s="20">
        <f t="shared" si="4"/>
        <v>1.4065380616666623E-2</v>
      </c>
      <c r="J7" s="5">
        <f>'2024.04'!E36</f>
        <v>0</v>
      </c>
    </row>
    <row r="8" spans="1:19" x14ac:dyDescent="0.25">
      <c r="A8" s="6" t="str">
        <f>'2024.05'!A1</f>
        <v>2024.05</v>
      </c>
      <c r="B8" s="5">
        <f>'2024.05'!B36</f>
        <v>0</v>
      </c>
      <c r="C8" s="5">
        <f t="shared" si="2"/>
        <v>12</v>
      </c>
      <c r="D8" s="14">
        <f>'2024.05'!D36</f>
        <v>0</v>
      </c>
      <c r="E8" s="14">
        <f t="shared" si="3"/>
        <v>2.5457708299999999</v>
      </c>
      <c r="F8" s="5">
        <v>4.5999999999999996</v>
      </c>
      <c r="G8" s="5">
        <f t="shared" si="0"/>
        <v>11.710545817999998</v>
      </c>
      <c r="H8" s="5">
        <f t="shared" si="1"/>
        <v>-0.28945418200000184</v>
      </c>
      <c r="I8" s="20">
        <f t="shared" si="4"/>
        <v>-2.4121181833333488E-2</v>
      </c>
      <c r="J8" s="5">
        <f>'2024.05'!E36</f>
        <v>0</v>
      </c>
    </row>
    <row r="9" spans="1:19" x14ac:dyDescent="0.25">
      <c r="A9" s="6" t="str">
        <f>'2024.06'!A1</f>
        <v>2024.06</v>
      </c>
      <c r="B9" s="5">
        <f>'2024.06'!B36</f>
        <v>0</v>
      </c>
      <c r="C9" s="5">
        <f t="shared" si="2"/>
        <v>12</v>
      </c>
      <c r="D9" s="14">
        <f>'2024.06'!D36</f>
        <v>0</v>
      </c>
      <c r="E9" s="14">
        <f t="shared" si="3"/>
        <v>2.5457708299999999</v>
      </c>
      <c r="F9" s="5">
        <v>4.67</v>
      </c>
      <c r="G9" s="5">
        <f t="shared" si="0"/>
        <v>11.888749776099999</v>
      </c>
      <c r="H9" s="5">
        <f t="shared" si="1"/>
        <v>-0.11125022390000083</v>
      </c>
      <c r="I9" s="20">
        <f t="shared" si="4"/>
        <v>-9.2708519916667367E-3</v>
      </c>
      <c r="J9" s="5">
        <f>'2024.06'!E36</f>
        <v>0.35</v>
      </c>
    </row>
    <row r="10" spans="1:19" x14ac:dyDescent="0.25">
      <c r="A10" s="6" t="str">
        <f>'2024.07'!A1</f>
        <v>2024.07</v>
      </c>
      <c r="B10" s="5">
        <f>'2024.07'!B36</f>
        <v>0.79</v>
      </c>
      <c r="C10" s="5">
        <f t="shared" si="2"/>
        <v>12.79</v>
      </c>
      <c r="D10" s="14">
        <f>'2024.07'!D36</f>
        <v>0.16877096</v>
      </c>
      <c r="E10" s="14">
        <f t="shared" si="3"/>
        <v>2.7145417899999997</v>
      </c>
      <c r="F10" s="5">
        <v>4.7300000000000004</v>
      </c>
      <c r="G10" s="5">
        <f t="shared" si="0"/>
        <v>12.8397826667</v>
      </c>
      <c r="H10" s="5">
        <f t="shared" si="1"/>
        <v>4.9782666700000533E-2</v>
      </c>
      <c r="I10" s="20">
        <f t="shared" si="4"/>
        <v>3.8923117044566487E-3</v>
      </c>
      <c r="J10" s="5">
        <f>'2024.07'!E36</f>
        <v>0</v>
      </c>
    </row>
    <row r="11" spans="1:19" x14ac:dyDescent="0.25">
      <c r="A11" s="6" t="str">
        <f>'2024.08'!A1</f>
        <v>2024.08</v>
      </c>
      <c r="B11" s="5">
        <f>'2024.08'!B36</f>
        <v>0</v>
      </c>
      <c r="C11" s="5">
        <f t="shared" si="2"/>
        <v>12.79</v>
      </c>
      <c r="D11" s="14">
        <f>'2024.08'!D36</f>
        <v>0</v>
      </c>
      <c r="E11" s="14">
        <f t="shared" si="3"/>
        <v>2.7145417899999997</v>
      </c>
      <c r="F11" s="5">
        <v>4.57</v>
      </c>
      <c r="G11" s="5">
        <f t="shared" si="0"/>
        <v>12.405455980299999</v>
      </c>
      <c r="H11" s="5">
        <f t="shared" si="1"/>
        <v>-0.38454401969999985</v>
      </c>
      <c r="I11" s="20">
        <f t="shared" si="4"/>
        <v>-3.006599059421422E-2</v>
      </c>
      <c r="J11" s="5">
        <f>'2024.08'!E36</f>
        <v>0</v>
      </c>
    </row>
    <row r="12" spans="1:19" x14ac:dyDescent="0.25">
      <c r="A12" s="6" t="str">
        <f>'2024.09'!A1</f>
        <v>2024.09</v>
      </c>
      <c r="B12" s="5">
        <f>'2024.09'!B36</f>
        <v>0</v>
      </c>
      <c r="C12" s="5">
        <f t="shared" si="2"/>
        <v>12.79</v>
      </c>
      <c r="D12" s="14">
        <f>'2024.09'!D36</f>
        <v>0</v>
      </c>
      <c r="E12" s="14">
        <f t="shared" si="3"/>
        <v>2.7145417899999997</v>
      </c>
      <c r="F12" s="5">
        <v>4.5599999999999996</v>
      </c>
      <c r="G12" s="5">
        <f t="shared" si="0"/>
        <v>12.378310562399998</v>
      </c>
      <c r="H12" s="5">
        <f t="shared" si="1"/>
        <v>-0.41168943760000154</v>
      </c>
      <c r="I12" s="20">
        <f t="shared" si="4"/>
        <v>-3.2188384487881277E-2</v>
      </c>
      <c r="J12" s="5">
        <f>'2024.09'!E36</f>
        <v>0</v>
      </c>
    </row>
    <row r="13" spans="1:19" x14ac:dyDescent="0.25">
      <c r="A13" s="6" t="str">
        <f>'2024.10'!A1</f>
        <v>2024.10</v>
      </c>
      <c r="B13" s="5">
        <f>'2024.10'!B36</f>
        <v>0</v>
      </c>
      <c r="C13" s="5">
        <f t="shared" si="2"/>
        <v>12.79</v>
      </c>
      <c r="D13" s="14">
        <f>'2024.10'!D36</f>
        <v>0</v>
      </c>
      <c r="E13" s="14">
        <f t="shared" si="3"/>
        <v>2.7145417899999997</v>
      </c>
      <c r="F13" s="5">
        <v>4.7300000000000004</v>
      </c>
      <c r="G13" s="5">
        <f t="shared" si="0"/>
        <v>12.8397826667</v>
      </c>
      <c r="H13" s="5">
        <f t="shared" si="1"/>
        <v>4.9782666700000533E-2</v>
      </c>
      <c r="I13" s="20">
        <f t="shared" si="4"/>
        <v>3.8923117044566487E-3</v>
      </c>
      <c r="J13" s="5">
        <f>'2024.10'!E36</f>
        <v>0</v>
      </c>
    </row>
    <row r="14" spans="1:19" x14ac:dyDescent="0.25">
      <c r="A14" s="6" t="str">
        <f>'2024.11'!A1</f>
        <v>2024.11</v>
      </c>
      <c r="B14" s="5">
        <f>'2024.11'!B36</f>
        <v>0</v>
      </c>
      <c r="C14" s="5">
        <f t="shared" si="2"/>
        <v>12.79</v>
      </c>
      <c r="D14" s="14">
        <f>'2024.11'!D36</f>
        <v>0</v>
      </c>
      <c r="E14" s="14">
        <f t="shared" si="3"/>
        <v>2.7145417899999997</v>
      </c>
      <c r="F14" s="5">
        <v>4.74</v>
      </c>
      <c r="G14" s="5">
        <f t="shared" si="0"/>
        <v>12.8669280846</v>
      </c>
      <c r="H14" s="5">
        <f t="shared" si="1"/>
        <v>7.6928084600000446E-2</v>
      </c>
      <c r="I14" s="20">
        <f t="shared" si="4"/>
        <v>6.0147055981235693E-3</v>
      </c>
      <c r="J14" s="5">
        <f>'2024.11'!E36</f>
        <v>0.39</v>
      </c>
    </row>
    <row r="15" spans="1:19" x14ac:dyDescent="0.25">
      <c r="A15" s="6" t="str">
        <f>'2024.12'!A1</f>
        <v>2024.12</v>
      </c>
      <c r="B15" s="5">
        <f>'2024.12'!B36</f>
        <v>1.43</v>
      </c>
      <c r="C15" s="5">
        <f t="shared" si="2"/>
        <v>14.219999999999999</v>
      </c>
      <c r="D15" s="14">
        <f>'2024.12'!D36</f>
        <v>0.29483320000000002</v>
      </c>
      <c r="E15" s="14">
        <f t="shared" si="3"/>
        <v>3.0093749899999995</v>
      </c>
      <c r="F15" s="5">
        <v>4.83</v>
      </c>
      <c r="G15" s="5">
        <f t="shared" si="0"/>
        <v>14.535281201699998</v>
      </c>
      <c r="H15" s="5">
        <f t="shared" si="1"/>
        <v>0.31528120169999951</v>
      </c>
      <c r="I15" s="20">
        <f t="shared" si="4"/>
        <v>2.2171673818565368E-2</v>
      </c>
      <c r="J15" s="5">
        <f>'2024.12'!E36</f>
        <v>0</v>
      </c>
    </row>
    <row r="16" spans="1:19" x14ac:dyDescent="0.25">
      <c r="A16" s="6" t="str">
        <f>'2025.01'!A1</f>
        <v>2025.01</v>
      </c>
      <c r="B16" s="5">
        <f>'2025.01'!B36</f>
        <v>0</v>
      </c>
      <c r="C16" s="5">
        <f t="shared" si="2"/>
        <v>14.219999999999999</v>
      </c>
      <c r="D16" s="14">
        <f>'2025.01'!D36</f>
        <v>0</v>
      </c>
      <c r="E16" s="14">
        <f t="shared" si="3"/>
        <v>3.0093749899999995</v>
      </c>
      <c r="F16" s="5">
        <v>4.8899999999999997</v>
      </c>
      <c r="G16" s="5">
        <f t="shared" si="0"/>
        <v>14.715843701099997</v>
      </c>
      <c r="H16" s="5">
        <f t="shared" si="1"/>
        <v>0.49584370109999831</v>
      </c>
      <c r="I16" s="20">
        <f t="shared" si="4"/>
        <v>3.4869458586497773E-2</v>
      </c>
      <c r="J16" s="5">
        <f>'2025.01'!E36</f>
        <v>0</v>
      </c>
    </row>
    <row r="17" spans="1:10" x14ac:dyDescent="0.25">
      <c r="A17" s="6" t="str">
        <f>'2025.02'!A1</f>
        <v>2025.02</v>
      </c>
      <c r="B17" s="5">
        <f>'2025.02'!B36</f>
        <v>0</v>
      </c>
      <c r="C17" s="5">
        <f t="shared" si="2"/>
        <v>14.219999999999999</v>
      </c>
      <c r="D17" s="14">
        <f>'2025.02'!D36</f>
        <v>0</v>
      </c>
      <c r="E17" s="14">
        <f t="shared" si="3"/>
        <v>3.0093749899999995</v>
      </c>
      <c r="F17" s="5">
        <v>4.88</v>
      </c>
      <c r="G17" s="5">
        <f t="shared" si="0"/>
        <v>14.685749951199996</v>
      </c>
      <c r="H17" s="5">
        <f t="shared" si="1"/>
        <v>0.46574995119999762</v>
      </c>
      <c r="I17" s="20">
        <f t="shared" si="4"/>
        <v>3.2753161125175644E-2</v>
      </c>
      <c r="J17" s="5">
        <f>'2025.02'!E36</f>
        <v>0</v>
      </c>
    </row>
    <row r="18" spans="1:10" x14ac:dyDescent="0.25">
      <c r="A18" s="6" t="str">
        <f>'2025.03'!A1</f>
        <v>2025.03</v>
      </c>
      <c r="B18" s="5">
        <f>'2025.03'!B36</f>
        <v>1.01</v>
      </c>
      <c r="C18" s="5">
        <f t="shared" si="2"/>
        <v>15.229999999999999</v>
      </c>
      <c r="D18" s="14">
        <f>'2025.03'!D36</f>
        <v>0.21438729000000001</v>
      </c>
      <c r="E18" s="14">
        <f t="shared" si="3"/>
        <v>3.2237622799999994</v>
      </c>
      <c r="F18" s="5">
        <v>4.72</v>
      </c>
      <c r="G18" s="5">
        <f t="shared" si="0"/>
        <v>15.216157961599997</v>
      </c>
      <c r="H18" s="5">
        <f t="shared" si="1"/>
        <v>-1.3842038400001755E-2</v>
      </c>
      <c r="I18" s="20">
        <f t="shared" si="4"/>
        <v>-9.0886660538422564E-4</v>
      </c>
      <c r="J18" s="5">
        <f>'2025.03'!E36</f>
        <v>0</v>
      </c>
    </row>
    <row r="19" spans="1:10" x14ac:dyDescent="0.25">
      <c r="A19" s="6" t="str">
        <f>'2025.04'!A1</f>
        <v>2025.04</v>
      </c>
      <c r="B19" s="5">
        <f>'2025.04'!B36</f>
        <v>7.48</v>
      </c>
      <c r="C19" s="5">
        <f t="shared" si="2"/>
        <v>22.71</v>
      </c>
      <c r="D19" s="14">
        <f>'2025.04'!D36</f>
        <v>1.6529673899999999</v>
      </c>
      <c r="E19" s="14">
        <f t="shared" si="3"/>
        <v>4.8767296699999996</v>
      </c>
      <c r="F19" s="5">
        <v>4.51</v>
      </c>
      <c r="G19" s="5">
        <f t="shared" si="0"/>
        <v>21.994050811699996</v>
      </c>
      <c r="H19" s="5">
        <f t="shared" si="1"/>
        <v>-0.71594918830000509</v>
      </c>
      <c r="I19" s="20">
        <f t="shared" si="4"/>
        <v>-3.1525723835315066E-2</v>
      </c>
      <c r="J19" s="5">
        <f>'2025.04'!E36</f>
        <v>0</v>
      </c>
    </row>
    <row r="20" spans="1:10" x14ac:dyDescent="0.25">
      <c r="A20" s="6" t="str">
        <f>'2025.05'!A1</f>
        <v>2025.05</v>
      </c>
      <c r="B20" s="5">
        <f>'2025.05'!B36</f>
        <v>2.0499999999999998</v>
      </c>
      <c r="C20" s="5">
        <f t="shared" si="2"/>
        <v>24.76</v>
      </c>
      <c r="D20" s="14">
        <f>'2025.05'!D36</f>
        <v>0.45383216000000004</v>
      </c>
      <c r="E20" s="14">
        <f t="shared" si="3"/>
        <v>5.3305618299999997</v>
      </c>
      <c r="F20" s="5">
        <v>4.42</v>
      </c>
      <c r="G20" s="5">
        <f t="shared" si="0"/>
        <v>23.561083288599999</v>
      </c>
      <c r="H20" s="5">
        <f t="shared" si="1"/>
        <v>-1.1989167114000026</v>
      </c>
      <c r="I20" s="20">
        <f t="shared" si="4"/>
        <v>-4.8421515000000102E-2</v>
      </c>
      <c r="J20" s="5">
        <f>'2025.05'!E36</f>
        <v>0</v>
      </c>
    </row>
    <row r="21" spans="1:10" x14ac:dyDescent="0.25">
      <c r="A21" s="6" t="str">
        <f>'2025.06'!A1</f>
        <v>2025.06</v>
      </c>
      <c r="B21" s="5">
        <f>'2025.06'!B48</f>
        <v>3.91</v>
      </c>
      <c r="C21" s="5">
        <f t="shared" si="2"/>
        <v>28.67</v>
      </c>
      <c r="D21" s="14">
        <f>'2025.06'!D48</f>
        <v>0.88997130999999996</v>
      </c>
      <c r="E21" s="14">
        <f t="shared" ref="E21" si="5">E20+D21</f>
        <v>6.2205331399999997</v>
      </c>
      <c r="F21" s="5">
        <v>4.29</v>
      </c>
      <c r="G21" s="5">
        <f t="shared" ref="G21" si="6">E21*F21</f>
        <v>26.6860871706</v>
      </c>
      <c r="H21" s="5">
        <f t="shared" si="1"/>
        <v>-1.9839128294000012</v>
      </c>
      <c r="I21" s="20">
        <f t="shared" si="4"/>
        <v>-6.9198215186606252E-2</v>
      </c>
      <c r="J21" s="5">
        <f>'2025.06'!E48</f>
        <v>0.59</v>
      </c>
    </row>
    <row r="22" spans="1:10" x14ac:dyDescent="0.25">
      <c r="A22" s="6" t="str">
        <f>'2025.07'!A1</f>
        <v>2025.07</v>
      </c>
      <c r="B22" s="5">
        <f>'2025.07'!B48</f>
        <v>4.95</v>
      </c>
      <c r="C22" s="5">
        <f t="shared" si="2"/>
        <v>33.620000000000005</v>
      </c>
      <c r="D22" s="14">
        <f>'2025.07'!D48</f>
        <v>1.15229888</v>
      </c>
      <c r="E22" s="14">
        <f t="shared" ref="E22" si="7">E21+D22</f>
        <v>7.3728320199999997</v>
      </c>
      <c r="F22" s="5">
        <v>4.43</v>
      </c>
      <c r="G22" s="5">
        <f t="shared" ref="G22" si="8">E22*F22</f>
        <v>32.661645848599996</v>
      </c>
      <c r="H22" s="5">
        <f t="shared" si="1"/>
        <v>-0.9583541514000089</v>
      </c>
      <c r="I22" s="20">
        <f t="shared" si="4"/>
        <v>-2.8505477436050232E-2</v>
      </c>
      <c r="J22" s="5">
        <f>'2025.07'!E48</f>
        <v>0</v>
      </c>
    </row>
    <row r="23" spans="1:10" x14ac:dyDescent="0.25">
      <c r="A23" s="6" t="str">
        <f>'2025.08'!A1</f>
        <v>2025.08</v>
      </c>
      <c r="B23" s="5">
        <f>'2025.08'!B48</f>
        <v>3.31</v>
      </c>
      <c r="C23" s="5">
        <f t="shared" si="2"/>
        <v>36.930000000000007</v>
      </c>
      <c r="D23" s="14">
        <f>'2025.08'!D48</f>
        <v>0.75435386000000004</v>
      </c>
      <c r="E23" s="14">
        <f t="shared" ref="E23" si="9">E22+D23</f>
        <v>8.127185879999999</v>
      </c>
      <c r="F23" s="5">
        <v>4.3499999999999996</v>
      </c>
      <c r="G23" s="5">
        <f t="shared" ref="G23" si="10">E23*F23</f>
        <v>35.353258577999995</v>
      </c>
      <c r="H23" s="5">
        <f t="shared" si="1"/>
        <v>-1.576741422000012</v>
      </c>
      <c r="I23" s="20">
        <f t="shared" si="4"/>
        <v>-4.2695408123477163E-2</v>
      </c>
      <c r="J23" s="5">
        <f>'2025.08'!E48</f>
        <v>0</v>
      </c>
    </row>
    <row r="24" spans="1:10" x14ac:dyDescent="0.25">
      <c r="A24" s="6" t="str">
        <f>'2025.09'!A1</f>
        <v>2025.09</v>
      </c>
      <c r="B24" s="5">
        <f>'2025.09'!B48</f>
        <v>2.1</v>
      </c>
      <c r="C24" s="5">
        <f t="shared" si="2"/>
        <v>39.030000000000008</v>
      </c>
      <c r="D24" s="14">
        <f>'2025.09'!D48</f>
        <v>0.48090864</v>
      </c>
      <c r="E24" s="14">
        <f t="shared" ref="E24" si="11">E23+D24</f>
        <v>8.6080945199999981</v>
      </c>
      <c r="F24" s="5">
        <v>4.3499999999999996</v>
      </c>
      <c r="G24" s="5">
        <f t="shared" ref="G24" si="12">E24*F24</f>
        <v>37.445211161999985</v>
      </c>
      <c r="H24" s="5">
        <f t="shared" si="1"/>
        <v>-1.5847888380000228</v>
      </c>
      <c r="I24" s="20">
        <f t="shared" si="4"/>
        <v>-4.0604377094543238E-2</v>
      </c>
      <c r="J24" s="5">
        <f>'2025.09'!E48</f>
        <v>0</v>
      </c>
    </row>
    <row r="25" spans="1:10" x14ac:dyDescent="0.25">
      <c r="A25" s="6" t="str">
        <f>'2025.10'!A1</f>
        <v>2025.10</v>
      </c>
      <c r="B25" s="5">
        <f>'2025.10'!B48</f>
        <v>2.4500000000000002</v>
      </c>
      <c r="C25" s="5">
        <f t="shared" si="2"/>
        <v>41.480000000000011</v>
      </c>
      <c r="D25" s="14">
        <f>'2025.10'!D48</f>
        <v>0.56277851000000001</v>
      </c>
      <c r="E25" s="14">
        <f t="shared" ref="E25" si="13">E24+D25</f>
        <v>9.1708730299999974</v>
      </c>
      <c r="F25" s="5">
        <v>4.45</v>
      </c>
      <c r="G25" s="5">
        <f t="shared" ref="G25" si="14">E25*F25</f>
        <v>40.810384983499993</v>
      </c>
      <c r="H25" s="5">
        <f t="shared" si="1"/>
        <v>-0.66961501650001765</v>
      </c>
      <c r="I25" s="20">
        <f t="shared" si="4"/>
        <v>-1.6143081400675444E-2</v>
      </c>
      <c r="J25" s="5">
        <f>'2025.10'!E48</f>
        <v>0</v>
      </c>
    </row>
    <row r="26" spans="1:10" x14ac:dyDescent="0.25">
      <c r="A26" s="6" t="str">
        <f>'2025.11'!A1</f>
        <v>2025.11</v>
      </c>
      <c r="B26" s="5">
        <f>'2025.11'!B48</f>
        <v>2.5</v>
      </c>
      <c r="C26" s="5">
        <f t="shared" si="2"/>
        <v>43.980000000000011</v>
      </c>
      <c r="D26" s="14">
        <f>'2025.11'!D48</f>
        <v>0.56095317</v>
      </c>
      <c r="E26" s="14">
        <f t="shared" ref="E26" si="15">E25+D26</f>
        <v>9.7318261999999969</v>
      </c>
      <c r="F26" s="5">
        <v>4.32</v>
      </c>
      <c r="G26" s="5">
        <f t="shared" ref="G26" si="16">E26*F26</f>
        <v>42.041489183999992</v>
      </c>
      <c r="H26" s="5">
        <f t="shared" si="1"/>
        <v>-1.9385108160000186</v>
      </c>
      <c r="I26" s="20">
        <f t="shared" si="4"/>
        <v>-4.4077099045020877E-2</v>
      </c>
      <c r="J26" s="5">
        <f>'2025.11'!E48</f>
        <v>0</v>
      </c>
    </row>
    <row r="27" spans="1:10" x14ac:dyDescent="0.25">
      <c r="A27" s="6" t="str">
        <f>'2025.12'!A1</f>
        <v>2025.12</v>
      </c>
      <c r="B27" s="5">
        <f>'2025.12'!B48</f>
        <v>2.44</v>
      </c>
      <c r="C27" s="5">
        <f t="shared" si="2"/>
        <v>46.420000000000009</v>
      </c>
      <c r="D27" s="14">
        <f>'2025.12'!D48</f>
        <v>0.56583647000000004</v>
      </c>
      <c r="E27" s="14">
        <f t="shared" ref="E27" si="17">E26+D27</f>
        <v>10.297662669999998</v>
      </c>
      <c r="F27" s="5">
        <v>4.28</v>
      </c>
      <c r="G27" s="5">
        <f t="shared" ref="G27" si="18">E27*F27</f>
        <v>44.073996227599991</v>
      </c>
      <c r="H27" s="5">
        <f t="shared" si="1"/>
        <v>-2.3460037724000173</v>
      </c>
      <c r="I27" s="20">
        <f t="shared" si="4"/>
        <v>-5.0538642231797E-2</v>
      </c>
      <c r="J27" s="5">
        <f>'2025.12'!E48</f>
        <v>1.06</v>
      </c>
    </row>
    <row r="28" spans="1:10" x14ac:dyDescent="0.25">
      <c r="A28" s="6" t="str">
        <f>'2026.01'!A1</f>
        <v>2026.01</v>
      </c>
      <c r="B28" s="5">
        <f>'2026.01'!B48</f>
        <v>0</v>
      </c>
      <c r="C28" s="5">
        <f t="shared" ref="C28" si="19">C27+B28</f>
        <v>46.420000000000009</v>
      </c>
      <c r="D28" s="14">
        <f>'2026.01'!D48</f>
        <v>0</v>
      </c>
      <c r="E28" s="14">
        <f t="shared" ref="E28" si="20">E27+D28</f>
        <v>10.297662669999998</v>
      </c>
      <c r="F28" s="5">
        <v>4.2699999999999996</v>
      </c>
      <c r="G28" s="5">
        <f t="shared" ref="G28" si="21">E28*F28</f>
        <v>43.971019600899986</v>
      </c>
      <c r="H28" s="5">
        <f t="shared" ref="H28" si="22">G28-C28</f>
        <v>-2.448980399100023</v>
      </c>
      <c r="I28" s="20">
        <f t="shared" ref="I28" si="23">(G28-C28)/C28</f>
        <v>-5.275700989013405E-2</v>
      </c>
      <c r="J28" s="5">
        <f>'2026.01'!E48</f>
        <v>0</v>
      </c>
    </row>
    <row r="29" spans="1:10" x14ac:dyDescent="0.25">
      <c r="A29" s="6">
        <f>'2026.02'!A1</f>
        <v>2026.02</v>
      </c>
      <c r="B29" s="5">
        <f>'2026.02'!B48</f>
        <v>1.9</v>
      </c>
      <c r="C29" s="5">
        <f t="shared" ref="C29" si="24">C28+B29</f>
        <v>48.320000000000007</v>
      </c>
      <c r="D29" s="14">
        <f>'2026.02'!D48</f>
        <v>0.44259125999999999</v>
      </c>
      <c r="E29" s="14">
        <f t="shared" ref="E29" si="25">E28+D29</f>
        <v>10.740253929999998</v>
      </c>
      <c r="F29" s="5">
        <v>4.29</v>
      </c>
      <c r="G29" s="5">
        <f t="shared" ref="G29" si="26">E29*F29</f>
        <v>46.075689359699993</v>
      </c>
      <c r="H29" s="5">
        <f t="shared" ref="H29" si="27">G29-C29</f>
        <v>-2.2443106403000144</v>
      </c>
      <c r="I29" s="20">
        <f t="shared" ref="I29" si="28">(G29-C29)/C29</f>
        <v>-4.6446826165149294E-2</v>
      </c>
      <c r="J29" s="5">
        <f>'2026.02'!E48</f>
        <v>0</v>
      </c>
    </row>
    <row r="30" spans="1:10" x14ac:dyDescent="0.25">
      <c r="A30" s="6">
        <f>'2026.03'!A1</f>
        <v>2026.03</v>
      </c>
      <c r="B30" s="5">
        <f>'2026.03'!B48</f>
        <v>1.48</v>
      </c>
      <c r="C30" s="5">
        <f t="shared" ref="C30" si="29">C29+B30</f>
        <v>49.800000000000004</v>
      </c>
      <c r="D30" s="14">
        <f>'2026.03'!D48</f>
        <v>0.34128119000000001</v>
      </c>
      <c r="E30" s="14">
        <f t="shared" ref="E30:E31" si="30">E29+D30</f>
        <v>11.081535119999998</v>
      </c>
      <c r="F30" s="5">
        <v>4.43</v>
      </c>
      <c r="G30" s="5">
        <f t="shared" ref="G30" si="31">E30*F30</f>
        <v>49.091200581599985</v>
      </c>
      <c r="H30" s="5">
        <f t="shared" ref="H30" si="32">G30-C30</f>
        <v>-0.70879941840001948</v>
      </c>
      <c r="I30" s="20">
        <f t="shared" ref="I30" si="33">(G30-C30)/C30</f>
        <v>-1.4232920048193161E-2</v>
      </c>
      <c r="J30" s="5">
        <f>'2026.03'!E48</f>
        <v>0</v>
      </c>
    </row>
    <row r="31" spans="1:10" x14ac:dyDescent="0.25">
      <c r="A31" s="6" t="str">
        <f>'2026.04'!N2</f>
        <v>2026.04</v>
      </c>
      <c r="B31" s="5">
        <f>'2026.04'!B54</f>
        <v>0.3</v>
      </c>
      <c r="C31" s="5">
        <f t="shared" ref="C31" si="34">C30+B31</f>
        <v>50.1</v>
      </c>
      <c r="D31" s="14">
        <f>'2026.04'!D54</f>
        <v>6.8928890000000007E-2</v>
      </c>
      <c r="E31" s="56">
        <f t="shared" si="30"/>
        <v>11.150464009999999</v>
      </c>
      <c r="F31" s="51">
        <v>4.3899999999999997</v>
      </c>
      <c r="G31" s="57">
        <f t="shared" ref="G31" si="35">E31*F31</f>
        <v>48.950537003899989</v>
      </c>
      <c r="H31" s="5">
        <f t="shared" ref="H31" si="36">G31-C31</f>
        <v>-1.1494629961000129</v>
      </c>
      <c r="I31" s="20">
        <f t="shared" ref="I31" si="37">(G31-C31)/C31</f>
        <v>-2.294337317564896E-2</v>
      </c>
      <c r="J31" s="5">
        <f>'2026.04'!L54</f>
        <v>0</v>
      </c>
    </row>
    <row r="32" spans="1:10" x14ac:dyDescent="0.25">
      <c r="F32" s="9"/>
      <c r="G32" s="9"/>
    </row>
    <row r="34" spans="7:7" x14ac:dyDescent="0.25">
      <c r="G34" s="58"/>
    </row>
  </sheetData>
  <mergeCells count="11">
    <mergeCell ref="L3:L4"/>
    <mergeCell ref="A3:A4"/>
    <mergeCell ref="B3:C3"/>
    <mergeCell ref="D3:E3"/>
    <mergeCell ref="F3:I3"/>
    <mergeCell ref="J3:J4"/>
    <mergeCell ref="M3:M4"/>
    <mergeCell ref="R3:R4"/>
    <mergeCell ref="S3:S4"/>
    <mergeCell ref="P3:Q3"/>
    <mergeCell ref="N3:O3"/>
  </mergeCells>
  <pageMargins left="0.7" right="0.7" top="0.75" bottom="0.75" header="0.3" footer="0.3"/>
  <pageSetup orientation="portrait" r:id="rId1"/>
  <ignoredErrors>
    <ignoredError sqref="D5:D31" formula="1"/>
  </ignoredError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S31"/>
  <sheetViews>
    <sheetView workbookViewId="0">
      <pane ySplit="14" topLeftCell="A15" activePane="bottomLeft" state="frozen"/>
      <selection activeCell="A7" sqref="A7"/>
      <selection pane="bottomLeft" activeCell="A7" sqref="A7"/>
    </sheetView>
  </sheetViews>
  <sheetFormatPr defaultRowHeight="15" x14ac:dyDescent="0.25"/>
  <cols>
    <col min="1" max="1" width="10.7109375" style="1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21" t="s">
        <v>17</v>
      </c>
    </row>
    <row r="3" spans="1:19" x14ac:dyDescent="0.25">
      <c r="A3" s="68" t="s">
        <v>90</v>
      </c>
      <c r="B3" s="71" t="s">
        <v>3</v>
      </c>
      <c r="C3" s="72"/>
      <c r="D3" s="77" t="s">
        <v>1</v>
      </c>
      <c r="E3" s="77"/>
      <c r="F3" s="71" t="s">
        <v>91</v>
      </c>
      <c r="G3" s="76"/>
      <c r="H3" s="76"/>
      <c r="I3" s="72"/>
      <c r="J3" s="68" t="s">
        <v>25</v>
      </c>
      <c r="L3" s="68" t="s">
        <v>65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72</v>
      </c>
      <c r="E4" s="3" t="s">
        <v>93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" t="str">
        <f>'2024.02'!A1</f>
        <v>2024.02</v>
      </c>
      <c r="B5" s="5">
        <f>'2024.02'!B45</f>
        <v>11</v>
      </c>
      <c r="C5" s="5">
        <f>B5</f>
        <v>11</v>
      </c>
      <c r="D5" s="14">
        <f>'2024.02'!D45</f>
        <v>0.11664478</v>
      </c>
      <c r="E5" s="14">
        <f>D5</f>
        <v>0.11664478</v>
      </c>
      <c r="F5" s="5">
        <v>94.13</v>
      </c>
      <c r="G5" s="5">
        <f t="shared" ref="G5:G20" si="0">E5*F5</f>
        <v>10.979773141399999</v>
      </c>
      <c r="H5" s="5">
        <f t="shared" ref="H5:H27" si="1">G5-C5</f>
        <v>-2.0226858600000952E-2</v>
      </c>
      <c r="I5" s="20">
        <f>(G5-C5)/C5</f>
        <v>-1.8388053272728139E-3</v>
      </c>
      <c r="J5" s="5">
        <f>'2024.02'!E45</f>
        <v>0</v>
      </c>
      <c r="L5" s="3" t="s">
        <v>2</v>
      </c>
      <c r="M5" s="5">
        <f>SUM(B5:B67)</f>
        <v>48.38</v>
      </c>
      <c r="N5" s="5">
        <f>INDEX(G5:G100,MATCH(9.99999999999999E+307,G5:G100))</f>
        <v>46.972578571599996</v>
      </c>
      <c r="O5" s="20">
        <f>INDEX(I5:I100,MATCH(9.99999999999999E+307,I5:I100))</f>
        <v>-2.9090976196775659E-2</v>
      </c>
      <c r="P5" s="5">
        <f>N5+S5</f>
        <v>49.432578571599997</v>
      </c>
      <c r="Q5" s="20">
        <f>(P5-M5)/M5</f>
        <v>2.1756481430343002E-2</v>
      </c>
      <c r="R5" s="14">
        <f>SUM(D5:D67)</f>
        <v>0.53646160999999992</v>
      </c>
      <c r="S5" s="5">
        <f>SUM(J5:J67)</f>
        <v>2.46</v>
      </c>
    </row>
    <row r="6" spans="1:19" x14ac:dyDescent="0.25">
      <c r="A6" s="6" t="str">
        <f>'2024.03'!A1</f>
        <v>2024.03</v>
      </c>
      <c r="B6" s="5">
        <f>'2024.03'!B45</f>
        <v>0</v>
      </c>
      <c r="C6" s="5">
        <f t="shared" ref="C6:C27" si="2">C5+B6</f>
        <v>11</v>
      </c>
      <c r="D6" s="14">
        <f>'2024.03'!D45</f>
        <v>0</v>
      </c>
      <c r="E6" s="14">
        <f t="shared" ref="E6:E20" si="3">E5+D6</f>
        <v>0.11664478</v>
      </c>
      <c r="F6" s="5">
        <v>94.99</v>
      </c>
      <c r="G6" s="5">
        <f t="shared" si="0"/>
        <v>11.0800876522</v>
      </c>
      <c r="H6" s="5">
        <f t="shared" si="1"/>
        <v>8.0087652199999582E-2</v>
      </c>
      <c r="I6" s="20">
        <f t="shared" ref="I6:I27" si="4">(G6-C6)/C6</f>
        <v>7.2806956545454164E-3</v>
      </c>
      <c r="J6" s="5">
        <f>'2024.03'!E45</f>
        <v>0</v>
      </c>
    </row>
    <row r="7" spans="1:19" x14ac:dyDescent="0.25">
      <c r="A7" s="6" t="str">
        <f>'2024.04'!A1</f>
        <v>2024.04</v>
      </c>
      <c r="B7" s="5">
        <f>'2024.04'!B45</f>
        <v>0</v>
      </c>
      <c r="C7" s="5">
        <f t="shared" si="2"/>
        <v>11</v>
      </c>
      <c r="D7" s="14">
        <f>'2024.04'!D45</f>
        <v>0</v>
      </c>
      <c r="E7" s="14">
        <f t="shared" si="3"/>
        <v>0.11664478</v>
      </c>
      <c r="F7" s="5">
        <v>92.5</v>
      </c>
      <c r="G7" s="5">
        <f t="shared" si="0"/>
        <v>10.789642150000001</v>
      </c>
      <c r="H7" s="5">
        <f t="shared" si="1"/>
        <v>-0.2103578499999994</v>
      </c>
      <c r="I7" s="20">
        <f t="shared" si="4"/>
        <v>-1.9123440909090853E-2</v>
      </c>
      <c r="J7" s="5">
        <f>'2024.04'!E45</f>
        <v>0.13</v>
      </c>
    </row>
    <row r="8" spans="1:19" x14ac:dyDescent="0.25">
      <c r="A8" s="6" t="str">
        <f>'2024.05'!A1</f>
        <v>2024.05</v>
      </c>
      <c r="B8" s="5">
        <f>'2024.05'!B45</f>
        <v>0</v>
      </c>
      <c r="C8" s="5">
        <f t="shared" si="2"/>
        <v>11</v>
      </c>
      <c r="D8" s="14">
        <f>'2024.05'!D45</f>
        <v>0</v>
      </c>
      <c r="E8" s="14">
        <f t="shared" si="3"/>
        <v>0.11664478</v>
      </c>
      <c r="F8" s="5">
        <v>93.53</v>
      </c>
      <c r="G8" s="5">
        <f t="shared" si="0"/>
        <v>10.9097862734</v>
      </c>
      <c r="H8" s="5">
        <f t="shared" si="1"/>
        <v>-9.0213726600000044E-2</v>
      </c>
      <c r="I8" s="20">
        <f t="shared" si="4"/>
        <v>-8.2012478727272759E-3</v>
      </c>
      <c r="J8" s="5">
        <f>'2024.05'!E45</f>
        <v>0</v>
      </c>
    </row>
    <row r="9" spans="1:19" x14ac:dyDescent="0.25">
      <c r="A9" s="6" t="str">
        <f>'2024.06'!A1</f>
        <v>2024.06</v>
      </c>
      <c r="B9" s="5">
        <f>'2024.06'!B45</f>
        <v>0</v>
      </c>
      <c r="C9" s="5">
        <f t="shared" si="2"/>
        <v>11</v>
      </c>
      <c r="D9" s="14">
        <f>'2024.06'!D45</f>
        <v>0</v>
      </c>
      <c r="E9" s="14">
        <f t="shared" si="3"/>
        <v>0.11664478</v>
      </c>
      <c r="F9" s="5">
        <v>94.56</v>
      </c>
      <c r="G9" s="5">
        <f t="shared" si="0"/>
        <v>11.029930396800001</v>
      </c>
      <c r="H9" s="5">
        <f t="shared" si="1"/>
        <v>2.9930396800001091E-2</v>
      </c>
      <c r="I9" s="20">
        <f t="shared" si="4"/>
        <v>2.7209451636364627E-3</v>
      </c>
      <c r="J9" s="5">
        <f>'2024.06'!E45</f>
        <v>0</v>
      </c>
    </row>
    <row r="10" spans="1:19" x14ac:dyDescent="0.25">
      <c r="A10" s="6" t="str">
        <f>'2024.07'!A1</f>
        <v>2024.07</v>
      </c>
      <c r="B10" s="5">
        <f>'2024.07'!B45</f>
        <v>0</v>
      </c>
      <c r="C10" s="5">
        <f t="shared" si="2"/>
        <v>11</v>
      </c>
      <c r="D10" s="14">
        <f>'2024.07'!D45</f>
        <v>0</v>
      </c>
      <c r="E10" s="14">
        <f t="shared" si="3"/>
        <v>0.11664478</v>
      </c>
      <c r="F10" s="5">
        <v>95.42</v>
      </c>
      <c r="G10" s="5">
        <f t="shared" si="0"/>
        <v>11.1302449076</v>
      </c>
      <c r="H10" s="5">
        <f t="shared" si="1"/>
        <v>0.13024490759999985</v>
      </c>
      <c r="I10" s="20">
        <f t="shared" si="4"/>
        <v>1.1840446145454531E-2</v>
      </c>
      <c r="J10" s="5">
        <f>'2024.07'!E45</f>
        <v>0.13</v>
      </c>
    </row>
    <row r="11" spans="1:19" x14ac:dyDescent="0.25">
      <c r="A11" s="6" t="str">
        <f>'2024.08'!A1</f>
        <v>2024.08</v>
      </c>
      <c r="B11" s="5">
        <f>'2024.08'!B45</f>
        <v>0</v>
      </c>
      <c r="C11" s="5">
        <f t="shared" si="2"/>
        <v>11</v>
      </c>
      <c r="D11" s="14">
        <f>'2024.08'!D45</f>
        <v>0</v>
      </c>
      <c r="E11" s="14">
        <f t="shared" si="3"/>
        <v>0.11664478</v>
      </c>
      <c r="F11" s="5">
        <v>94.82</v>
      </c>
      <c r="G11" s="5">
        <f t="shared" si="0"/>
        <v>11.060258039599999</v>
      </c>
      <c r="H11" s="5">
        <f t="shared" si="1"/>
        <v>6.025803959999898E-2</v>
      </c>
      <c r="I11" s="20">
        <f t="shared" si="4"/>
        <v>5.4780035999999069E-3</v>
      </c>
      <c r="J11" s="5">
        <f>'2024.08'!E45</f>
        <v>0</v>
      </c>
    </row>
    <row r="12" spans="1:19" x14ac:dyDescent="0.25">
      <c r="A12" s="6" t="str">
        <f>'2024.09'!A1</f>
        <v>2024.09</v>
      </c>
      <c r="B12" s="5">
        <f>'2024.09'!B45</f>
        <v>0</v>
      </c>
      <c r="C12" s="5">
        <f t="shared" si="2"/>
        <v>11</v>
      </c>
      <c r="D12" s="14">
        <f>'2024.09'!D45</f>
        <v>0</v>
      </c>
      <c r="E12" s="14">
        <f t="shared" si="3"/>
        <v>0.11664478</v>
      </c>
      <c r="F12" s="5">
        <v>94.47</v>
      </c>
      <c r="G12" s="5">
        <f t="shared" si="0"/>
        <v>11.0194323666</v>
      </c>
      <c r="H12" s="5">
        <f t="shared" si="1"/>
        <v>1.943236660000025E-2</v>
      </c>
      <c r="I12" s="20">
        <f t="shared" si="4"/>
        <v>1.7665787818182046E-3</v>
      </c>
      <c r="J12" s="5">
        <f>'2024.09'!E45</f>
        <v>0.13</v>
      </c>
    </row>
    <row r="13" spans="1:19" x14ac:dyDescent="0.25">
      <c r="A13" s="6" t="str">
        <f>'2024.10'!A1</f>
        <v>2024.10</v>
      </c>
      <c r="B13" s="5">
        <f>'2024.10'!B45</f>
        <v>0</v>
      </c>
      <c r="C13" s="5">
        <f t="shared" si="2"/>
        <v>11</v>
      </c>
      <c r="D13" s="14">
        <f>'2024.10'!D45</f>
        <v>0</v>
      </c>
      <c r="E13" s="14">
        <f t="shared" si="3"/>
        <v>0.11664478</v>
      </c>
      <c r="F13" s="5">
        <v>94.73</v>
      </c>
      <c r="G13" s="5">
        <f t="shared" si="0"/>
        <v>11.0497600094</v>
      </c>
      <c r="H13" s="5">
        <f t="shared" si="1"/>
        <v>4.9760009399999916E-2</v>
      </c>
      <c r="I13" s="20">
        <f t="shared" si="4"/>
        <v>4.5236372181818108E-3</v>
      </c>
      <c r="J13" s="5">
        <f>'2024.10'!E45</f>
        <v>0</v>
      </c>
    </row>
    <row r="14" spans="1:19" x14ac:dyDescent="0.25">
      <c r="A14" s="6" t="str">
        <f>'2024.11'!A1</f>
        <v>2024.11</v>
      </c>
      <c r="B14" s="5">
        <f>'2024.11'!B45</f>
        <v>0</v>
      </c>
      <c r="C14" s="5">
        <f t="shared" si="2"/>
        <v>11</v>
      </c>
      <c r="D14" s="14">
        <f>'2024.11'!D45</f>
        <v>0</v>
      </c>
      <c r="E14" s="14">
        <f t="shared" si="3"/>
        <v>0.11664478</v>
      </c>
      <c r="F14" s="5">
        <v>98.85</v>
      </c>
      <c r="G14" s="5">
        <f t="shared" si="0"/>
        <v>11.530336502999999</v>
      </c>
      <c r="H14" s="5">
        <f t="shared" si="1"/>
        <v>0.53033650299999913</v>
      </c>
      <c r="I14" s="20">
        <f t="shared" si="4"/>
        <v>4.8212409363636285E-2</v>
      </c>
      <c r="J14" s="5">
        <f>'2024.11'!E45</f>
        <v>0</v>
      </c>
    </row>
    <row r="15" spans="1:19" x14ac:dyDescent="0.25">
      <c r="A15" s="6" t="str">
        <f>'2024.12'!A1</f>
        <v>2024.12</v>
      </c>
      <c r="B15" s="5">
        <f>'2024.12'!B45</f>
        <v>2.12</v>
      </c>
      <c r="C15" s="5">
        <f t="shared" si="2"/>
        <v>13.120000000000001</v>
      </c>
      <c r="D15" s="14">
        <f>'2024.12'!D45</f>
        <v>2.199218E-2</v>
      </c>
      <c r="E15" s="14">
        <f t="shared" si="3"/>
        <v>0.13863696</v>
      </c>
      <c r="F15" s="5">
        <v>95.86</v>
      </c>
      <c r="G15" s="5">
        <f t="shared" si="0"/>
        <v>13.2897389856</v>
      </c>
      <c r="H15" s="5">
        <f t="shared" si="1"/>
        <v>0.16973898559999867</v>
      </c>
      <c r="I15" s="20">
        <f t="shared" si="4"/>
        <v>1.2937422682926728E-2</v>
      </c>
      <c r="J15" s="5">
        <f>'2024.12'!E45</f>
        <v>0.14000000000000001</v>
      </c>
    </row>
    <row r="16" spans="1:19" x14ac:dyDescent="0.25">
      <c r="A16" s="6" t="str">
        <f>'2025.01'!A1</f>
        <v>2025.01</v>
      </c>
      <c r="B16" s="5">
        <f>'2025.01'!B45</f>
        <v>0</v>
      </c>
      <c r="C16" s="5">
        <f t="shared" si="2"/>
        <v>13.120000000000001</v>
      </c>
      <c r="D16" s="14">
        <f>'2025.01'!D45</f>
        <v>0</v>
      </c>
      <c r="E16" s="14">
        <f t="shared" si="3"/>
        <v>0.13863696</v>
      </c>
      <c r="F16" s="5">
        <v>97.67</v>
      </c>
      <c r="G16" s="5">
        <f t="shared" si="0"/>
        <v>13.5406718832</v>
      </c>
      <c r="H16" s="5">
        <f t="shared" si="1"/>
        <v>0.42067188319999893</v>
      </c>
      <c r="I16" s="20">
        <f t="shared" si="4"/>
        <v>3.2063405731707233E-2</v>
      </c>
      <c r="J16" s="5">
        <f>'2025.01'!E45</f>
        <v>0</v>
      </c>
    </row>
    <row r="17" spans="1:10" x14ac:dyDescent="0.25">
      <c r="A17" s="6" t="str">
        <f>'2025.02'!A1</f>
        <v>2025.02</v>
      </c>
      <c r="B17" s="5">
        <f>'2025.02'!B45</f>
        <v>0</v>
      </c>
      <c r="C17" s="5">
        <f t="shared" si="2"/>
        <v>13.120000000000001</v>
      </c>
      <c r="D17" s="14">
        <f>'2025.02'!D45</f>
        <v>0</v>
      </c>
      <c r="E17" s="14">
        <f t="shared" si="3"/>
        <v>0.13863696</v>
      </c>
      <c r="F17" s="5">
        <v>99.32</v>
      </c>
      <c r="G17" s="5">
        <f t="shared" si="0"/>
        <v>13.769422867199999</v>
      </c>
      <c r="H17" s="5">
        <f t="shared" si="1"/>
        <v>0.64942286719999842</v>
      </c>
      <c r="I17" s="20">
        <f t="shared" si="4"/>
        <v>4.9498694146341338E-2</v>
      </c>
      <c r="J17" s="5">
        <f>'2025.02'!E45</f>
        <v>0</v>
      </c>
    </row>
    <row r="18" spans="1:10" x14ac:dyDescent="0.25">
      <c r="A18" s="6" t="str">
        <f>'2025.03'!A1</f>
        <v>2025.03</v>
      </c>
      <c r="B18" s="5">
        <f>'2025.03'!B45</f>
        <v>0.84</v>
      </c>
      <c r="C18" s="5">
        <f t="shared" si="2"/>
        <v>13.96</v>
      </c>
      <c r="D18" s="14">
        <f>'2025.03'!D45</f>
        <v>8.9111499999999996E-3</v>
      </c>
      <c r="E18" s="14">
        <f t="shared" si="3"/>
        <v>0.14754811000000001</v>
      </c>
      <c r="F18" s="5">
        <v>93.73</v>
      </c>
      <c r="G18" s="5">
        <f t="shared" si="0"/>
        <v>13.829684350300001</v>
      </c>
      <c r="H18" s="5">
        <f t="shared" si="1"/>
        <v>-0.13031564969999998</v>
      </c>
      <c r="I18" s="20">
        <f t="shared" si="4"/>
        <v>-9.3349319269340949E-3</v>
      </c>
      <c r="J18" s="5">
        <f>'2025.03'!E45</f>
        <v>0.16</v>
      </c>
    </row>
    <row r="19" spans="1:10" x14ac:dyDescent="0.25">
      <c r="A19" s="6" t="str">
        <f>'2025.04'!A1</f>
        <v>2025.04</v>
      </c>
      <c r="B19" s="5">
        <f>'2025.04'!B45</f>
        <v>7.01</v>
      </c>
      <c r="C19" s="5">
        <f t="shared" si="2"/>
        <v>20.97</v>
      </c>
      <c r="D19" s="14">
        <f>'2025.04'!D45</f>
        <v>7.8342400000000006E-2</v>
      </c>
      <c r="E19" s="14">
        <f t="shared" si="3"/>
        <v>0.22589051000000002</v>
      </c>
      <c r="F19" s="5">
        <v>89.42</v>
      </c>
      <c r="G19" s="5">
        <f t="shared" si="0"/>
        <v>20.199129404200001</v>
      </c>
      <c r="H19" s="5">
        <f t="shared" si="1"/>
        <v>-0.77087059579999817</v>
      </c>
      <c r="I19" s="20">
        <f t="shared" si="4"/>
        <v>-3.6760638807820614E-2</v>
      </c>
      <c r="J19" s="5">
        <f>'2025.04'!E45</f>
        <v>0</v>
      </c>
    </row>
    <row r="20" spans="1:10" x14ac:dyDescent="0.25">
      <c r="A20" s="6" t="str">
        <f>'2025.05'!A1</f>
        <v>2025.05</v>
      </c>
      <c r="B20" s="5">
        <f>'2025.05'!B45</f>
        <v>2.06</v>
      </c>
      <c r="C20" s="5">
        <f t="shared" si="2"/>
        <v>23.029999999999998</v>
      </c>
      <c r="D20" s="14">
        <f>'2025.05'!D45</f>
        <v>2.3105359999999998E-2</v>
      </c>
      <c r="E20" s="14">
        <f t="shared" si="3"/>
        <v>0.24899587000000001</v>
      </c>
      <c r="F20" s="5">
        <v>89.08</v>
      </c>
      <c r="G20" s="5">
        <f t="shared" si="0"/>
        <v>22.1805520996</v>
      </c>
      <c r="H20" s="5">
        <f t="shared" si="1"/>
        <v>-0.84944790039999774</v>
      </c>
      <c r="I20" s="20">
        <f t="shared" si="4"/>
        <v>-3.6884407312201384E-2</v>
      </c>
      <c r="J20" s="5">
        <f>'2025.05'!E45</f>
        <v>0</v>
      </c>
    </row>
    <row r="21" spans="1:10" x14ac:dyDescent="0.25">
      <c r="A21" s="6" t="str">
        <f>'2025.06'!A1</f>
        <v>2025.06</v>
      </c>
      <c r="B21" s="5">
        <f>'2025.06'!B60</f>
        <v>2.98</v>
      </c>
      <c r="C21" s="5">
        <f t="shared" si="2"/>
        <v>26.009999999999998</v>
      </c>
      <c r="D21" s="14">
        <f>'2025.06'!D60</f>
        <v>3.3672349999999997E-2</v>
      </c>
      <c r="E21" s="14">
        <f t="shared" ref="E21" si="5">E20+D21</f>
        <v>0.28266822000000003</v>
      </c>
      <c r="F21" s="5">
        <v>86.71</v>
      </c>
      <c r="G21" s="5">
        <f t="shared" ref="G21" si="6">E21*F21</f>
        <v>24.510161356200001</v>
      </c>
      <c r="H21" s="5">
        <f t="shared" si="1"/>
        <v>-1.4998386437999969</v>
      </c>
      <c r="I21" s="20">
        <f t="shared" si="4"/>
        <v>-5.7663923252595041E-2</v>
      </c>
      <c r="J21" s="5">
        <f>'2025.06'!E60</f>
        <v>0.3</v>
      </c>
    </row>
    <row r="22" spans="1:10" x14ac:dyDescent="0.25">
      <c r="A22" s="6" t="str">
        <f>'2025.07'!A1</f>
        <v>2025.07</v>
      </c>
      <c r="B22" s="5">
        <f>'2025.07'!B60</f>
        <v>4.4400000000000004</v>
      </c>
      <c r="C22" s="5">
        <f t="shared" si="2"/>
        <v>30.45</v>
      </c>
      <c r="D22" s="14">
        <f>'2025.07'!D60</f>
        <v>5.1221600000000006E-2</v>
      </c>
      <c r="E22" s="14">
        <f t="shared" ref="E22" si="7">E21+D22</f>
        <v>0.33388982</v>
      </c>
      <c r="F22" s="5">
        <v>89.43</v>
      </c>
      <c r="G22" s="5">
        <f t="shared" ref="G22" si="8">E22*F22</f>
        <v>29.859766602600004</v>
      </c>
      <c r="H22" s="5">
        <f t="shared" si="1"/>
        <v>-0.59023339739999514</v>
      </c>
      <c r="I22" s="20">
        <f t="shared" si="4"/>
        <v>-1.9383691211822502E-2</v>
      </c>
      <c r="J22" s="5">
        <f>'2025.07'!E60</f>
        <v>0</v>
      </c>
    </row>
    <row r="23" spans="1:10" x14ac:dyDescent="0.25">
      <c r="A23" s="6" t="str">
        <f>'2025.08'!A1</f>
        <v>2025.08</v>
      </c>
      <c r="B23" s="5">
        <f>'2025.08'!B60</f>
        <v>2.85</v>
      </c>
      <c r="C23" s="5">
        <f t="shared" si="2"/>
        <v>33.299999999999997</v>
      </c>
      <c r="D23" s="14">
        <f>'2025.08'!D60</f>
        <v>3.2097229999999997E-2</v>
      </c>
      <c r="E23" s="14">
        <f t="shared" ref="E23" si="9">E22+D23</f>
        <v>0.36598704999999998</v>
      </c>
      <c r="F23" s="5">
        <v>88.06</v>
      </c>
      <c r="G23" s="5">
        <f t="shared" ref="G23" si="10">E23*F23</f>
        <v>32.228819623</v>
      </c>
      <c r="H23" s="5">
        <f t="shared" si="1"/>
        <v>-1.0711803769999975</v>
      </c>
      <c r="I23" s="20">
        <f t="shared" si="4"/>
        <v>-3.2167578888888812E-2</v>
      </c>
      <c r="J23" s="5">
        <f>'2025.08'!E60</f>
        <v>0</v>
      </c>
    </row>
    <row r="24" spans="1:10" x14ac:dyDescent="0.25">
      <c r="A24" s="6" t="str">
        <f>'2025.09'!A1</f>
        <v>2025.09</v>
      </c>
      <c r="B24" s="5">
        <f>'2025.09'!B60</f>
        <v>2.09</v>
      </c>
      <c r="C24" s="5">
        <f t="shared" si="2"/>
        <v>35.39</v>
      </c>
      <c r="D24" s="14">
        <f>'2025.09'!D60</f>
        <v>2.366801E-2</v>
      </c>
      <c r="E24" s="14">
        <f t="shared" ref="E24" si="11">E23+D24</f>
        <v>0.38965506</v>
      </c>
      <c r="F24" s="5">
        <v>88.57</v>
      </c>
      <c r="G24" s="5">
        <f t="shared" ref="G24" si="12">E24*F24</f>
        <v>34.511748664199999</v>
      </c>
      <c r="H24" s="5">
        <f t="shared" si="1"/>
        <v>-0.8782513358000017</v>
      </c>
      <c r="I24" s="20">
        <f t="shared" si="4"/>
        <v>-2.4816370042384902E-2</v>
      </c>
      <c r="J24" s="5">
        <f>'2025.09'!E60</f>
        <v>0.42</v>
      </c>
    </row>
    <row r="25" spans="1:10" x14ac:dyDescent="0.25">
      <c r="A25" s="6" t="str">
        <f>'2025.10'!A1</f>
        <v>2025.10</v>
      </c>
      <c r="B25" s="5">
        <f>'2025.10'!B60</f>
        <v>2.2000000000000002</v>
      </c>
      <c r="C25" s="5">
        <f t="shared" si="2"/>
        <v>37.590000000000003</v>
      </c>
      <c r="D25" s="14">
        <f>'2025.10'!D60</f>
        <v>2.485878E-2</v>
      </c>
      <c r="E25" s="14">
        <f t="shared" ref="E25" si="13">E24+D25</f>
        <v>0.41451384000000002</v>
      </c>
      <c r="F25" s="5">
        <v>90.13</v>
      </c>
      <c r="G25" s="5">
        <f t="shared" ref="G25" si="14">E25*F25</f>
        <v>37.360132399199998</v>
      </c>
      <c r="H25" s="5">
        <f t="shared" si="1"/>
        <v>-0.22986760080000579</v>
      </c>
      <c r="I25" s="20">
        <f t="shared" si="4"/>
        <v>-6.1151263846769294E-3</v>
      </c>
      <c r="J25" s="5">
        <f>'2025.10'!E60</f>
        <v>0</v>
      </c>
    </row>
    <row r="26" spans="1:10" x14ac:dyDescent="0.25">
      <c r="A26" s="6" t="str">
        <f>'2025.11'!A1</f>
        <v>2025.11</v>
      </c>
      <c r="B26" s="5">
        <f>'2025.11'!B60</f>
        <v>2.35</v>
      </c>
      <c r="C26" s="5">
        <f t="shared" si="2"/>
        <v>39.940000000000005</v>
      </c>
      <c r="D26" s="14">
        <f>'2025.11'!D60</f>
        <v>2.608042E-2</v>
      </c>
      <c r="E26" s="14">
        <f t="shared" ref="E26" si="15">E25+D26</f>
        <v>0.44059426000000002</v>
      </c>
      <c r="F26" s="5">
        <v>90.29</v>
      </c>
      <c r="G26" s="5">
        <f t="shared" ref="G26" si="16">E26*F26</f>
        <v>39.781255735400002</v>
      </c>
      <c r="H26" s="5">
        <f t="shared" si="1"/>
        <v>-0.15874426460000279</v>
      </c>
      <c r="I26" s="20">
        <f t="shared" si="4"/>
        <v>-3.9745684677016217E-3</v>
      </c>
      <c r="J26" s="5">
        <f>'2025.11'!E60</f>
        <v>0</v>
      </c>
    </row>
    <row r="27" spans="1:10" x14ac:dyDescent="0.25">
      <c r="A27" s="6" t="str">
        <f>'2025.12'!A1</f>
        <v>2025.12</v>
      </c>
      <c r="B27" s="5">
        <f>'2025.12'!B60</f>
        <v>1.1299999999999999</v>
      </c>
      <c r="C27" s="5">
        <f t="shared" si="2"/>
        <v>41.070000000000007</v>
      </c>
      <c r="D27" s="14">
        <f>'2025.12'!D60</f>
        <v>1.2576530000000001E-2</v>
      </c>
      <c r="E27" s="14">
        <f t="shared" ref="E27" si="17">E26+D27</f>
        <v>0.45317078999999999</v>
      </c>
      <c r="F27" s="5">
        <v>87.78</v>
      </c>
      <c r="G27" s="5">
        <f t="shared" ref="G27" si="18">E27*F27</f>
        <v>39.779331946200003</v>
      </c>
      <c r="H27" s="5">
        <f t="shared" si="1"/>
        <v>-1.2906680538000046</v>
      </c>
      <c r="I27" s="20">
        <f t="shared" si="4"/>
        <v>-3.142605439006585E-2</v>
      </c>
      <c r="J27" s="5">
        <f>'2025.12'!E60</f>
        <v>0.48</v>
      </c>
    </row>
    <row r="28" spans="1:10" x14ac:dyDescent="0.25">
      <c r="A28" s="6" t="str">
        <f>'2026.01'!A1</f>
        <v>2026.01</v>
      </c>
      <c r="B28" s="5">
        <f>'2026.01'!B60</f>
        <v>2.83</v>
      </c>
      <c r="C28" s="5">
        <f t="shared" ref="C28" si="19">C27+B28</f>
        <v>43.900000000000006</v>
      </c>
      <c r="D28" s="14">
        <f>'2026.01'!D60</f>
        <v>3.227944E-2</v>
      </c>
      <c r="E28" s="14">
        <f t="shared" ref="E28" si="20">E27+D28</f>
        <v>0.48545022999999998</v>
      </c>
      <c r="F28" s="5">
        <v>86.93</v>
      </c>
      <c r="G28" s="5">
        <f t="shared" ref="G28" si="21">E28*F28</f>
        <v>42.200188493900001</v>
      </c>
      <c r="H28" s="5">
        <f t="shared" ref="H28" si="22">G28-C28</f>
        <v>-1.699811506100005</v>
      </c>
      <c r="I28" s="20">
        <f t="shared" ref="I28" si="23">(G28-C28)/C28</f>
        <v>-3.8720079865603753E-2</v>
      </c>
      <c r="J28" s="5">
        <f>'2026.01'!E60</f>
        <v>0</v>
      </c>
    </row>
    <row r="29" spans="1:10" x14ac:dyDescent="0.25">
      <c r="A29" s="6">
        <f>'2026.02'!A1</f>
        <v>2026.02</v>
      </c>
      <c r="B29" s="5">
        <f>'2026.02'!B60</f>
        <v>1.76</v>
      </c>
      <c r="C29" s="5">
        <f t="shared" ref="C29" si="24">C28+B29</f>
        <v>45.660000000000004</v>
      </c>
      <c r="D29" s="14">
        <f>'2026.02'!D60</f>
        <v>2.0124429999999999E-2</v>
      </c>
      <c r="E29" s="14">
        <f t="shared" ref="E29" si="25">E28+D29</f>
        <v>0.50557465999999995</v>
      </c>
      <c r="F29" s="5">
        <v>88.59</v>
      </c>
      <c r="G29" s="5">
        <f t="shared" ref="G29" si="26">E29*F29</f>
        <v>44.788859129399995</v>
      </c>
      <c r="H29" s="5">
        <f t="shared" ref="H29" si="27">G29-C29</f>
        <v>-0.87114087060000855</v>
      </c>
      <c r="I29" s="20">
        <f t="shared" ref="I29" si="28">(G29-C29)/C29</f>
        <v>-1.9078862693824101E-2</v>
      </c>
      <c r="J29" s="5">
        <f>'2026.02'!E60</f>
        <v>0</v>
      </c>
    </row>
    <row r="30" spans="1:10" x14ac:dyDescent="0.25">
      <c r="A30" s="6">
        <f>'2026.03'!A1</f>
        <v>2026.03</v>
      </c>
      <c r="B30" s="5">
        <f>'2026.03'!B60</f>
        <v>1.08</v>
      </c>
      <c r="C30" s="5">
        <f t="shared" ref="C30" si="29">C29+B30</f>
        <v>46.74</v>
      </c>
      <c r="D30" s="14">
        <f>'2026.03'!D60</f>
        <v>1.216076E-2</v>
      </c>
      <c r="E30" s="14">
        <f t="shared" ref="E30" si="30">E29+D30</f>
        <v>0.51773541999999995</v>
      </c>
      <c r="F30" s="5">
        <v>87.19</v>
      </c>
      <c r="G30" s="5">
        <f t="shared" ref="G30" si="31">E30*F30</f>
        <v>45.141351269799998</v>
      </c>
      <c r="H30" s="5">
        <f t="shared" ref="H30" si="32">G30-C30</f>
        <v>-1.5986487302000043</v>
      </c>
      <c r="I30" s="20">
        <f t="shared" ref="I30" si="33">(G30-C30)/C30</f>
        <v>-3.4203010915703984E-2</v>
      </c>
      <c r="J30" s="5">
        <f>'2026.03'!E60</f>
        <v>0</v>
      </c>
    </row>
    <row r="31" spans="1:10" x14ac:dyDescent="0.25">
      <c r="A31" s="6" t="str">
        <f>'2026.04'!N2</f>
        <v>2026.04</v>
      </c>
      <c r="B31" s="5">
        <f>'2026.04'!B68</f>
        <v>1.64</v>
      </c>
      <c r="C31" s="5">
        <f t="shared" ref="C31" si="34">C30+B31</f>
        <v>48.38</v>
      </c>
      <c r="D31" s="14">
        <f>'2026.04'!D68</f>
        <v>1.872619E-2</v>
      </c>
      <c r="E31" s="14">
        <f t="shared" ref="E31" si="35">E30+D31</f>
        <v>0.53646160999999992</v>
      </c>
      <c r="F31" s="51">
        <v>87.56</v>
      </c>
      <c r="G31" s="5">
        <f t="shared" ref="G31" si="36">E31*F31</f>
        <v>46.972578571599996</v>
      </c>
      <c r="H31" s="5">
        <f t="shared" ref="H31" si="37">G31-C31</f>
        <v>-1.4074214284000064</v>
      </c>
      <c r="I31" s="20">
        <f t="shared" ref="I31" si="38">(G31-C31)/C31</f>
        <v>-2.9090976196775659E-2</v>
      </c>
      <c r="J31" s="5">
        <f>'2026.04'!L68</f>
        <v>0.56999999999999995</v>
      </c>
    </row>
  </sheetData>
  <mergeCells count="11">
    <mergeCell ref="L3:L4"/>
    <mergeCell ref="A3:A4"/>
    <mergeCell ref="B3:C3"/>
    <mergeCell ref="D3:E3"/>
    <mergeCell ref="F3:I3"/>
    <mergeCell ref="J3:J4"/>
    <mergeCell ref="M3:M4"/>
    <mergeCell ref="R3:R4"/>
    <mergeCell ref="S3:S4"/>
    <mergeCell ref="P3:Q3"/>
    <mergeCell ref="N3:O3"/>
  </mergeCells>
  <pageMargins left="0.7" right="0.7" top="0.75" bottom="0.75" header="0.3" footer="0.3"/>
  <pageSetup orientation="portrait" r:id="rId1"/>
  <ignoredErrors>
    <ignoredError sqref="D5:D31" formula="1"/>
  </ignoredError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S31"/>
  <sheetViews>
    <sheetView workbookViewId="0">
      <pane ySplit="14" topLeftCell="A15" activePane="bottomLeft" state="frozen"/>
      <selection activeCell="A7" sqref="A7"/>
      <selection pane="bottomLeft" activeCell="A7" sqref="A7"/>
    </sheetView>
  </sheetViews>
  <sheetFormatPr defaultRowHeight="15" x14ac:dyDescent="0.25"/>
  <cols>
    <col min="1" max="1" width="10.7109375" style="1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21" t="s">
        <v>18</v>
      </c>
    </row>
    <row r="2" spans="1:19" x14ac:dyDescent="0.25">
      <c r="A2" s="22"/>
    </row>
    <row r="3" spans="1:19" x14ac:dyDescent="0.25">
      <c r="A3" s="68" t="s">
        <v>90</v>
      </c>
      <c r="B3" s="71" t="s">
        <v>3</v>
      </c>
      <c r="C3" s="72"/>
      <c r="D3" s="77" t="s">
        <v>1</v>
      </c>
      <c r="E3" s="77"/>
      <c r="F3" s="71" t="s">
        <v>91</v>
      </c>
      <c r="G3" s="76"/>
      <c r="H3" s="76"/>
      <c r="I3" s="72"/>
      <c r="J3" s="68" t="s">
        <v>25</v>
      </c>
      <c r="L3" s="68" t="s">
        <v>66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72</v>
      </c>
      <c r="E4" s="3" t="s">
        <v>93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" t="str">
        <f>'2024.02'!A1</f>
        <v>2024.02</v>
      </c>
      <c r="B5" s="5">
        <f>'2024.02'!B54</f>
        <v>20</v>
      </c>
      <c r="C5" s="5">
        <f>B5</f>
        <v>20</v>
      </c>
      <c r="D5" s="14">
        <f>'2024.02'!D54</f>
        <v>0.33967391000000002</v>
      </c>
      <c r="E5" s="14">
        <f>D5</f>
        <v>0.33967391000000002</v>
      </c>
      <c r="F5" s="5">
        <v>58.7</v>
      </c>
      <c r="G5" s="5">
        <f t="shared" ref="G5:G20" si="0">E5*F5</f>
        <v>19.938858517000003</v>
      </c>
      <c r="H5" s="5">
        <f t="shared" ref="H5:H27" si="1">G5-C5</f>
        <v>-6.1141482999996555E-2</v>
      </c>
      <c r="I5" s="20">
        <f>(G5-C5)/C5</f>
        <v>-3.0570741499998276E-3</v>
      </c>
      <c r="J5" s="5">
        <f>'2024.02'!E54</f>
        <v>0</v>
      </c>
      <c r="L5" s="3" t="s">
        <v>2</v>
      </c>
      <c r="M5" s="5">
        <f>SUM(B5:B67)</f>
        <v>78.47999999999999</v>
      </c>
      <c r="N5" s="5">
        <f>INDEX(G5:G100,MATCH(9.99999999999999E+307,G5:G100))</f>
        <v>84.942734179699983</v>
      </c>
      <c r="O5" s="20">
        <f>INDEX(I5:I100,MATCH(9.99999999999999E+307,I5:I100))</f>
        <v>8.2348804532364858E-2</v>
      </c>
      <c r="P5" s="5">
        <f>N5+S5</f>
        <v>84.942734179699983</v>
      </c>
      <c r="Q5" s="20">
        <f>(P5-M5)/M5</f>
        <v>8.2348804532364858E-2</v>
      </c>
      <c r="R5" s="14">
        <f>SUM(D5:D67)</f>
        <v>1.2571072099999998</v>
      </c>
      <c r="S5" s="5">
        <f>SUM(J5:J67)</f>
        <v>0</v>
      </c>
    </row>
    <row r="6" spans="1:19" x14ac:dyDescent="0.25">
      <c r="A6" s="6" t="str">
        <f>'2024.03'!A1</f>
        <v>2024.03</v>
      </c>
      <c r="B6" s="5">
        <f>'2024.03'!B54</f>
        <v>0</v>
      </c>
      <c r="C6" s="5">
        <f t="shared" ref="C6:C27" si="2">C5+B6</f>
        <v>20</v>
      </c>
      <c r="D6" s="14">
        <f>'2024.03'!D54</f>
        <v>0</v>
      </c>
      <c r="E6" s="14">
        <f t="shared" ref="E6:E20" si="3">E5+D6</f>
        <v>0.33967391000000002</v>
      </c>
      <c r="F6" s="5">
        <v>60.56</v>
      </c>
      <c r="G6" s="5">
        <f t="shared" si="0"/>
        <v>20.570651989600002</v>
      </c>
      <c r="H6" s="5">
        <f t="shared" si="1"/>
        <v>0.57065198960000174</v>
      </c>
      <c r="I6" s="20">
        <f t="shared" ref="I6:I27" si="4">(G6-C6)/C6</f>
        <v>2.8532599480000087E-2</v>
      </c>
      <c r="J6" s="5">
        <f>'2024.03'!E54</f>
        <v>0</v>
      </c>
    </row>
    <row r="7" spans="1:19" x14ac:dyDescent="0.25">
      <c r="A7" s="6" t="str">
        <f>'2024.04'!A1</f>
        <v>2024.04</v>
      </c>
      <c r="B7" s="5">
        <f>'2024.04'!B54</f>
        <v>0</v>
      </c>
      <c r="C7" s="5">
        <f t="shared" si="2"/>
        <v>20</v>
      </c>
      <c r="D7" s="14">
        <f>'2024.04'!D54</f>
        <v>0</v>
      </c>
      <c r="E7" s="14">
        <f t="shared" si="3"/>
        <v>0.33967391000000002</v>
      </c>
      <c r="F7" s="5">
        <v>58.91</v>
      </c>
      <c r="G7" s="5">
        <f t="shared" si="0"/>
        <v>20.010190038099999</v>
      </c>
      <c r="H7" s="5">
        <f t="shared" si="1"/>
        <v>1.0190038099999299E-2</v>
      </c>
      <c r="I7" s="20">
        <f t="shared" si="4"/>
        <v>5.0950190499996493E-4</v>
      </c>
      <c r="J7" s="5">
        <f>'2024.04'!E54</f>
        <v>0</v>
      </c>
    </row>
    <row r="8" spans="1:19" x14ac:dyDescent="0.25">
      <c r="A8" s="6" t="str">
        <f>'2024.05'!A1</f>
        <v>2024.05</v>
      </c>
      <c r="B8" s="5">
        <f>'2024.05'!B54</f>
        <v>0</v>
      </c>
      <c r="C8" s="5">
        <f t="shared" si="2"/>
        <v>20</v>
      </c>
      <c r="D8" s="14">
        <f>'2024.05'!D54</f>
        <v>0</v>
      </c>
      <c r="E8" s="14">
        <f t="shared" si="3"/>
        <v>0.33967391000000002</v>
      </c>
      <c r="F8" s="5">
        <v>60.62</v>
      </c>
      <c r="G8" s="5">
        <f t="shared" si="0"/>
        <v>20.591032424200002</v>
      </c>
      <c r="H8" s="5">
        <f t="shared" si="1"/>
        <v>0.59103242420000157</v>
      </c>
      <c r="I8" s="20">
        <f t="shared" si="4"/>
        <v>2.955162121000008E-2</v>
      </c>
      <c r="J8" s="5">
        <f>'2024.05'!E54</f>
        <v>0</v>
      </c>
    </row>
    <row r="9" spans="1:19" x14ac:dyDescent="0.25">
      <c r="A9" s="6" t="str">
        <f>'2024.06'!A1</f>
        <v>2024.06</v>
      </c>
      <c r="B9" s="5">
        <f>'2024.06'!B54</f>
        <v>0</v>
      </c>
      <c r="C9" s="5">
        <f t="shared" si="2"/>
        <v>20</v>
      </c>
      <c r="D9" s="14">
        <f>'2024.06'!D54</f>
        <v>0</v>
      </c>
      <c r="E9" s="14">
        <f t="shared" si="3"/>
        <v>0.33967391000000002</v>
      </c>
      <c r="F9" s="5">
        <v>63.24</v>
      </c>
      <c r="G9" s="5">
        <f t="shared" si="0"/>
        <v>21.480978068400002</v>
      </c>
      <c r="H9" s="5">
        <f t="shared" si="1"/>
        <v>1.4809780684000025</v>
      </c>
      <c r="I9" s="20">
        <f t="shared" si="4"/>
        <v>7.4048903420000117E-2</v>
      </c>
      <c r="J9" s="5">
        <f>'2024.06'!E54</f>
        <v>0</v>
      </c>
    </row>
    <row r="10" spans="1:19" x14ac:dyDescent="0.25">
      <c r="A10" s="6" t="str">
        <f>'2024.07'!A1</f>
        <v>2024.07</v>
      </c>
      <c r="B10" s="5">
        <f>'2024.07'!B54</f>
        <v>0</v>
      </c>
      <c r="C10" s="5">
        <f t="shared" si="2"/>
        <v>20</v>
      </c>
      <c r="D10" s="14">
        <f>'2024.07'!D54</f>
        <v>0</v>
      </c>
      <c r="E10" s="14">
        <f t="shared" si="3"/>
        <v>0.33967391000000002</v>
      </c>
      <c r="F10" s="5">
        <v>62.94</v>
      </c>
      <c r="G10" s="5">
        <f t="shared" si="0"/>
        <v>21.3790758954</v>
      </c>
      <c r="H10" s="5">
        <f t="shared" si="1"/>
        <v>1.3790758953999998</v>
      </c>
      <c r="I10" s="20">
        <f t="shared" si="4"/>
        <v>6.8953794769999993E-2</v>
      </c>
      <c r="J10" s="5">
        <f>'2024.07'!E54</f>
        <v>0</v>
      </c>
    </row>
    <row r="11" spans="1:19" x14ac:dyDescent="0.25">
      <c r="A11" s="6" t="str">
        <f>'2024.08'!A1</f>
        <v>2024.08</v>
      </c>
      <c r="B11" s="5">
        <f>'2024.08'!B54</f>
        <v>0</v>
      </c>
      <c r="C11" s="5">
        <f t="shared" si="2"/>
        <v>20</v>
      </c>
      <c r="D11" s="14">
        <f>'2024.08'!D54</f>
        <v>0</v>
      </c>
      <c r="E11" s="14">
        <f t="shared" si="3"/>
        <v>0.33967391000000002</v>
      </c>
      <c r="F11" s="5">
        <v>63.59</v>
      </c>
      <c r="G11" s="5">
        <f t="shared" si="0"/>
        <v>21.599863936900004</v>
      </c>
      <c r="H11" s="5">
        <f t="shared" si="1"/>
        <v>1.5998639369000038</v>
      </c>
      <c r="I11" s="20">
        <f t="shared" si="4"/>
        <v>7.9993196845000197E-2</v>
      </c>
      <c r="J11" s="5">
        <f>'2024.08'!E54</f>
        <v>0</v>
      </c>
    </row>
    <row r="12" spans="1:19" x14ac:dyDescent="0.25">
      <c r="A12" s="6" t="str">
        <f>'2024.09'!A1</f>
        <v>2024.09</v>
      </c>
      <c r="B12" s="5">
        <f>'2024.09'!B54</f>
        <v>0</v>
      </c>
      <c r="C12" s="5">
        <f t="shared" si="2"/>
        <v>20</v>
      </c>
      <c r="D12" s="14">
        <f>'2024.09'!D54</f>
        <v>0</v>
      </c>
      <c r="E12" s="14">
        <f t="shared" si="3"/>
        <v>0.33967391000000002</v>
      </c>
      <c r="F12" s="5">
        <v>63.59</v>
      </c>
      <c r="G12" s="5">
        <f t="shared" si="0"/>
        <v>21.599863936900004</v>
      </c>
      <c r="H12" s="5">
        <f t="shared" si="1"/>
        <v>1.5998639369000038</v>
      </c>
      <c r="I12" s="20">
        <f t="shared" si="4"/>
        <v>7.9993196845000197E-2</v>
      </c>
      <c r="J12" s="5">
        <f>'2024.09'!E54</f>
        <v>0</v>
      </c>
    </row>
    <row r="13" spans="1:19" x14ac:dyDescent="0.25">
      <c r="A13" s="6" t="str">
        <f>'2024.10'!A1</f>
        <v>2024.10</v>
      </c>
      <c r="B13" s="5">
        <f>'2024.10'!B54</f>
        <v>0</v>
      </c>
      <c r="C13" s="5">
        <f t="shared" si="2"/>
        <v>20</v>
      </c>
      <c r="D13" s="14">
        <f>'2024.10'!D54</f>
        <v>0</v>
      </c>
      <c r="E13" s="14">
        <f t="shared" si="3"/>
        <v>0.33967391000000002</v>
      </c>
      <c r="F13" s="5">
        <v>63.88</v>
      </c>
      <c r="G13" s="5">
        <f t="shared" si="0"/>
        <v>21.698369370800002</v>
      </c>
      <c r="H13" s="5">
        <f t="shared" si="1"/>
        <v>1.6983693708000018</v>
      </c>
      <c r="I13" s="20">
        <f t="shared" si="4"/>
        <v>8.4918468540000097E-2</v>
      </c>
      <c r="J13" s="5">
        <f>'2024.10'!E54</f>
        <v>0</v>
      </c>
    </row>
    <row r="14" spans="1:19" x14ac:dyDescent="0.25">
      <c r="A14" s="6" t="str">
        <f>'2024.11'!A1</f>
        <v>2024.11</v>
      </c>
      <c r="B14" s="5">
        <f>'2024.11'!B54</f>
        <v>0</v>
      </c>
      <c r="C14" s="5">
        <f t="shared" si="2"/>
        <v>20</v>
      </c>
      <c r="D14" s="14">
        <f>'2024.11'!D54</f>
        <v>0</v>
      </c>
      <c r="E14" s="14">
        <f t="shared" si="3"/>
        <v>0.33967391000000002</v>
      </c>
      <c r="F14" s="5">
        <v>67.83</v>
      </c>
      <c r="G14" s="5">
        <f t="shared" si="0"/>
        <v>23.0400813153</v>
      </c>
      <c r="H14" s="5">
        <f t="shared" si="1"/>
        <v>3.0400813153000001</v>
      </c>
      <c r="I14" s="20">
        <f t="shared" si="4"/>
        <v>0.152004065765</v>
      </c>
      <c r="J14" s="5">
        <f>'2024.11'!E54</f>
        <v>0</v>
      </c>
    </row>
    <row r="15" spans="1:19" x14ac:dyDescent="0.25">
      <c r="A15" s="6" t="str">
        <f>'2024.12'!A1</f>
        <v>2024.12</v>
      </c>
      <c r="B15" s="5">
        <f>'2024.12'!B54</f>
        <v>1.29</v>
      </c>
      <c r="C15" s="5">
        <f t="shared" si="2"/>
        <v>21.29</v>
      </c>
      <c r="D15" s="14">
        <f>'2024.12'!D54</f>
        <v>1.956917E-2</v>
      </c>
      <c r="E15" s="14">
        <f t="shared" si="3"/>
        <v>0.35924308000000005</v>
      </c>
      <c r="F15" s="5">
        <v>66.92</v>
      </c>
      <c r="G15" s="5">
        <f t="shared" si="0"/>
        <v>24.040546913600004</v>
      </c>
      <c r="H15" s="5">
        <f t="shared" si="1"/>
        <v>2.7505469136000045</v>
      </c>
      <c r="I15" s="20">
        <f t="shared" si="4"/>
        <v>0.12919431252231117</v>
      </c>
      <c r="J15" s="5">
        <f>'2024.12'!E54</f>
        <v>0</v>
      </c>
    </row>
    <row r="16" spans="1:19" x14ac:dyDescent="0.25">
      <c r="A16" s="6" t="str">
        <f>'2025.01'!A1</f>
        <v>2025.01</v>
      </c>
      <c r="B16" s="5">
        <f>'2025.01'!B54</f>
        <v>0</v>
      </c>
      <c r="C16" s="5">
        <f t="shared" si="2"/>
        <v>21.29</v>
      </c>
      <c r="D16" s="14">
        <f>'2025.01'!D54</f>
        <v>0</v>
      </c>
      <c r="E16" s="14">
        <f t="shared" si="3"/>
        <v>0.35924308000000005</v>
      </c>
      <c r="F16" s="5">
        <v>68.7</v>
      </c>
      <c r="G16" s="5">
        <f t="shared" si="0"/>
        <v>24.679999596000005</v>
      </c>
      <c r="H16" s="5">
        <f t="shared" si="1"/>
        <v>3.3899995960000062</v>
      </c>
      <c r="I16" s="20">
        <f t="shared" si="4"/>
        <v>0.1592296663222173</v>
      </c>
      <c r="J16" s="5">
        <f>'2025.01'!E54</f>
        <v>0</v>
      </c>
    </row>
    <row r="17" spans="1:10" x14ac:dyDescent="0.25">
      <c r="A17" s="6" t="str">
        <f>'2025.02'!A1</f>
        <v>2025.02</v>
      </c>
      <c r="B17" s="5">
        <f>'2025.02'!B54</f>
        <v>0</v>
      </c>
      <c r="C17" s="5">
        <f t="shared" si="2"/>
        <v>21.29</v>
      </c>
      <c r="D17" s="14">
        <f>'2025.02'!D54</f>
        <v>0</v>
      </c>
      <c r="E17" s="14">
        <f t="shared" si="3"/>
        <v>0.35924308000000005</v>
      </c>
      <c r="F17" s="5">
        <v>67.98</v>
      </c>
      <c r="G17" s="5">
        <f t="shared" si="0"/>
        <v>24.421344578400003</v>
      </c>
      <c r="H17" s="5">
        <f t="shared" si="1"/>
        <v>3.1313445784000038</v>
      </c>
      <c r="I17" s="20">
        <f t="shared" si="4"/>
        <v>0.14708053444809788</v>
      </c>
      <c r="J17" s="5">
        <f>'2025.02'!E54</f>
        <v>0</v>
      </c>
    </row>
    <row r="18" spans="1:10" x14ac:dyDescent="0.25">
      <c r="A18" s="6" t="str">
        <f>'2025.03'!A1</f>
        <v>2025.03</v>
      </c>
      <c r="B18" s="5">
        <f>'2025.03'!B54</f>
        <v>2.48</v>
      </c>
      <c r="C18" s="5">
        <f t="shared" si="2"/>
        <v>23.77</v>
      </c>
      <c r="D18" s="14">
        <f>'2025.03'!D54</f>
        <v>3.8859289999999998E-2</v>
      </c>
      <c r="E18" s="14">
        <f t="shared" si="3"/>
        <v>0.39810237000000004</v>
      </c>
      <c r="F18" s="5">
        <v>62.87</v>
      </c>
      <c r="G18" s="5">
        <f t="shared" si="0"/>
        <v>25.028696001900002</v>
      </c>
      <c r="H18" s="5">
        <f t="shared" si="1"/>
        <v>1.2586960019000024</v>
      </c>
      <c r="I18" s="20">
        <f t="shared" si="4"/>
        <v>5.2953134282709403E-2</v>
      </c>
      <c r="J18" s="5">
        <f>'2025.03'!E54</f>
        <v>0</v>
      </c>
    </row>
    <row r="19" spans="1:10" x14ac:dyDescent="0.25">
      <c r="A19" s="6" t="str">
        <f>'2025.04'!A1</f>
        <v>2025.04</v>
      </c>
      <c r="B19" s="5">
        <f>'2025.04'!B54</f>
        <v>13.29</v>
      </c>
      <c r="C19" s="5">
        <f t="shared" si="2"/>
        <v>37.06</v>
      </c>
      <c r="D19" s="14">
        <f>'2025.04'!D54</f>
        <v>0.22278486</v>
      </c>
      <c r="E19" s="14">
        <f t="shared" si="3"/>
        <v>0.62088723000000001</v>
      </c>
      <c r="F19" s="5">
        <v>60.25</v>
      </c>
      <c r="G19" s="5">
        <f t="shared" si="0"/>
        <v>37.408455607500002</v>
      </c>
      <c r="H19" s="5">
        <f t="shared" si="1"/>
        <v>0.34845560750000004</v>
      </c>
      <c r="I19" s="20">
        <f t="shared" si="4"/>
        <v>9.4024718699406377E-3</v>
      </c>
      <c r="J19" s="5">
        <f>'2025.04'!E54</f>
        <v>0</v>
      </c>
    </row>
    <row r="20" spans="1:10" x14ac:dyDescent="0.25">
      <c r="A20" s="6" t="str">
        <f>'2025.05'!A1</f>
        <v>2025.05</v>
      </c>
      <c r="B20" s="5">
        <f>'2025.05'!B54</f>
        <v>2.42</v>
      </c>
      <c r="C20" s="5">
        <f t="shared" si="2"/>
        <v>39.480000000000004</v>
      </c>
      <c r="D20" s="14">
        <f>'2025.05'!D54</f>
        <v>4.0110130000000001E-2</v>
      </c>
      <c r="E20" s="14">
        <f t="shared" si="3"/>
        <v>0.66099735999999998</v>
      </c>
      <c r="F20" s="5">
        <v>62.44</v>
      </c>
      <c r="G20" s="5">
        <f t="shared" si="0"/>
        <v>41.272675158399998</v>
      </c>
      <c r="H20" s="5">
        <f t="shared" si="1"/>
        <v>1.7926751583999945</v>
      </c>
      <c r="I20" s="20">
        <f t="shared" si="4"/>
        <v>4.5407172198581418E-2</v>
      </c>
      <c r="J20" s="5">
        <f>'2025.05'!E54</f>
        <v>0</v>
      </c>
    </row>
    <row r="21" spans="1:10" x14ac:dyDescent="0.25">
      <c r="A21" s="6" t="str">
        <f>'2025.06'!A1</f>
        <v>2025.06</v>
      </c>
      <c r="B21" s="5">
        <f>'2025.06'!B72</f>
        <v>4.82</v>
      </c>
      <c r="C21" s="5">
        <f t="shared" si="2"/>
        <v>44.300000000000004</v>
      </c>
      <c r="D21" s="14">
        <f>'2025.06'!D72</f>
        <v>7.769181E-2</v>
      </c>
      <c r="E21" s="14">
        <f t="shared" ref="E21" si="5">E20+D21</f>
        <v>0.73868917000000001</v>
      </c>
      <c r="F21" s="5">
        <v>62.11</v>
      </c>
      <c r="G21" s="5">
        <f t="shared" ref="G21" si="6">E21*F21</f>
        <v>45.879984348699999</v>
      </c>
      <c r="H21" s="5">
        <f t="shared" si="1"/>
        <v>1.5799843486999947</v>
      </c>
      <c r="I21" s="20">
        <f t="shared" si="4"/>
        <v>3.5665560918735767E-2</v>
      </c>
      <c r="J21" s="5">
        <f>'2025.06'!E72</f>
        <v>0</v>
      </c>
    </row>
    <row r="22" spans="1:10" x14ac:dyDescent="0.25">
      <c r="A22" s="6" t="str">
        <f>'2025.07'!A1</f>
        <v>2025.07</v>
      </c>
      <c r="B22" s="5">
        <f>'2025.07'!B72</f>
        <v>6.07</v>
      </c>
      <c r="C22" s="5">
        <f t="shared" si="2"/>
        <v>50.370000000000005</v>
      </c>
      <c r="D22" s="14">
        <f>'2025.07'!D72</f>
        <v>9.6969029999999998E-2</v>
      </c>
      <c r="E22" s="14">
        <f t="shared" ref="E22" si="7">E21+D22</f>
        <v>0.83565820000000002</v>
      </c>
      <c r="F22" s="5">
        <v>64.08</v>
      </c>
      <c r="G22" s="5">
        <f t="shared" ref="G22" si="8">E22*F22</f>
        <v>53.548977456000003</v>
      </c>
      <c r="H22" s="5">
        <f t="shared" si="1"/>
        <v>3.1789774559999984</v>
      </c>
      <c r="I22" s="20">
        <f t="shared" si="4"/>
        <v>6.3112516497915383E-2</v>
      </c>
      <c r="J22" s="5">
        <f>'2025.07'!E72</f>
        <v>0</v>
      </c>
    </row>
    <row r="23" spans="1:10" x14ac:dyDescent="0.25">
      <c r="A23" s="6" t="str">
        <f>'2025.08'!A1</f>
        <v>2025.08</v>
      </c>
      <c r="B23" s="5">
        <f>'2025.08'!B72</f>
        <v>5.03</v>
      </c>
      <c r="C23" s="5">
        <f t="shared" si="2"/>
        <v>55.400000000000006</v>
      </c>
      <c r="D23" s="14">
        <f>'2025.08'!D72</f>
        <v>7.8821559999999999E-2</v>
      </c>
      <c r="E23" s="14">
        <f t="shared" ref="E23" si="9">E22+D23</f>
        <v>0.91447975999999997</v>
      </c>
      <c r="F23" s="5">
        <v>64.13</v>
      </c>
      <c r="G23" s="5">
        <f t="shared" ref="G23" si="10">E23*F23</f>
        <v>58.645587008799993</v>
      </c>
      <c r="H23" s="5">
        <f t="shared" si="1"/>
        <v>3.245587008799987</v>
      </c>
      <c r="I23" s="20">
        <f t="shared" si="4"/>
        <v>5.8584603046931166E-2</v>
      </c>
      <c r="J23" s="5">
        <f>'2025.08'!E72</f>
        <v>0</v>
      </c>
    </row>
    <row r="24" spans="1:10" x14ac:dyDescent="0.25">
      <c r="A24" s="6" t="str">
        <f>'2025.09'!A1</f>
        <v>2025.09</v>
      </c>
      <c r="B24" s="5">
        <f>'2025.09'!B72</f>
        <v>3.6</v>
      </c>
      <c r="C24" s="5">
        <f t="shared" si="2"/>
        <v>59.000000000000007</v>
      </c>
      <c r="D24" s="14">
        <f>'2025.09'!D72</f>
        <v>5.6183509999999999E-2</v>
      </c>
      <c r="E24" s="14">
        <f t="shared" ref="E24" si="11">E23+D24</f>
        <v>0.97066326999999997</v>
      </c>
      <c r="F24" s="5">
        <v>65.53</v>
      </c>
      <c r="G24" s="5">
        <f t="shared" ref="G24" si="12">E24*F24</f>
        <v>63.607564083100002</v>
      </c>
      <c r="H24" s="5">
        <f t="shared" si="1"/>
        <v>4.6075640830999944</v>
      </c>
      <c r="I24" s="20">
        <f t="shared" si="4"/>
        <v>7.8094306493220231E-2</v>
      </c>
      <c r="J24" s="5">
        <f>'2025.09'!E72</f>
        <v>0</v>
      </c>
    </row>
    <row r="25" spans="1:10" x14ac:dyDescent="0.25">
      <c r="A25" s="6" t="str">
        <f>'2025.10'!A1</f>
        <v>2025.10</v>
      </c>
      <c r="B25" s="5">
        <f>'2025.10'!B72</f>
        <v>2.95</v>
      </c>
      <c r="C25" s="5">
        <f t="shared" si="2"/>
        <v>61.95000000000001</v>
      </c>
      <c r="D25" s="14">
        <f>'2025.10'!D72</f>
        <v>4.4866919999999998E-2</v>
      </c>
      <c r="E25" s="14">
        <f t="shared" ref="E25" si="13">E24+D25</f>
        <v>1.01553019</v>
      </c>
      <c r="F25" s="5">
        <v>67.569999999999993</v>
      </c>
      <c r="G25" s="5">
        <f t="shared" ref="G25" si="14">E25*F25</f>
        <v>68.619374938299998</v>
      </c>
      <c r="H25" s="5">
        <f t="shared" si="1"/>
        <v>6.6693749382999883</v>
      </c>
      <c r="I25" s="20">
        <f t="shared" si="4"/>
        <v>0.10765738399192877</v>
      </c>
      <c r="J25" s="5">
        <f>'2025.10'!E72</f>
        <v>0</v>
      </c>
    </row>
    <row r="26" spans="1:10" x14ac:dyDescent="0.25">
      <c r="A26" s="6" t="str">
        <f>'2025.11'!A1</f>
        <v>2025.11</v>
      </c>
      <c r="B26" s="5">
        <f>'2025.11'!B72</f>
        <v>3.48</v>
      </c>
      <c r="C26" s="5">
        <f t="shared" si="2"/>
        <v>65.430000000000007</v>
      </c>
      <c r="D26" s="14">
        <f>'2025.11'!D72</f>
        <v>5.1282050000000003E-2</v>
      </c>
      <c r="E26" s="14">
        <f t="shared" ref="E26" si="15">E25+D26</f>
        <v>1.06681224</v>
      </c>
      <c r="F26" s="5">
        <v>67.94</v>
      </c>
      <c r="G26" s="5">
        <f t="shared" ref="G26" si="16">E26*F26</f>
        <v>72.479223585599996</v>
      </c>
      <c r="H26" s="5">
        <f t="shared" si="1"/>
        <v>7.0492235855999894</v>
      </c>
      <c r="I26" s="20">
        <f t="shared" si="4"/>
        <v>0.10773687277395673</v>
      </c>
      <c r="J26" s="5">
        <f>'2025.11'!E72</f>
        <v>0</v>
      </c>
    </row>
    <row r="27" spans="1:10" x14ac:dyDescent="0.25">
      <c r="A27" s="6" t="str">
        <f>'2025.12'!A1</f>
        <v>2025.12</v>
      </c>
      <c r="B27" s="5">
        <f>'2025.12'!B72</f>
        <v>2.09</v>
      </c>
      <c r="C27" s="5">
        <f t="shared" si="2"/>
        <v>67.52000000000001</v>
      </c>
      <c r="D27" s="14">
        <f>'2025.12'!D72</f>
        <v>3.103653E-2</v>
      </c>
      <c r="E27" s="14">
        <f t="shared" ref="E27" si="17">E26+D27</f>
        <v>1.0978487699999999</v>
      </c>
      <c r="F27" s="5">
        <v>68.3</v>
      </c>
      <c r="G27" s="5">
        <f t="shared" ref="G27" si="18">E27*F27</f>
        <v>74.983070990999991</v>
      </c>
      <c r="H27" s="5">
        <f t="shared" si="1"/>
        <v>7.4630709909999808</v>
      </c>
      <c r="I27" s="20">
        <f t="shared" si="4"/>
        <v>0.1105312646771324</v>
      </c>
      <c r="J27" s="5">
        <f>'2025.12'!E72</f>
        <v>0</v>
      </c>
    </row>
    <row r="28" spans="1:10" x14ac:dyDescent="0.25">
      <c r="A28" s="6" t="str">
        <f>'2026.01'!A1</f>
        <v>2026.01</v>
      </c>
      <c r="B28" s="5">
        <f>'2026.01'!B72</f>
        <v>2.46</v>
      </c>
      <c r="C28" s="5">
        <f t="shared" ref="C28" si="19">C27+B28</f>
        <v>69.98</v>
      </c>
      <c r="D28" s="14">
        <f>'2026.01'!D72</f>
        <v>3.6007030000000002E-2</v>
      </c>
      <c r="E28" s="14">
        <f t="shared" ref="E28" si="20">E27+D28</f>
        <v>1.1338557999999999</v>
      </c>
      <c r="F28" s="5">
        <v>69.569999999999993</v>
      </c>
      <c r="G28" s="5">
        <f t="shared" ref="G28" si="21">E28*F28</f>
        <v>78.882348005999987</v>
      </c>
      <c r="H28" s="5">
        <f t="shared" ref="H28" si="22">G28-C28</f>
        <v>8.9023480059999827</v>
      </c>
      <c r="I28" s="20">
        <f t="shared" ref="I28" si="23">(G28-C28)/C28</f>
        <v>0.12721274658473825</v>
      </c>
      <c r="J28" s="5">
        <f>'2026.01'!E72</f>
        <v>0</v>
      </c>
    </row>
    <row r="29" spans="1:10" x14ac:dyDescent="0.25">
      <c r="A29" s="6">
        <f>'2026.02'!A1</f>
        <v>2026.02</v>
      </c>
      <c r="B29" s="5">
        <f>'2026.02'!B72</f>
        <v>1.41</v>
      </c>
      <c r="C29" s="5">
        <f t="shared" ref="C29" si="24">C28+B29</f>
        <v>71.39</v>
      </c>
      <c r="D29" s="14">
        <f>'2026.02'!D72</f>
        <v>2.0034099999999999E-2</v>
      </c>
      <c r="E29" s="14">
        <f t="shared" ref="E29" si="25">E28+D29</f>
        <v>1.1538898999999998</v>
      </c>
      <c r="F29" s="5">
        <v>70.78</v>
      </c>
      <c r="G29" s="5">
        <f t="shared" ref="G29" si="26">E29*F29</f>
        <v>81.672327121999984</v>
      </c>
      <c r="H29" s="5">
        <f t="shared" ref="H29" si="27">G29-C29</f>
        <v>10.282327121999984</v>
      </c>
      <c r="I29" s="20">
        <f t="shared" ref="I29" si="28">(G29-C29)/C29</f>
        <v>0.14403035610029394</v>
      </c>
      <c r="J29" s="5">
        <f>'2026.02'!E72</f>
        <v>0</v>
      </c>
    </row>
    <row r="30" spans="1:10" x14ac:dyDescent="0.25">
      <c r="A30" s="6">
        <f>'2026.03'!A1</f>
        <v>2026.03</v>
      </c>
      <c r="B30" s="5">
        <f>'2026.03'!B72</f>
        <v>1.74</v>
      </c>
      <c r="C30" s="5">
        <f t="shared" ref="C30" si="29">C29+B30</f>
        <v>73.13</v>
      </c>
      <c r="D30" s="14">
        <f>'2026.03'!D72</f>
        <v>2.465637E-2</v>
      </c>
      <c r="E30" s="14">
        <f t="shared" ref="E30" si="30">E29+D30</f>
        <v>1.1785462699999998</v>
      </c>
      <c r="F30" s="5">
        <v>67.709999999999994</v>
      </c>
      <c r="G30" s="5">
        <f t="shared" ref="G30" si="31">E30*F30</f>
        <v>79.799367941699984</v>
      </c>
      <c r="H30" s="5">
        <f t="shared" ref="H30" si="32">G30-C30</f>
        <v>6.6693679416999885</v>
      </c>
      <c r="I30" s="20">
        <f t="shared" ref="I30" si="33">(G30-C30)/C30</f>
        <v>9.1198795866265406E-2</v>
      </c>
      <c r="J30" s="5">
        <f>'2026.03'!E72</f>
        <v>0</v>
      </c>
    </row>
    <row r="31" spans="1:10" x14ac:dyDescent="0.25">
      <c r="A31" s="6" t="str">
        <f>'2026.04'!N2</f>
        <v>2026.04</v>
      </c>
      <c r="B31" s="5">
        <f>'2026.04'!B82</f>
        <v>5.35</v>
      </c>
      <c r="C31" s="5">
        <f t="shared" ref="C31" si="34">C30+B31</f>
        <v>78.47999999999999</v>
      </c>
      <c r="D31" s="14">
        <f>'2026.04'!D82</f>
        <v>7.8560939999999996E-2</v>
      </c>
      <c r="E31" s="14">
        <f t="shared" ref="E31" si="35">E30+D31</f>
        <v>1.2571072099999998</v>
      </c>
      <c r="F31" s="51">
        <v>67.569999999999993</v>
      </c>
      <c r="G31" s="5">
        <f t="shared" ref="G31" si="36">E31*F31</f>
        <v>84.942734179699983</v>
      </c>
      <c r="H31" s="5">
        <f t="shared" ref="H31" si="37">G31-C31</f>
        <v>6.4627341796999929</v>
      </c>
      <c r="I31" s="20">
        <f t="shared" ref="I31" si="38">(G31-C31)/C31</f>
        <v>8.2348804532364858E-2</v>
      </c>
      <c r="J31" s="5">
        <f>'2026.03'!E73</f>
        <v>0</v>
      </c>
    </row>
  </sheetData>
  <mergeCells count="11">
    <mergeCell ref="L3:L4"/>
    <mergeCell ref="A3:A4"/>
    <mergeCell ref="B3:C3"/>
    <mergeCell ref="D3:E3"/>
    <mergeCell ref="F3:I3"/>
    <mergeCell ref="J3:J4"/>
    <mergeCell ref="M3:M4"/>
    <mergeCell ref="R3:R4"/>
    <mergeCell ref="S3:S4"/>
    <mergeCell ref="P3:Q3"/>
    <mergeCell ref="N3:O3"/>
  </mergeCells>
  <pageMargins left="0.7" right="0.7" top="0.75" bottom="0.75" header="0.3" footer="0.3"/>
  <pageSetup orientation="portrait" r:id="rId1"/>
  <ignoredErrors>
    <ignoredError sqref="D5:D31" formula="1"/>
  </ignoredError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S34"/>
  <sheetViews>
    <sheetView workbookViewId="0">
      <pane ySplit="14" topLeftCell="A15" activePane="bottomLeft" state="frozen"/>
      <selection activeCell="A7" sqref="A7"/>
      <selection pane="bottomLeft" activeCell="A7" sqref="A7"/>
    </sheetView>
  </sheetViews>
  <sheetFormatPr defaultRowHeight="15" x14ac:dyDescent="0.25"/>
  <cols>
    <col min="1" max="1" width="10.7109375" style="1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21" t="s">
        <v>19</v>
      </c>
    </row>
    <row r="3" spans="1:19" x14ac:dyDescent="0.25">
      <c r="A3" s="68" t="s">
        <v>90</v>
      </c>
      <c r="B3" s="71" t="s">
        <v>3</v>
      </c>
      <c r="C3" s="72"/>
      <c r="D3" s="77" t="s">
        <v>1</v>
      </c>
      <c r="E3" s="77"/>
      <c r="F3" s="71" t="s">
        <v>91</v>
      </c>
      <c r="G3" s="76"/>
      <c r="H3" s="76"/>
      <c r="I3" s="72"/>
      <c r="J3" s="68" t="s">
        <v>25</v>
      </c>
      <c r="L3" s="68" t="s">
        <v>68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72</v>
      </c>
      <c r="E4" s="3" t="s">
        <v>93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" t="str">
        <f>'2024.02'!A1</f>
        <v>2024.02</v>
      </c>
      <c r="B5" s="5">
        <f>'2024.02'!B63</f>
        <v>10</v>
      </c>
      <c r="C5" s="5">
        <f>B5</f>
        <v>10</v>
      </c>
      <c r="D5" s="14">
        <f>'2024.02'!D63</f>
        <v>8.443813E-2</v>
      </c>
      <c r="E5" s="14">
        <f>D5</f>
        <v>8.443813E-2</v>
      </c>
      <c r="F5" s="5">
        <v>118.79</v>
      </c>
      <c r="G5" s="5">
        <f t="shared" ref="G5:G20" si="0">E5*F5</f>
        <v>10.030405462700001</v>
      </c>
      <c r="H5" s="5">
        <f t="shared" ref="H5:H27" si="1">G5-C5</f>
        <v>3.0405462700000996E-2</v>
      </c>
      <c r="I5" s="20">
        <f>(G5-C5)/C5</f>
        <v>3.0405462700000994E-3</v>
      </c>
      <c r="J5" s="5">
        <f>'2024.02'!E63</f>
        <v>0</v>
      </c>
      <c r="L5" s="3" t="s">
        <v>2</v>
      </c>
      <c r="M5" s="5">
        <f>SUM(B5:B67)</f>
        <v>42.210000000000008</v>
      </c>
      <c r="N5" s="5">
        <f>INDEX(G5:G100,MATCH(9.99999999999999E+307,G5:G100))</f>
        <v>40.989087070999993</v>
      </c>
      <c r="O5" s="20">
        <f>INDEX(I5:I100,MATCH(9.99999999999999E+307,I5:I100))</f>
        <v>-2.8924731793414232E-2</v>
      </c>
      <c r="P5" s="5">
        <f>N5+S5</f>
        <v>43.069087070999991</v>
      </c>
      <c r="Q5" s="20">
        <f>(P5-M5)/M5</f>
        <v>2.0352690618336489E-2</v>
      </c>
      <c r="R5" s="14">
        <f>SUM(D5:D67)</f>
        <v>0.37161456999999992</v>
      </c>
      <c r="S5" s="5">
        <f>SUM(J5:J67)</f>
        <v>2.08</v>
      </c>
    </row>
    <row r="6" spans="1:19" x14ac:dyDescent="0.25">
      <c r="A6" s="6" t="str">
        <f>'2024.03'!A1</f>
        <v>2024.03</v>
      </c>
      <c r="B6" s="5">
        <f>'2024.03'!B63</f>
        <v>0</v>
      </c>
      <c r="C6" s="5">
        <f t="shared" ref="C6:C27" si="2">C5+B6</f>
        <v>10</v>
      </c>
      <c r="D6" s="14">
        <f>'2024.03'!D63</f>
        <v>0</v>
      </c>
      <c r="E6" s="14">
        <f t="shared" ref="E6:E20" si="3">E5+D6</f>
        <v>8.443813E-2</v>
      </c>
      <c r="F6" s="5">
        <v>116.89</v>
      </c>
      <c r="G6" s="5">
        <f t="shared" si="0"/>
        <v>9.8699730156999994</v>
      </c>
      <c r="H6" s="5">
        <f t="shared" si="1"/>
        <v>-0.13002698430000059</v>
      </c>
      <c r="I6" s="20">
        <f t="shared" ref="I6:I27" si="4">(G6-C6)/C6</f>
        <v>-1.300269843000006E-2</v>
      </c>
      <c r="J6" s="5">
        <f>'2024.03'!E63</f>
        <v>0</v>
      </c>
    </row>
    <row r="7" spans="1:19" x14ac:dyDescent="0.25">
      <c r="A7" s="6" t="str">
        <f>'2024.04'!A1</f>
        <v>2024.04</v>
      </c>
      <c r="B7" s="5">
        <f>'2024.04'!B63</f>
        <v>0</v>
      </c>
      <c r="C7" s="5">
        <f t="shared" si="2"/>
        <v>10</v>
      </c>
      <c r="D7" s="14">
        <f>'2024.04'!D63</f>
        <v>0</v>
      </c>
      <c r="E7" s="14">
        <f t="shared" si="3"/>
        <v>8.443813E-2</v>
      </c>
      <c r="F7" s="5">
        <v>117.6</v>
      </c>
      <c r="G7" s="5">
        <f t="shared" si="0"/>
        <v>9.9299240879999999</v>
      </c>
      <c r="H7" s="5">
        <f t="shared" si="1"/>
        <v>-7.0075912000000073E-2</v>
      </c>
      <c r="I7" s="20">
        <f t="shared" si="4"/>
        <v>-7.0075912000000075E-3</v>
      </c>
      <c r="J7" s="5">
        <f>'2024.04'!E63</f>
        <v>0.2</v>
      </c>
    </row>
    <row r="8" spans="1:19" x14ac:dyDescent="0.25">
      <c r="A8" s="6" t="str">
        <f>'2024.05'!A1</f>
        <v>2024.05</v>
      </c>
      <c r="B8" s="5">
        <f>'2024.05'!B63</f>
        <v>0</v>
      </c>
      <c r="C8" s="5">
        <f t="shared" si="2"/>
        <v>10</v>
      </c>
      <c r="D8" s="14">
        <f>'2024.05'!D63</f>
        <v>0</v>
      </c>
      <c r="E8" s="14">
        <f t="shared" si="3"/>
        <v>8.443813E-2</v>
      </c>
      <c r="F8" s="5">
        <v>116.65</v>
      </c>
      <c r="G8" s="5">
        <f t="shared" si="0"/>
        <v>9.8497078645000009</v>
      </c>
      <c r="H8" s="5">
        <f t="shared" si="1"/>
        <v>-0.15029213549999909</v>
      </c>
      <c r="I8" s="20">
        <f t="shared" si="4"/>
        <v>-1.502921354999991E-2</v>
      </c>
      <c r="J8" s="5">
        <f>'2024.05'!E63</f>
        <v>0</v>
      </c>
    </row>
    <row r="9" spans="1:19" x14ac:dyDescent="0.25">
      <c r="A9" s="6" t="str">
        <f>'2024.06'!A1</f>
        <v>2024.06</v>
      </c>
      <c r="B9" s="5">
        <f>'2024.06'!B63</f>
        <v>0</v>
      </c>
      <c r="C9" s="5">
        <f t="shared" si="2"/>
        <v>10</v>
      </c>
      <c r="D9" s="14">
        <f>'2024.06'!D63</f>
        <v>0</v>
      </c>
      <c r="E9" s="14">
        <f t="shared" si="3"/>
        <v>8.443813E-2</v>
      </c>
      <c r="F9" s="5">
        <v>119.02</v>
      </c>
      <c r="G9" s="5">
        <f t="shared" si="0"/>
        <v>10.049826232599999</v>
      </c>
      <c r="H9" s="5">
        <f t="shared" si="1"/>
        <v>4.9826232599999187E-2</v>
      </c>
      <c r="I9" s="20">
        <f t="shared" si="4"/>
        <v>4.9826232599999186E-3</v>
      </c>
      <c r="J9" s="5">
        <f>'2024.06'!E63</f>
        <v>0</v>
      </c>
    </row>
    <row r="10" spans="1:19" x14ac:dyDescent="0.25">
      <c r="A10" s="6" t="str">
        <f>'2024.07'!A1</f>
        <v>2024.07</v>
      </c>
      <c r="B10" s="5">
        <f>'2024.07'!B63</f>
        <v>0</v>
      </c>
      <c r="C10" s="5">
        <f t="shared" si="2"/>
        <v>10</v>
      </c>
      <c r="D10" s="14">
        <f>'2024.07'!D63</f>
        <v>0</v>
      </c>
      <c r="E10" s="14">
        <f t="shared" si="3"/>
        <v>8.443813E-2</v>
      </c>
      <c r="F10" s="5">
        <v>118.9</v>
      </c>
      <c r="G10" s="5">
        <f t="shared" si="0"/>
        <v>10.039693657000001</v>
      </c>
      <c r="H10" s="5">
        <f t="shared" si="1"/>
        <v>3.9693657000000826E-2</v>
      </c>
      <c r="I10" s="20">
        <f t="shared" si="4"/>
        <v>3.9693657000000829E-3</v>
      </c>
      <c r="J10" s="5">
        <f>'2024.07'!E63</f>
        <v>0</v>
      </c>
    </row>
    <row r="11" spans="1:19" x14ac:dyDescent="0.25">
      <c r="A11" s="6" t="str">
        <f>'2024.08'!A1</f>
        <v>2024.08</v>
      </c>
      <c r="B11" s="5">
        <f>'2024.08'!B63</f>
        <v>0</v>
      </c>
      <c r="C11" s="5">
        <f t="shared" si="2"/>
        <v>10</v>
      </c>
      <c r="D11" s="14">
        <f>'2024.08'!D63</f>
        <v>0</v>
      </c>
      <c r="E11" s="14">
        <f t="shared" si="3"/>
        <v>8.443813E-2</v>
      </c>
      <c r="F11" s="5">
        <v>117.48</v>
      </c>
      <c r="G11" s="5">
        <f t="shared" si="0"/>
        <v>9.9197915123999998</v>
      </c>
      <c r="H11" s="5">
        <f t="shared" si="1"/>
        <v>-8.0208487600000211E-2</v>
      </c>
      <c r="I11" s="20">
        <f t="shared" si="4"/>
        <v>-8.0208487600000218E-3</v>
      </c>
      <c r="J11" s="5">
        <f>'2024.08'!E63</f>
        <v>0</v>
      </c>
    </row>
    <row r="12" spans="1:19" x14ac:dyDescent="0.25">
      <c r="A12" s="6" t="str">
        <f>'2024.09'!A1</f>
        <v>2024.09</v>
      </c>
      <c r="B12" s="5">
        <f>'2024.09'!B63</f>
        <v>0</v>
      </c>
      <c r="C12" s="5">
        <f t="shared" si="2"/>
        <v>10</v>
      </c>
      <c r="D12" s="14">
        <f>'2024.09'!D63</f>
        <v>0</v>
      </c>
      <c r="E12" s="14">
        <f t="shared" si="3"/>
        <v>8.443813E-2</v>
      </c>
      <c r="F12" s="5">
        <v>115.35</v>
      </c>
      <c r="G12" s="5">
        <f t="shared" si="0"/>
        <v>9.7399382955</v>
      </c>
      <c r="H12" s="5">
        <f t="shared" si="1"/>
        <v>-0.26006170449999999</v>
      </c>
      <c r="I12" s="20">
        <f t="shared" si="4"/>
        <v>-2.6006170449999998E-2</v>
      </c>
      <c r="J12" s="5">
        <f>'2024.09'!E63</f>
        <v>0.21</v>
      </c>
    </row>
    <row r="13" spans="1:19" x14ac:dyDescent="0.25">
      <c r="A13" s="6" t="str">
        <f>'2024.10'!A1</f>
        <v>2024.10</v>
      </c>
      <c r="B13" s="5">
        <f>'2024.10'!B63</f>
        <v>0</v>
      </c>
      <c r="C13" s="5">
        <f t="shared" si="2"/>
        <v>10</v>
      </c>
      <c r="D13" s="14">
        <f>'2024.10'!D63</f>
        <v>0</v>
      </c>
      <c r="E13" s="14">
        <f t="shared" si="3"/>
        <v>8.443813E-2</v>
      </c>
      <c r="F13" s="5">
        <v>117.48</v>
      </c>
      <c r="G13" s="5">
        <f t="shared" si="0"/>
        <v>9.9197915123999998</v>
      </c>
      <c r="H13" s="5">
        <f t="shared" si="1"/>
        <v>-8.0208487600000211E-2</v>
      </c>
      <c r="I13" s="20">
        <f t="shared" si="4"/>
        <v>-8.0208487600000218E-3</v>
      </c>
      <c r="J13" s="5">
        <f>'2024.10'!E63</f>
        <v>0</v>
      </c>
    </row>
    <row r="14" spans="1:19" x14ac:dyDescent="0.25">
      <c r="A14" s="6" t="str">
        <f>'2024.11'!A1</f>
        <v>2024.11</v>
      </c>
      <c r="B14" s="5">
        <f>'2024.11'!B63</f>
        <v>0</v>
      </c>
      <c r="C14" s="5">
        <f t="shared" si="2"/>
        <v>10</v>
      </c>
      <c r="D14" s="14">
        <f>'2024.11'!D63</f>
        <v>0</v>
      </c>
      <c r="E14" s="14">
        <f t="shared" si="3"/>
        <v>8.443813E-2</v>
      </c>
      <c r="F14" s="5">
        <v>120.92</v>
      </c>
      <c r="G14" s="5">
        <f t="shared" si="0"/>
        <v>10.210258679600001</v>
      </c>
      <c r="H14" s="5">
        <f t="shared" si="1"/>
        <v>0.21025867960000078</v>
      </c>
      <c r="I14" s="20">
        <f t="shared" si="4"/>
        <v>2.1025867960000076E-2</v>
      </c>
      <c r="J14" s="5">
        <f>'2024.11'!E63</f>
        <v>0</v>
      </c>
    </row>
    <row r="15" spans="1:19" x14ac:dyDescent="0.25">
      <c r="A15" s="6" t="str">
        <f>'2024.12'!A1</f>
        <v>2024.12</v>
      </c>
      <c r="B15" s="5">
        <f>'2024.12'!B63</f>
        <v>1.74</v>
      </c>
      <c r="C15" s="5">
        <f t="shared" si="2"/>
        <v>11.74</v>
      </c>
      <c r="D15" s="14">
        <f>'2024.12'!D63</f>
        <v>1.4131990000000001E-2</v>
      </c>
      <c r="E15" s="14">
        <f t="shared" si="3"/>
        <v>9.8570119999999997E-2</v>
      </c>
      <c r="F15" s="5">
        <v>122.45</v>
      </c>
      <c r="G15" s="5">
        <f t="shared" si="0"/>
        <v>12.069911193999999</v>
      </c>
      <c r="H15" s="5">
        <f t="shared" si="1"/>
        <v>0.32991119399999924</v>
      </c>
      <c r="I15" s="20">
        <f t="shared" si="4"/>
        <v>2.810146456558767E-2</v>
      </c>
      <c r="J15" s="5">
        <f>'2024.12'!E63</f>
        <v>0</v>
      </c>
    </row>
    <row r="16" spans="1:19" x14ac:dyDescent="0.25">
      <c r="A16" s="6" t="str">
        <f>'2025.01'!A1</f>
        <v>2025.01</v>
      </c>
      <c r="B16" s="5">
        <f>'2025.01'!B63</f>
        <v>0</v>
      </c>
      <c r="C16" s="5">
        <f t="shared" si="2"/>
        <v>11.74</v>
      </c>
      <c r="D16" s="14">
        <f>'2025.01'!D63</f>
        <v>0</v>
      </c>
      <c r="E16" s="14">
        <f t="shared" si="3"/>
        <v>9.8570119999999997E-2</v>
      </c>
      <c r="F16" s="5">
        <v>124.48</v>
      </c>
      <c r="G16" s="5">
        <f t="shared" si="0"/>
        <v>12.270008537600001</v>
      </c>
      <c r="H16" s="5">
        <f t="shared" si="1"/>
        <v>0.53000853760000055</v>
      </c>
      <c r="I16" s="20">
        <f t="shared" si="4"/>
        <v>4.5145531311754729E-2</v>
      </c>
      <c r="J16" s="5">
        <f>'2025.01'!E63</f>
        <v>0</v>
      </c>
    </row>
    <row r="17" spans="1:10" x14ac:dyDescent="0.25">
      <c r="A17" s="6" t="str">
        <f>'2025.02'!A1</f>
        <v>2025.02</v>
      </c>
      <c r="B17" s="5">
        <f>'2025.02'!B63</f>
        <v>0</v>
      </c>
      <c r="C17" s="5">
        <f t="shared" si="2"/>
        <v>11.74</v>
      </c>
      <c r="D17" s="14">
        <f>'2025.02'!D63</f>
        <v>0</v>
      </c>
      <c r="E17" s="14">
        <f t="shared" si="3"/>
        <v>9.8570119999999997E-2</v>
      </c>
      <c r="F17" s="5">
        <v>125.19</v>
      </c>
      <c r="G17" s="5">
        <f t="shared" si="0"/>
        <v>12.3399933228</v>
      </c>
      <c r="H17" s="5">
        <f t="shared" si="1"/>
        <v>0.59999332279999962</v>
      </c>
      <c r="I17" s="20">
        <f t="shared" si="4"/>
        <v>5.1106756626916494E-2</v>
      </c>
      <c r="J17" s="5">
        <f>'2025.02'!E63</f>
        <v>0</v>
      </c>
    </row>
    <row r="18" spans="1:10" x14ac:dyDescent="0.25">
      <c r="A18" s="6" t="str">
        <f>'2025.03'!A1</f>
        <v>2025.03</v>
      </c>
      <c r="B18" s="5">
        <f>'2025.03'!B63</f>
        <v>1.06</v>
      </c>
      <c r="C18" s="5">
        <f t="shared" si="2"/>
        <v>12.8</v>
      </c>
      <c r="D18" s="14">
        <f>'2025.03'!D63</f>
        <v>9.0209000000000001E-3</v>
      </c>
      <c r="E18" s="14">
        <f t="shared" si="3"/>
        <v>0.10759102</v>
      </c>
      <c r="F18" s="5">
        <v>117.85</v>
      </c>
      <c r="G18" s="5">
        <f t="shared" si="0"/>
        <v>12.679601706999998</v>
      </c>
      <c r="H18" s="5">
        <f t="shared" si="1"/>
        <v>-0.12039829300000271</v>
      </c>
      <c r="I18" s="20">
        <f t="shared" si="4"/>
        <v>-9.4061166406252117E-3</v>
      </c>
      <c r="J18" s="5">
        <f>'2025.03'!E63</f>
        <v>0.25</v>
      </c>
    </row>
    <row r="19" spans="1:10" x14ac:dyDescent="0.25">
      <c r="A19" s="6" t="str">
        <f>'2025.04'!A1</f>
        <v>2025.04</v>
      </c>
      <c r="B19" s="5">
        <f>'2025.04'!B63</f>
        <v>6.18</v>
      </c>
      <c r="C19" s="5">
        <f t="shared" si="2"/>
        <v>18.98</v>
      </c>
      <c r="D19" s="14">
        <f>'2025.04'!D63</f>
        <v>5.4493649999999998E-2</v>
      </c>
      <c r="E19" s="14">
        <f t="shared" si="3"/>
        <v>0.16208466999999999</v>
      </c>
      <c r="F19" s="5">
        <v>113.15</v>
      </c>
      <c r="G19" s="5">
        <f t="shared" si="0"/>
        <v>18.339880410500001</v>
      </c>
      <c r="H19" s="5">
        <f t="shared" si="1"/>
        <v>-0.64011958949999936</v>
      </c>
      <c r="I19" s="20">
        <f t="shared" si="4"/>
        <v>-3.3726005769230738E-2</v>
      </c>
      <c r="J19" s="5">
        <f>'2025.04'!E63</f>
        <v>0</v>
      </c>
    </row>
    <row r="20" spans="1:10" x14ac:dyDescent="0.25">
      <c r="A20" s="6" t="str">
        <f>'2025.05'!A1</f>
        <v>2025.05</v>
      </c>
      <c r="B20" s="5">
        <f>'2025.05'!B63</f>
        <v>1.74</v>
      </c>
      <c r="C20" s="5">
        <f t="shared" si="2"/>
        <v>20.72</v>
      </c>
      <c r="D20" s="14">
        <f>'2025.05'!D63</f>
        <v>1.536821E-2</v>
      </c>
      <c r="E20" s="14">
        <f t="shared" si="3"/>
        <v>0.17745287999999998</v>
      </c>
      <c r="F20" s="5">
        <v>112.88</v>
      </c>
      <c r="G20" s="5">
        <f t="shared" si="0"/>
        <v>20.030881094399998</v>
      </c>
      <c r="H20" s="5">
        <f t="shared" si="1"/>
        <v>-0.68911890560000089</v>
      </c>
      <c r="I20" s="20">
        <f t="shared" si="4"/>
        <v>-3.3258634440154485E-2</v>
      </c>
      <c r="J20" s="5">
        <f>'2025.05'!E63</f>
        <v>0</v>
      </c>
    </row>
    <row r="21" spans="1:10" x14ac:dyDescent="0.25">
      <c r="A21" s="6" t="str">
        <f>'2025.06'!A1</f>
        <v>2025.06</v>
      </c>
      <c r="B21" s="5">
        <f>'2025.06'!B84</f>
        <v>2.85</v>
      </c>
      <c r="C21" s="5">
        <f t="shared" si="2"/>
        <v>23.57</v>
      </c>
      <c r="D21" s="14">
        <f>'2025.06'!D84</f>
        <v>2.5372820000000001E-2</v>
      </c>
      <c r="E21" s="14">
        <f t="shared" ref="E21" si="5">E20+D21</f>
        <v>0.20282569999999997</v>
      </c>
      <c r="F21" s="5">
        <v>109.6</v>
      </c>
      <c r="G21" s="5">
        <f t="shared" ref="G21" si="6">E21*F21</f>
        <v>22.229696719999996</v>
      </c>
      <c r="H21" s="5">
        <f t="shared" si="1"/>
        <v>-1.3403032800000041</v>
      </c>
      <c r="I21" s="20">
        <f t="shared" si="4"/>
        <v>-5.6864797624098601E-2</v>
      </c>
      <c r="J21" s="5">
        <f>'2025.06'!E84</f>
        <v>0</v>
      </c>
    </row>
    <row r="22" spans="1:10" x14ac:dyDescent="0.25">
      <c r="A22" s="6" t="str">
        <f>'2025.07'!A1</f>
        <v>2025.07</v>
      </c>
      <c r="B22" s="5">
        <f>'2025.07'!B84</f>
        <v>4.16</v>
      </c>
      <c r="C22" s="5">
        <f t="shared" si="2"/>
        <v>27.73</v>
      </c>
      <c r="D22" s="14">
        <f>'2025.07'!D84</f>
        <v>3.7913259999999997E-2</v>
      </c>
      <c r="E22" s="14">
        <f t="shared" ref="E22" si="7">E21+D22</f>
        <v>0.24073895999999997</v>
      </c>
      <c r="F22" s="5">
        <v>112.78</v>
      </c>
      <c r="G22" s="5">
        <f t="shared" ref="G22" si="8">E22*F22</f>
        <v>27.150539908799999</v>
      </c>
      <c r="H22" s="5">
        <f t="shared" si="1"/>
        <v>-0.57946009120000141</v>
      </c>
      <c r="I22" s="20">
        <f t="shared" si="4"/>
        <v>-2.0896505272268353E-2</v>
      </c>
      <c r="J22" s="5">
        <f>'2025.07'!E84</f>
        <v>0</v>
      </c>
    </row>
    <row r="23" spans="1:10" x14ac:dyDescent="0.25">
      <c r="A23" s="6" t="str">
        <f>'2025.08'!A1</f>
        <v>2025.08</v>
      </c>
      <c r="B23" s="5">
        <f>'2025.08'!B84</f>
        <v>2.77</v>
      </c>
      <c r="C23" s="5">
        <f t="shared" si="2"/>
        <v>30.5</v>
      </c>
      <c r="D23" s="14">
        <f>'2025.08'!D84</f>
        <v>2.476304E-2</v>
      </c>
      <c r="E23" s="14">
        <f t="shared" ref="E23" si="9">E22+D23</f>
        <v>0.26550199999999996</v>
      </c>
      <c r="F23" s="5">
        <v>111.15</v>
      </c>
      <c r="G23" s="5">
        <f t="shared" ref="G23" si="10">E23*F23</f>
        <v>29.510547299999995</v>
      </c>
      <c r="H23" s="5">
        <f t="shared" si="1"/>
        <v>-0.98945270000000463</v>
      </c>
      <c r="I23" s="20">
        <f t="shared" si="4"/>
        <v>-3.2441072131147691E-2</v>
      </c>
      <c r="J23" s="5">
        <f>'2025.08'!E84</f>
        <v>0</v>
      </c>
    </row>
    <row r="24" spans="1:10" x14ac:dyDescent="0.25">
      <c r="A24" s="6" t="str">
        <f>'2025.09'!A1</f>
        <v>2025.09</v>
      </c>
      <c r="B24" s="5">
        <f>'2025.09'!B84</f>
        <v>1.6800000000000002</v>
      </c>
      <c r="C24" s="5">
        <f t="shared" si="2"/>
        <v>32.18</v>
      </c>
      <c r="D24" s="14">
        <f>'2025.09'!D84</f>
        <v>1.5050540000000001E-2</v>
      </c>
      <c r="E24" s="14">
        <f t="shared" ref="E24" si="11">E23+D24</f>
        <v>0.28055253999999996</v>
      </c>
      <c r="F24" s="5">
        <v>108.93</v>
      </c>
      <c r="G24" s="5">
        <f t="shared" ref="G24" si="12">E24*F24</f>
        <v>30.560588182199997</v>
      </c>
      <c r="H24" s="5">
        <f t="shared" si="1"/>
        <v>-1.6194118178000032</v>
      </c>
      <c r="I24" s="20">
        <f t="shared" si="4"/>
        <v>-5.0323549341205816E-2</v>
      </c>
      <c r="J24" s="5">
        <f>'2025.09'!E84</f>
        <v>0.62</v>
      </c>
    </row>
    <row r="25" spans="1:10" x14ac:dyDescent="0.25">
      <c r="A25" s="6" t="str">
        <f>'2025.10'!A1</f>
        <v>2025.10</v>
      </c>
      <c r="B25" s="5">
        <f>'2025.10'!B84</f>
        <v>2.71</v>
      </c>
      <c r="C25" s="5">
        <f t="shared" si="2"/>
        <v>34.89</v>
      </c>
      <c r="D25" s="14">
        <f>'2025.10'!D84</f>
        <v>2.4866969999999999E-2</v>
      </c>
      <c r="E25" s="14">
        <f t="shared" ref="E25" si="13">E24+D25</f>
        <v>0.30541950999999995</v>
      </c>
      <c r="F25" s="5">
        <v>111.16</v>
      </c>
      <c r="G25" s="5">
        <f t="shared" ref="G25" si="14">E25*F25</f>
        <v>33.950432731599996</v>
      </c>
      <c r="H25" s="5">
        <f t="shared" si="1"/>
        <v>-0.93956726840000471</v>
      </c>
      <c r="I25" s="20">
        <f t="shared" si="4"/>
        <v>-2.6929414399541551E-2</v>
      </c>
      <c r="J25" s="5">
        <f>'2025.10'!E84</f>
        <v>0</v>
      </c>
    </row>
    <row r="26" spans="1:10" x14ac:dyDescent="0.25">
      <c r="A26" s="6" t="str">
        <f>'2025.11'!A1</f>
        <v>2025.11</v>
      </c>
      <c r="B26" s="5">
        <f>'2025.11'!B84</f>
        <v>2.1</v>
      </c>
      <c r="C26" s="5">
        <f t="shared" si="2"/>
        <v>36.99</v>
      </c>
      <c r="D26" s="14">
        <f>'2025.11'!D84</f>
        <v>1.8847619999999999E-2</v>
      </c>
      <c r="E26" s="14">
        <f t="shared" ref="E26" si="15">E25+D26</f>
        <v>0.32426712999999996</v>
      </c>
      <c r="F26" s="5">
        <v>111.05</v>
      </c>
      <c r="G26" s="5">
        <f t="shared" ref="G26:G27" si="16">E26*F26</f>
        <v>36.009864786499996</v>
      </c>
      <c r="H26" s="5">
        <f t="shared" si="1"/>
        <v>-0.98013521350000588</v>
      </c>
      <c r="I26" s="20">
        <f t="shared" si="4"/>
        <v>-2.6497302338470013E-2</v>
      </c>
      <c r="J26" s="5">
        <f>'2025.11'!E84</f>
        <v>0</v>
      </c>
    </row>
    <row r="27" spans="1:10" x14ac:dyDescent="0.25">
      <c r="A27" s="6" t="str">
        <f>'2025.12'!A1</f>
        <v>2025.12</v>
      </c>
      <c r="B27" s="5">
        <f>'2025.12'!B84</f>
        <v>1.1299999999999999</v>
      </c>
      <c r="C27" s="5">
        <f t="shared" si="2"/>
        <v>38.120000000000005</v>
      </c>
      <c r="D27" s="14">
        <f>'2025.12'!D84</f>
        <v>1.0212840000000001E-2</v>
      </c>
      <c r="E27" s="14">
        <f t="shared" ref="E27" si="17">E26+D27</f>
        <v>0.33447996999999996</v>
      </c>
      <c r="F27" s="5">
        <v>109.87</v>
      </c>
      <c r="G27" s="5">
        <f t="shared" si="16"/>
        <v>36.7493143039</v>
      </c>
      <c r="H27" s="5">
        <f t="shared" si="1"/>
        <v>-1.3706856961000042</v>
      </c>
      <c r="I27" s="20">
        <f t="shared" si="4"/>
        <v>-3.5957127389821722E-2</v>
      </c>
      <c r="J27" s="5">
        <f>'2025.12'!E84</f>
        <v>0</v>
      </c>
    </row>
    <row r="28" spans="1:10" x14ac:dyDescent="0.25">
      <c r="A28" s="6" t="str">
        <f>'2026.01'!A1</f>
        <v>2026.01</v>
      </c>
      <c r="B28" s="5">
        <f>'2026.01'!B84</f>
        <v>0</v>
      </c>
      <c r="C28" s="5">
        <f t="shared" ref="C28" si="18">C27+B28</f>
        <v>38.120000000000005</v>
      </c>
      <c r="D28" s="14">
        <f>'2026.01'!D84</f>
        <v>0</v>
      </c>
      <c r="E28" s="14">
        <f t="shared" ref="E28" si="19">E27+D28</f>
        <v>0.33447996999999996</v>
      </c>
      <c r="F28" s="5">
        <v>109.01</v>
      </c>
      <c r="G28" s="5">
        <f t="shared" ref="G28" si="20">E28*F28</f>
        <v>36.461661529699995</v>
      </c>
      <c r="H28" s="5">
        <f t="shared" ref="H28" si="21">G28-C28</f>
        <v>-1.6583384703000092</v>
      </c>
      <c r="I28" s="20">
        <f t="shared" ref="I28" si="22">(G28-C28)/C28</f>
        <v>-4.3503107825288802E-2</v>
      </c>
      <c r="J28" s="5">
        <f>'2026.01'!E84</f>
        <v>0</v>
      </c>
    </row>
    <row r="29" spans="1:10" x14ac:dyDescent="0.25">
      <c r="A29" s="6">
        <f>'2026.02'!A1</f>
        <v>2026.02</v>
      </c>
      <c r="B29" s="5">
        <f>'2026.02'!B84</f>
        <v>1.63</v>
      </c>
      <c r="C29" s="5">
        <f t="shared" ref="C29" si="23">C28+B29</f>
        <v>39.750000000000007</v>
      </c>
      <c r="D29" s="14">
        <f>'2026.02'!D84</f>
        <v>1.484926E-2</v>
      </c>
      <c r="E29" s="14">
        <f t="shared" ref="E29" si="24">E28+D29</f>
        <v>0.34932922999999994</v>
      </c>
      <c r="F29" s="5">
        <v>110.3</v>
      </c>
      <c r="G29" s="5">
        <f t="shared" ref="G29" si="25">E29*F29</f>
        <v>38.531014068999994</v>
      </c>
      <c r="H29" s="5">
        <f t="shared" ref="H29" si="26">G29-C29</f>
        <v>-1.2189859310000131</v>
      </c>
      <c r="I29" s="20">
        <f t="shared" ref="I29" si="27">(G29-C29)/C29</f>
        <v>-3.0666312729560073E-2</v>
      </c>
      <c r="J29" s="5">
        <f>'2026.02'!E84</f>
        <v>0</v>
      </c>
    </row>
    <row r="30" spans="1:10" x14ac:dyDescent="0.25">
      <c r="A30" s="6">
        <f>'2026.03'!A1</f>
        <v>2026.03</v>
      </c>
      <c r="B30" s="5">
        <f>'2026.03'!B84</f>
        <v>1.19</v>
      </c>
      <c r="C30" s="5">
        <f t="shared" ref="C30" si="28">C29+B30</f>
        <v>40.940000000000005</v>
      </c>
      <c r="D30" s="14">
        <f>'2026.03'!D84</f>
        <v>1.0706719999999999E-2</v>
      </c>
      <c r="E30" s="14">
        <f t="shared" ref="E30:E31" si="29">E29+D30</f>
        <v>0.36003594999999994</v>
      </c>
      <c r="F30" s="5">
        <v>110.1</v>
      </c>
      <c r="G30" s="5">
        <f t="shared" ref="G30" si="30">E30*F30</f>
        <v>39.63995809499999</v>
      </c>
      <c r="H30" s="5">
        <f t="shared" ref="H30" si="31">G30-C30</f>
        <v>-1.3000419050000147</v>
      </c>
      <c r="I30" s="20">
        <f t="shared" ref="I30" si="32">(G30-C30)/C30</f>
        <v>-3.1754809599414131E-2</v>
      </c>
      <c r="J30" s="5">
        <f>'2026.03'!E84</f>
        <v>0</v>
      </c>
    </row>
    <row r="31" spans="1:10" x14ac:dyDescent="0.25">
      <c r="A31" s="6" t="str">
        <f>'2026.04'!N2</f>
        <v>2026.04</v>
      </c>
      <c r="B31" s="5">
        <f>'2026.04'!B96</f>
        <v>1.27</v>
      </c>
      <c r="C31" s="5">
        <f t="shared" ref="C31" si="33">C30+B31</f>
        <v>42.210000000000008</v>
      </c>
      <c r="D31" s="14">
        <f>'2026.04'!D96</f>
        <v>1.157862E-2</v>
      </c>
      <c r="E31" s="56">
        <f t="shared" si="29"/>
        <v>0.37161456999999992</v>
      </c>
      <c r="F31" s="51">
        <v>110.3</v>
      </c>
      <c r="G31" s="57">
        <f t="shared" ref="G31" si="34">E31*F31</f>
        <v>40.989087070999993</v>
      </c>
      <c r="H31" s="5">
        <f t="shared" ref="H31" si="35">G31-C31</f>
        <v>-1.2209129290000149</v>
      </c>
      <c r="I31" s="20">
        <f t="shared" ref="I31" si="36">(G31-C31)/C31</f>
        <v>-2.8924731793414232E-2</v>
      </c>
      <c r="J31" s="5">
        <f>'2026.04'!L96</f>
        <v>0.8</v>
      </c>
    </row>
    <row r="32" spans="1:10" x14ac:dyDescent="0.25">
      <c r="E32" s="1"/>
      <c r="F32" s="9"/>
      <c r="G32" s="9"/>
    </row>
    <row r="34" spans="7:7" x14ac:dyDescent="0.25">
      <c r="G34" s="58"/>
    </row>
  </sheetData>
  <mergeCells count="11">
    <mergeCell ref="L3:L4"/>
    <mergeCell ref="A3:A4"/>
    <mergeCell ref="B3:C3"/>
    <mergeCell ref="D3:E3"/>
    <mergeCell ref="F3:I3"/>
    <mergeCell ref="J3:J4"/>
    <mergeCell ref="M3:M4"/>
    <mergeCell ref="R3:R4"/>
    <mergeCell ref="S3:S4"/>
    <mergeCell ref="P3:Q3"/>
    <mergeCell ref="N3:O3"/>
  </mergeCells>
  <pageMargins left="0.7" right="0.7" top="0.75" bottom="0.75" header="0.3" footer="0.3"/>
  <pageSetup orientation="portrait" r:id="rId1"/>
  <ignoredErrors>
    <ignoredError sqref="D5:D31" formula="1"/>
  </ignoredError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S31"/>
  <sheetViews>
    <sheetView workbookViewId="0">
      <pane ySplit="14" topLeftCell="A15" activePane="bottomLeft" state="frozen"/>
      <selection activeCell="A7" sqref="A7"/>
      <selection pane="bottomLeft" activeCell="A7" sqref="A7"/>
    </sheetView>
  </sheetViews>
  <sheetFormatPr defaultRowHeight="15" x14ac:dyDescent="0.25"/>
  <cols>
    <col min="1" max="1" width="10.7109375" style="1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21" t="s">
        <v>20</v>
      </c>
    </row>
    <row r="3" spans="1:19" x14ac:dyDescent="0.25">
      <c r="A3" s="68" t="s">
        <v>90</v>
      </c>
      <c r="B3" s="71" t="s">
        <v>3</v>
      </c>
      <c r="C3" s="72"/>
      <c r="D3" s="77" t="s">
        <v>1</v>
      </c>
      <c r="E3" s="77"/>
      <c r="F3" s="71" t="s">
        <v>91</v>
      </c>
      <c r="G3" s="76"/>
      <c r="H3" s="76"/>
      <c r="I3" s="72"/>
      <c r="J3" s="68" t="s">
        <v>25</v>
      </c>
      <c r="L3" s="68" t="s">
        <v>67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72</v>
      </c>
      <c r="E4" s="3" t="s">
        <v>93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" t="str">
        <f>'2024.02'!A1</f>
        <v>2024.02</v>
      </c>
      <c r="B5" s="5">
        <f>'2024.02'!B72</f>
        <v>15</v>
      </c>
      <c r="C5" s="5">
        <f>B5</f>
        <v>15</v>
      </c>
      <c r="D5" s="14">
        <f>'2024.02'!D72</f>
        <v>0.20283975000000001</v>
      </c>
      <c r="E5" s="14">
        <f>D5</f>
        <v>0.20283975000000001</v>
      </c>
      <c r="F5" s="5">
        <v>73.41</v>
      </c>
      <c r="G5" s="5">
        <f t="shared" ref="G5:G20" si="0">E5*F5</f>
        <v>14.8904660475</v>
      </c>
      <c r="H5" s="5">
        <f t="shared" ref="H5:H27" si="1">G5-C5</f>
        <v>-0.10953395249999964</v>
      </c>
      <c r="I5" s="20">
        <f>(G5-C5)/C5</f>
        <v>-7.3022634999999761E-3</v>
      </c>
      <c r="J5" s="5">
        <f>'2024.02'!E72</f>
        <v>0</v>
      </c>
      <c r="L5" s="3" t="s">
        <v>2</v>
      </c>
      <c r="M5" s="5">
        <f>SUM(B5:B67)</f>
        <v>55.47</v>
      </c>
      <c r="N5" s="5">
        <f>INDEX(G5:G100,MATCH(9.99999999999999E+307,G5:G100))</f>
        <v>63.410799293000004</v>
      </c>
      <c r="O5" s="20">
        <f>INDEX(I5:I100,MATCH(9.99999999999999E+307,I5:I100))</f>
        <v>0.14315484573643419</v>
      </c>
      <c r="P5" s="5">
        <f>N5+S5</f>
        <v>63.640799293000001</v>
      </c>
      <c r="Q5" s="20">
        <f>(P5-M5)/M5</f>
        <v>0.14730123117000185</v>
      </c>
      <c r="R5" s="14">
        <f>SUM(D5:D67)</f>
        <v>0.66503198000000008</v>
      </c>
      <c r="S5" s="5">
        <f>SUM(J5:J67)</f>
        <v>0.23</v>
      </c>
    </row>
    <row r="6" spans="1:19" x14ac:dyDescent="0.25">
      <c r="A6" s="6" t="str">
        <f>'2024.03'!A1</f>
        <v>2024.03</v>
      </c>
      <c r="B6" s="5">
        <f>'2024.03'!B72</f>
        <v>0</v>
      </c>
      <c r="C6" s="5">
        <f t="shared" ref="C6:C27" si="2">C5+B6</f>
        <v>15</v>
      </c>
      <c r="D6" s="14">
        <f>'2024.03'!D72</f>
        <v>0</v>
      </c>
      <c r="E6" s="14">
        <f t="shared" ref="E6:E20" si="3">E5+D6</f>
        <v>0.20283975000000001</v>
      </c>
      <c r="F6" s="5">
        <v>75.87</v>
      </c>
      <c r="G6" s="5">
        <f t="shared" si="0"/>
        <v>15.389451832500002</v>
      </c>
      <c r="H6" s="5">
        <f t="shared" si="1"/>
        <v>0.38945183250000248</v>
      </c>
      <c r="I6" s="20">
        <f t="shared" ref="I6:I27" si="4">(G6-C6)/C6</f>
        <v>2.5963455500000166E-2</v>
      </c>
      <c r="J6" s="5">
        <f>'2024.03'!E72</f>
        <v>0.01</v>
      </c>
    </row>
    <row r="7" spans="1:19" x14ac:dyDescent="0.25">
      <c r="A7" s="6" t="str">
        <f>'2024.04'!A1</f>
        <v>2024.04</v>
      </c>
      <c r="B7" s="5">
        <f>'2024.04'!B72</f>
        <v>0</v>
      </c>
      <c r="C7" s="5">
        <f t="shared" si="2"/>
        <v>15</v>
      </c>
      <c r="D7" s="14">
        <f>'2024.04'!D72</f>
        <v>0</v>
      </c>
      <c r="E7" s="14">
        <f t="shared" si="3"/>
        <v>0.20283975000000001</v>
      </c>
      <c r="F7" s="5">
        <v>74.59</v>
      </c>
      <c r="G7" s="5">
        <f t="shared" si="0"/>
        <v>15.129816952500002</v>
      </c>
      <c r="H7" s="5">
        <f t="shared" si="1"/>
        <v>0.12981695250000236</v>
      </c>
      <c r="I7" s="20">
        <f t="shared" si="4"/>
        <v>8.654463500000157E-3</v>
      </c>
      <c r="J7" s="5">
        <f>'2024.04'!E72</f>
        <v>0</v>
      </c>
    </row>
    <row r="8" spans="1:19" x14ac:dyDescent="0.25">
      <c r="A8" s="6" t="str">
        <f>'2024.05'!A1</f>
        <v>2024.05</v>
      </c>
      <c r="B8" s="5">
        <f>'2024.05'!B72</f>
        <v>0</v>
      </c>
      <c r="C8" s="5">
        <f t="shared" si="2"/>
        <v>15</v>
      </c>
      <c r="D8" s="14">
        <f>'2024.05'!D72</f>
        <v>0</v>
      </c>
      <c r="E8" s="14">
        <f t="shared" si="3"/>
        <v>0.20283975000000001</v>
      </c>
      <c r="F8" s="5">
        <v>76.27</v>
      </c>
      <c r="G8" s="5">
        <f t="shared" si="0"/>
        <v>15.4705877325</v>
      </c>
      <c r="H8" s="5">
        <f t="shared" si="1"/>
        <v>0.4705877325000003</v>
      </c>
      <c r="I8" s="20">
        <f t="shared" si="4"/>
        <v>3.1372515500000017E-2</v>
      </c>
      <c r="J8" s="5">
        <f>'2024.05'!E72</f>
        <v>0</v>
      </c>
    </row>
    <row r="9" spans="1:19" x14ac:dyDescent="0.25">
      <c r="A9" s="6" t="str">
        <f>'2024.06'!A1</f>
        <v>2024.06</v>
      </c>
      <c r="B9" s="5">
        <f>'2024.06'!B72</f>
        <v>0</v>
      </c>
      <c r="C9" s="5">
        <f t="shared" si="2"/>
        <v>15</v>
      </c>
      <c r="D9" s="14">
        <f>'2024.06'!D72</f>
        <v>0</v>
      </c>
      <c r="E9" s="14">
        <f t="shared" si="3"/>
        <v>0.20283975000000001</v>
      </c>
      <c r="F9" s="5">
        <v>82.92</v>
      </c>
      <c r="G9" s="5">
        <f t="shared" si="0"/>
        <v>16.81947207</v>
      </c>
      <c r="H9" s="5">
        <f t="shared" si="1"/>
        <v>1.8194720699999998</v>
      </c>
      <c r="I9" s="20">
        <f t="shared" si="4"/>
        <v>0.12129813799999999</v>
      </c>
      <c r="J9" s="5">
        <f>'2024.06'!E72</f>
        <v>0.04</v>
      </c>
    </row>
    <row r="10" spans="1:19" x14ac:dyDescent="0.25">
      <c r="A10" s="6" t="str">
        <f>'2024.07'!A1</f>
        <v>2024.07</v>
      </c>
      <c r="B10" s="5">
        <f>'2024.07'!B72</f>
        <v>0</v>
      </c>
      <c r="C10" s="5">
        <f t="shared" si="2"/>
        <v>15</v>
      </c>
      <c r="D10" s="14">
        <f>'2024.07'!D72</f>
        <v>0</v>
      </c>
      <c r="E10" s="14">
        <f t="shared" si="3"/>
        <v>0.20283975000000001</v>
      </c>
      <c r="F10" s="5">
        <v>81.44</v>
      </c>
      <c r="G10" s="5">
        <f t="shared" si="0"/>
        <v>16.51926924</v>
      </c>
      <c r="H10" s="5">
        <f t="shared" si="1"/>
        <v>1.5192692399999999</v>
      </c>
      <c r="I10" s="20">
        <f t="shared" si="4"/>
        <v>0.10128461599999999</v>
      </c>
      <c r="J10" s="5">
        <f>'2024.07'!E72</f>
        <v>0</v>
      </c>
    </row>
    <row r="11" spans="1:19" x14ac:dyDescent="0.25">
      <c r="A11" s="6" t="str">
        <f>'2024.08'!A1</f>
        <v>2024.08</v>
      </c>
      <c r="B11" s="5">
        <f>'2024.08'!B72</f>
        <v>0</v>
      </c>
      <c r="C11" s="5">
        <f t="shared" si="2"/>
        <v>15</v>
      </c>
      <c r="D11" s="14">
        <f>'2024.08'!D72</f>
        <v>0</v>
      </c>
      <c r="E11" s="14">
        <f t="shared" si="3"/>
        <v>0.20283975000000001</v>
      </c>
      <c r="F11" s="5">
        <v>80.56</v>
      </c>
      <c r="G11" s="5">
        <f t="shared" si="0"/>
        <v>16.340770260000003</v>
      </c>
      <c r="H11" s="5">
        <f t="shared" si="1"/>
        <v>1.3407702600000029</v>
      </c>
      <c r="I11" s="20">
        <f t="shared" si="4"/>
        <v>8.9384684000000186E-2</v>
      </c>
      <c r="J11" s="5">
        <f>'2024.08'!E72</f>
        <v>0</v>
      </c>
    </row>
    <row r="12" spans="1:19" x14ac:dyDescent="0.25">
      <c r="A12" s="6" t="str">
        <f>'2024.09'!A1</f>
        <v>2024.09</v>
      </c>
      <c r="B12" s="5">
        <f>'2024.09'!B72</f>
        <v>0</v>
      </c>
      <c r="C12" s="5">
        <f t="shared" si="2"/>
        <v>15</v>
      </c>
      <c r="D12" s="14">
        <f>'2024.09'!D72</f>
        <v>0</v>
      </c>
      <c r="E12" s="14">
        <f t="shared" si="3"/>
        <v>0.20283975000000001</v>
      </c>
      <c r="F12" s="5">
        <v>81.05</v>
      </c>
      <c r="G12" s="5">
        <f t="shared" si="0"/>
        <v>16.440161737500002</v>
      </c>
      <c r="H12" s="5">
        <f t="shared" si="1"/>
        <v>1.4401617375000022</v>
      </c>
      <c r="I12" s="20">
        <f t="shared" si="4"/>
        <v>9.6010782500000141E-2</v>
      </c>
      <c r="J12" s="5">
        <f>'2024.09'!E72</f>
        <v>0</v>
      </c>
    </row>
    <row r="13" spans="1:19" x14ac:dyDescent="0.25">
      <c r="A13" s="6" t="str">
        <f>'2024.10'!A1</f>
        <v>2024.10</v>
      </c>
      <c r="B13" s="5">
        <f>'2024.10'!B72</f>
        <v>0</v>
      </c>
      <c r="C13" s="5">
        <f t="shared" si="2"/>
        <v>15</v>
      </c>
      <c r="D13" s="14">
        <f>'2024.10'!D72</f>
        <v>0</v>
      </c>
      <c r="E13" s="14">
        <f t="shared" si="3"/>
        <v>0.20283975000000001</v>
      </c>
      <c r="F13" s="5">
        <v>82.87</v>
      </c>
      <c r="G13" s="5">
        <f t="shared" si="0"/>
        <v>16.809330082500001</v>
      </c>
      <c r="H13" s="5">
        <f t="shared" si="1"/>
        <v>1.8093300825000007</v>
      </c>
      <c r="I13" s="20">
        <f t="shared" si="4"/>
        <v>0.12062200550000005</v>
      </c>
      <c r="J13" s="5">
        <f>'2024.10'!E72</f>
        <v>0</v>
      </c>
    </row>
    <row r="14" spans="1:19" x14ac:dyDescent="0.25">
      <c r="A14" s="6" t="str">
        <f>'2024.11'!A1</f>
        <v>2024.11</v>
      </c>
      <c r="B14" s="5">
        <f>'2024.11'!B72</f>
        <v>0</v>
      </c>
      <c r="C14" s="5">
        <f t="shared" si="2"/>
        <v>15</v>
      </c>
      <c r="D14" s="14">
        <f>'2024.11'!D72</f>
        <v>0</v>
      </c>
      <c r="E14" s="14">
        <f t="shared" si="3"/>
        <v>0.20283975000000001</v>
      </c>
      <c r="F14" s="5">
        <v>87.95</v>
      </c>
      <c r="G14" s="5">
        <f t="shared" si="0"/>
        <v>17.839756012500001</v>
      </c>
      <c r="H14" s="5">
        <f t="shared" si="1"/>
        <v>2.8397560125000005</v>
      </c>
      <c r="I14" s="20">
        <f t="shared" si="4"/>
        <v>0.18931706750000005</v>
      </c>
      <c r="J14" s="5">
        <f>'2024.11'!E72</f>
        <v>0</v>
      </c>
    </row>
    <row r="15" spans="1:19" x14ac:dyDescent="0.25">
      <c r="A15" s="6" t="str">
        <f>'2024.12'!A1</f>
        <v>2024.12</v>
      </c>
      <c r="B15" s="5">
        <f>'2024.12'!B72</f>
        <v>0</v>
      </c>
      <c r="C15" s="5">
        <f t="shared" si="2"/>
        <v>15</v>
      </c>
      <c r="D15" s="14">
        <f>'2024.12'!D72</f>
        <v>0</v>
      </c>
      <c r="E15" s="14">
        <f t="shared" si="3"/>
        <v>0.20283975000000001</v>
      </c>
      <c r="F15" s="5">
        <v>91.7</v>
      </c>
      <c r="G15" s="5">
        <f t="shared" si="0"/>
        <v>18.600405075000001</v>
      </c>
      <c r="H15" s="5">
        <f t="shared" si="1"/>
        <v>3.6004050750000012</v>
      </c>
      <c r="I15" s="20">
        <f t="shared" si="4"/>
        <v>0.24002700500000007</v>
      </c>
      <c r="J15" s="5">
        <f>'2024.12'!E72</f>
        <v>0.01</v>
      </c>
    </row>
    <row r="16" spans="1:19" x14ac:dyDescent="0.25">
      <c r="A16" s="6" t="str">
        <f>'2025.01'!A1</f>
        <v>2025.01</v>
      </c>
      <c r="B16" s="5">
        <f>'2025.01'!B72</f>
        <v>0</v>
      </c>
      <c r="C16" s="5">
        <f t="shared" si="2"/>
        <v>15</v>
      </c>
      <c r="D16" s="14">
        <f>'2025.01'!D72</f>
        <v>0</v>
      </c>
      <c r="E16" s="14">
        <f t="shared" si="3"/>
        <v>0.20283975000000001</v>
      </c>
      <c r="F16" s="5">
        <v>93.52</v>
      </c>
      <c r="G16" s="5">
        <f t="shared" si="0"/>
        <v>18.96957342</v>
      </c>
      <c r="H16" s="5">
        <f t="shared" si="1"/>
        <v>3.9695734199999997</v>
      </c>
      <c r="I16" s="20">
        <f t="shared" si="4"/>
        <v>0.26463822799999998</v>
      </c>
      <c r="J16" s="5">
        <f>'2025.01'!E72</f>
        <v>0</v>
      </c>
    </row>
    <row r="17" spans="1:10" x14ac:dyDescent="0.25">
      <c r="A17" s="6" t="str">
        <f>'2025.02'!A1</f>
        <v>2025.02</v>
      </c>
      <c r="B17" s="5">
        <f>'2025.02'!B72</f>
        <v>0</v>
      </c>
      <c r="C17" s="5">
        <f t="shared" si="2"/>
        <v>15</v>
      </c>
      <c r="D17" s="14">
        <f>'2025.02'!D72</f>
        <v>0</v>
      </c>
      <c r="E17" s="14">
        <f t="shared" si="3"/>
        <v>0.20283975000000001</v>
      </c>
      <c r="F17" s="5">
        <v>90.02</v>
      </c>
      <c r="G17" s="5">
        <f t="shared" si="0"/>
        <v>18.259634295000001</v>
      </c>
      <c r="H17" s="5">
        <f t="shared" si="1"/>
        <v>3.2596342950000015</v>
      </c>
      <c r="I17" s="20">
        <f t="shared" si="4"/>
        <v>0.21730895300000011</v>
      </c>
      <c r="J17" s="5">
        <f>'2025.02'!E72</f>
        <v>0</v>
      </c>
    </row>
    <row r="18" spans="1:10" x14ac:dyDescent="0.25">
      <c r="A18" s="6" t="str">
        <f>'2025.03'!A1</f>
        <v>2025.03</v>
      </c>
      <c r="B18" s="5">
        <f>'2025.03'!B72</f>
        <v>2.2000000000000002</v>
      </c>
      <c r="C18" s="5">
        <f t="shared" si="2"/>
        <v>17.2</v>
      </c>
      <c r="D18" s="14">
        <f>'2025.03'!D72</f>
        <v>2.6322080000000001E-2</v>
      </c>
      <c r="E18" s="14">
        <f t="shared" si="3"/>
        <v>0.22916183000000001</v>
      </c>
      <c r="F18" s="5">
        <v>81.17</v>
      </c>
      <c r="G18" s="5">
        <f t="shared" si="0"/>
        <v>18.601065741100001</v>
      </c>
      <c r="H18" s="5">
        <f t="shared" si="1"/>
        <v>1.4010657411000018</v>
      </c>
      <c r="I18" s="20">
        <f t="shared" si="4"/>
        <v>8.1457310529069876E-2</v>
      </c>
      <c r="J18" s="5">
        <f>'2025.03'!E72</f>
        <v>0.01</v>
      </c>
    </row>
    <row r="19" spans="1:10" x14ac:dyDescent="0.25">
      <c r="A19" s="6" t="str">
        <f>'2025.04'!A1</f>
        <v>2025.04</v>
      </c>
      <c r="B19" s="5">
        <f>'2025.04'!B72</f>
        <v>9.82</v>
      </c>
      <c r="C19" s="5">
        <f t="shared" si="2"/>
        <v>27.02</v>
      </c>
      <c r="D19" s="14">
        <f>'2025.04'!D72</f>
        <v>0.12649609000000001</v>
      </c>
      <c r="E19" s="14">
        <f t="shared" si="3"/>
        <v>0.35565792000000002</v>
      </c>
      <c r="F19" s="5">
        <v>77.91</v>
      </c>
      <c r="G19" s="5">
        <f t="shared" si="0"/>
        <v>27.709308547199999</v>
      </c>
      <c r="H19" s="5">
        <f t="shared" si="1"/>
        <v>0.68930854719999957</v>
      </c>
      <c r="I19" s="20">
        <f t="shared" si="4"/>
        <v>2.5511049119170969E-2</v>
      </c>
      <c r="J19" s="5">
        <f>'2025.04'!E72</f>
        <v>0</v>
      </c>
    </row>
    <row r="20" spans="1:10" x14ac:dyDescent="0.25">
      <c r="A20" s="6" t="str">
        <f>'2025.05'!A1</f>
        <v>2025.05</v>
      </c>
      <c r="B20" s="5">
        <f>'2025.05'!B72</f>
        <v>1.8800000000000001</v>
      </c>
      <c r="C20" s="5">
        <f t="shared" si="2"/>
        <v>28.9</v>
      </c>
      <c r="D20" s="14">
        <f>'2025.05'!D72</f>
        <v>2.3765719999999997E-2</v>
      </c>
      <c r="E20" s="14">
        <f t="shared" si="3"/>
        <v>0.37942364000000001</v>
      </c>
      <c r="F20" s="5">
        <v>83.36</v>
      </c>
      <c r="G20" s="5">
        <f t="shared" si="0"/>
        <v>31.6287546304</v>
      </c>
      <c r="H20" s="5">
        <f t="shared" si="1"/>
        <v>2.728754630400001</v>
      </c>
      <c r="I20" s="20">
        <f t="shared" si="4"/>
        <v>9.4420575446366825E-2</v>
      </c>
      <c r="J20" s="5">
        <f>'2025.05'!E72</f>
        <v>0</v>
      </c>
    </row>
    <row r="21" spans="1:10" x14ac:dyDescent="0.25">
      <c r="A21" s="6" t="str">
        <f>'2025.06'!A1</f>
        <v>2025.06</v>
      </c>
      <c r="B21" s="5">
        <f>'2025.06'!B96</f>
        <v>2.94</v>
      </c>
      <c r="C21" s="5">
        <f t="shared" si="2"/>
        <v>31.84</v>
      </c>
      <c r="D21" s="14">
        <f>'2025.06'!D96</f>
        <v>3.5481529999999997E-2</v>
      </c>
      <c r="E21" s="14">
        <f t="shared" ref="E21" si="5">E20+D21</f>
        <v>0.41490516999999999</v>
      </c>
      <c r="F21" s="5">
        <v>84.96</v>
      </c>
      <c r="G21" s="5">
        <f t="shared" ref="G21" si="6">E21*F21</f>
        <v>35.2503432432</v>
      </c>
      <c r="H21" s="5">
        <f t="shared" si="1"/>
        <v>3.4103432431999998</v>
      </c>
      <c r="I21" s="20">
        <f t="shared" si="4"/>
        <v>0.10710877020100502</v>
      </c>
      <c r="J21" s="5">
        <f>'2025.06'!E96</f>
        <v>0.12</v>
      </c>
    </row>
    <row r="22" spans="1:10" x14ac:dyDescent="0.25">
      <c r="A22" s="6" t="str">
        <f>'2025.07'!A1</f>
        <v>2025.07</v>
      </c>
      <c r="B22" s="5">
        <f>'2025.07'!B96</f>
        <v>2.9700000000000006</v>
      </c>
      <c r="C22" s="5">
        <f t="shared" si="2"/>
        <v>34.81</v>
      </c>
      <c r="D22" s="14">
        <f>'2025.07'!D96</f>
        <v>3.4709909999999997E-2</v>
      </c>
      <c r="E22" s="14">
        <f t="shared" ref="E22" si="7">E21+D22</f>
        <v>0.44961508</v>
      </c>
      <c r="F22" s="5">
        <v>90.25</v>
      </c>
      <c r="G22" s="5">
        <f t="shared" ref="G22" si="8">E22*F22</f>
        <v>40.57776097</v>
      </c>
      <c r="H22" s="5">
        <f t="shared" si="1"/>
        <v>5.7677609699999977</v>
      </c>
      <c r="I22" s="20">
        <f t="shared" si="4"/>
        <v>0.16569264492961785</v>
      </c>
      <c r="J22" s="5">
        <f>'2025.07'!E96</f>
        <v>0</v>
      </c>
    </row>
    <row r="23" spans="1:10" x14ac:dyDescent="0.25">
      <c r="A23" s="6" t="str">
        <f>'2025.08'!A1</f>
        <v>2025.08</v>
      </c>
      <c r="B23" s="5">
        <f>'2025.08'!B96</f>
        <v>3.7800000000000002</v>
      </c>
      <c r="C23" s="5">
        <f t="shared" si="2"/>
        <v>38.590000000000003</v>
      </c>
      <c r="D23" s="14">
        <f>'2025.08'!D96</f>
        <v>4.2371600000000002E-2</v>
      </c>
      <c r="E23" s="14">
        <f t="shared" ref="E23" si="9">E22+D23</f>
        <v>0.49198668000000001</v>
      </c>
      <c r="F23" s="5">
        <v>90.04</v>
      </c>
      <c r="G23" s="5">
        <f t="shared" ref="G23" si="10">E23*F23</f>
        <v>44.298480667200003</v>
      </c>
      <c r="H23" s="5">
        <f t="shared" si="1"/>
        <v>5.7084806671999999</v>
      </c>
      <c r="I23" s="20">
        <f t="shared" si="4"/>
        <v>0.14792642309406581</v>
      </c>
      <c r="J23" s="5">
        <f>'2025.08'!E96</f>
        <v>0</v>
      </c>
    </row>
    <row r="24" spans="1:10" x14ac:dyDescent="0.25">
      <c r="A24" s="6" t="str">
        <f>'2025.09'!A1</f>
        <v>2025.09</v>
      </c>
      <c r="B24" s="5">
        <f>'2025.09'!B96</f>
        <v>2.4000000000000004</v>
      </c>
      <c r="C24" s="5">
        <f t="shared" si="2"/>
        <v>40.99</v>
      </c>
      <c r="D24" s="14">
        <f>'2025.09'!D96</f>
        <v>2.66541E-2</v>
      </c>
      <c r="E24" s="14">
        <f t="shared" ref="E24" si="11">E23+D24</f>
        <v>0.51864078000000002</v>
      </c>
      <c r="F24" s="5">
        <v>94.4</v>
      </c>
      <c r="G24" s="5">
        <f t="shared" ref="G24" si="12">E24*F24</f>
        <v>48.959689632000007</v>
      </c>
      <c r="H24" s="5">
        <f t="shared" si="1"/>
        <v>7.969689632000005</v>
      </c>
      <c r="I24" s="20">
        <f t="shared" si="4"/>
        <v>0.19443009592583568</v>
      </c>
      <c r="J24" s="5">
        <f>'2025.09'!E96</f>
        <v>0</v>
      </c>
    </row>
    <row r="25" spans="1:10" x14ac:dyDescent="0.25">
      <c r="A25" s="6" t="str">
        <f>'2025.10'!A1</f>
        <v>2025.10</v>
      </c>
      <c r="B25" s="5">
        <f>'2025.10'!B96</f>
        <v>1.08</v>
      </c>
      <c r="C25" s="5">
        <f t="shared" si="2"/>
        <v>42.07</v>
      </c>
      <c r="D25" s="14">
        <f>'2025.10'!D96</f>
        <v>1.142131E-2</v>
      </c>
      <c r="E25" s="14">
        <f t="shared" ref="E25" si="13">E24+D25</f>
        <v>0.53006209000000004</v>
      </c>
      <c r="F25" s="5">
        <v>100.69</v>
      </c>
      <c r="G25" s="5">
        <f t="shared" ref="G25" si="14">E25*F25</f>
        <v>53.371951842100003</v>
      </c>
      <c r="H25" s="5">
        <f t="shared" si="1"/>
        <v>11.301951842100003</v>
      </c>
      <c r="I25" s="20">
        <f t="shared" si="4"/>
        <v>0.26864634756596156</v>
      </c>
      <c r="J25" s="5">
        <f>'2025.10'!E96</f>
        <v>0</v>
      </c>
    </row>
    <row r="26" spans="1:10" x14ac:dyDescent="0.25">
      <c r="A26" s="6" t="str">
        <f>'2025.11'!A1</f>
        <v>2025.11</v>
      </c>
      <c r="B26" s="5">
        <f>'2025.11'!B96</f>
        <v>0.19</v>
      </c>
      <c r="C26" s="5">
        <f t="shared" si="2"/>
        <v>42.26</v>
      </c>
      <c r="D26" s="14">
        <f>'2025.11'!D96</f>
        <v>1.87302E-3</v>
      </c>
      <c r="E26" s="14">
        <f t="shared" ref="E26" si="15">E25+D26</f>
        <v>0.53193511000000004</v>
      </c>
      <c r="F26" s="5">
        <v>100.44</v>
      </c>
      <c r="G26" s="5">
        <f t="shared" ref="G26" si="16">E26*F26</f>
        <v>53.427562448400003</v>
      </c>
      <c r="H26" s="5">
        <f t="shared" si="1"/>
        <v>11.167562448400005</v>
      </c>
      <c r="I26" s="20">
        <f t="shared" si="4"/>
        <v>0.26425845831519179</v>
      </c>
      <c r="J26" s="5">
        <f>'2025.11'!E96</f>
        <v>0</v>
      </c>
    </row>
    <row r="27" spans="1:10" x14ac:dyDescent="0.25">
      <c r="A27" s="6" t="str">
        <f>'2025.12'!A1</f>
        <v>2025.12</v>
      </c>
      <c r="B27" s="5">
        <f>'2025.12'!B96</f>
        <v>2.44</v>
      </c>
      <c r="C27" s="5">
        <f t="shared" si="2"/>
        <v>44.699999999999996</v>
      </c>
      <c r="D27" s="14">
        <f>'2025.12'!D96</f>
        <v>2.4532459999999999E-2</v>
      </c>
      <c r="E27" s="14">
        <f t="shared" ref="E27" si="17">E26+D27</f>
        <v>0.55646757000000002</v>
      </c>
      <c r="F27" s="5">
        <v>100.04</v>
      </c>
      <c r="G27" s="5">
        <f t="shared" ref="G27" si="18">E27*F27</f>
        <v>55.669015702800003</v>
      </c>
      <c r="H27" s="5">
        <f t="shared" si="1"/>
        <v>10.969015702800007</v>
      </c>
      <c r="I27" s="20">
        <f t="shared" si="4"/>
        <v>0.24539185017449683</v>
      </c>
      <c r="J27" s="5">
        <f>'2025.12'!E96</f>
        <v>0.01</v>
      </c>
    </row>
    <row r="28" spans="1:10" x14ac:dyDescent="0.25">
      <c r="A28" s="6" t="str">
        <f>'2026.01'!A1</f>
        <v>2026.01</v>
      </c>
      <c r="B28" s="5">
        <f>'2026.01'!B96</f>
        <v>2.04</v>
      </c>
      <c r="C28" s="5">
        <f t="shared" ref="C28" si="19">C27+B28</f>
        <v>46.739999999999995</v>
      </c>
      <c r="D28" s="14">
        <f>'2026.01'!D96</f>
        <v>2.031063E-2</v>
      </c>
      <c r="E28" s="14">
        <f t="shared" ref="E28" si="20">E27+D28</f>
        <v>0.57677820000000002</v>
      </c>
      <c r="F28" s="5">
        <v>100.39</v>
      </c>
      <c r="G28" s="5">
        <f t="shared" ref="G28" si="21">E28*F28</f>
        <v>57.902763497999999</v>
      </c>
      <c r="H28" s="5">
        <f t="shared" ref="H28" si="22">G28-C28</f>
        <v>11.162763498000004</v>
      </c>
      <c r="I28" s="20">
        <f t="shared" ref="I28" si="23">(G28-C28)/C28</f>
        <v>0.23882677573812591</v>
      </c>
      <c r="J28" s="5">
        <f>'2026.01'!E96</f>
        <v>0</v>
      </c>
    </row>
    <row r="29" spans="1:10" x14ac:dyDescent="0.25">
      <c r="A29" s="6">
        <f>'2026.02'!A1</f>
        <v>2026.02</v>
      </c>
      <c r="B29" s="5">
        <f>'2026.02'!B96</f>
        <v>2.52</v>
      </c>
      <c r="C29" s="5">
        <f t="shared" ref="C29" si="24">C28+B29</f>
        <v>49.26</v>
      </c>
      <c r="D29" s="14">
        <f>'2026.02'!D96</f>
        <v>2.478851E-2</v>
      </c>
      <c r="E29" s="14">
        <f t="shared" ref="E29" si="25">E28+D29</f>
        <v>0.60156671000000006</v>
      </c>
      <c r="F29" s="5">
        <v>99.37</v>
      </c>
      <c r="G29" s="5">
        <f t="shared" ref="G29" si="26">E29*F29</f>
        <v>59.777683972700011</v>
      </c>
      <c r="H29" s="5">
        <f t="shared" ref="H29" si="27">G29-C29</f>
        <v>10.517683972700013</v>
      </c>
      <c r="I29" s="20">
        <f t="shared" ref="I29" si="28">(G29-C29)/C29</f>
        <v>0.21351368194681311</v>
      </c>
      <c r="J29" s="5">
        <f>'2026.02'!E96</f>
        <v>0</v>
      </c>
    </row>
    <row r="30" spans="1:10" x14ac:dyDescent="0.25">
      <c r="A30" s="6">
        <f>'2026.03'!A1</f>
        <v>2026.03</v>
      </c>
      <c r="B30" s="5">
        <f>'2026.03'!B96</f>
        <v>3.41</v>
      </c>
      <c r="C30" s="5">
        <f t="shared" ref="C30" si="29">C29+B30</f>
        <v>52.67</v>
      </c>
      <c r="D30" s="14">
        <f>'2026.03'!D96</f>
        <v>3.4482760000000001E-2</v>
      </c>
      <c r="E30" s="14">
        <f t="shared" ref="E30" si="30">E29+D30</f>
        <v>0.63604947000000012</v>
      </c>
      <c r="F30" s="5">
        <v>95.72</v>
      </c>
      <c r="G30" s="5">
        <f t="shared" ref="G30" si="31">E30*F30</f>
        <v>60.882655268400008</v>
      </c>
      <c r="H30" s="5">
        <f t="shared" ref="H30" si="32">G30-C30</f>
        <v>8.212655268400006</v>
      </c>
      <c r="I30" s="20">
        <f t="shared" ref="I30" si="33">(G30-C30)/C30</f>
        <v>0.15592662366432516</v>
      </c>
      <c r="J30" s="5">
        <f>'2026.03'!E96</f>
        <v>0.03</v>
      </c>
    </row>
    <row r="31" spans="1:10" x14ac:dyDescent="0.25">
      <c r="A31" s="6" t="str">
        <f>'2026.04'!N2</f>
        <v>2026.04</v>
      </c>
      <c r="B31" s="5">
        <f>'2026.04'!B110</f>
        <v>2.8</v>
      </c>
      <c r="C31" s="5">
        <f t="shared" ref="C31" si="34">C30+B31</f>
        <v>55.47</v>
      </c>
      <c r="D31" s="14">
        <f>'2026.04'!D110</f>
        <v>2.898251E-2</v>
      </c>
      <c r="E31" s="14">
        <f t="shared" ref="E31" si="35">E30+D31</f>
        <v>0.66503198000000008</v>
      </c>
      <c r="F31" s="51">
        <v>95.35</v>
      </c>
      <c r="G31" s="5">
        <f t="shared" ref="G31" si="36">E31*F31</f>
        <v>63.410799293000004</v>
      </c>
      <c r="H31" s="5">
        <f t="shared" ref="H31" si="37">G31-C31</f>
        <v>7.9407992930000049</v>
      </c>
      <c r="I31" s="20">
        <f t="shared" ref="I31" si="38">(G31-C31)/C31</f>
        <v>0.14315484573643419</v>
      </c>
      <c r="J31" s="5">
        <f>'2026.04'!L110</f>
        <v>0</v>
      </c>
    </row>
  </sheetData>
  <mergeCells count="11">
    <mergeCell ref="L3:L4"/>
    <mergeCell ref="A3:A4"/>
    <mergeCell ref="B3:C3"/>
    <mergeCell ref="D3:E3"/>
    <mergeCell ref="F3:I3"/>
    <mergeCell ref="J3:J4"/>
    <mergeCell ref="M3:M4"/>
    <mergeCell ref="R3:R4"/>
    <mergeCell ref="S3:S4"/>
    <mergeCell ref="P3:Q3"/>
    <mergeCell ref="N3:O3"/>
  </mergeCells>
  <pageMargins left="0.7" right="0.7" top="0.75" bottom="0.75" header="0.3" footer="0.3"/>
  <pageSetup orientation="portrait" r:id="rId1"/>
  <ignoredErrors>
    <ignoredError sqref="D5:D31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S31"/>
  <sheetViews>
    <sheetView workbookViewId="0">
      <pane ySplit="14" topLeftCell="A15" activePane="bottomLeft" state="frozen"/>
      <selection activeCell="A7" sqref="A7"/>
      <selection pane="bottomLeft" activeCell="A7" sqref="A7"/>
    </sheetView>
  </sheetViews>
  <sheetFormatPr defaultRowHeight="15" x14ac:dyDescent="0.25"/>
  <cols>
    <col min="1" max="1" width="10.7109375" style="1" customWidth="1"/>
    <col min="2" max="3" width="10.7109375" customWidth="1"/>
    <col min="4" max="5" width="12.7109375" customWidth="1"/>
    <col min="6" max="10" width="10.7109375" customWidth="1"/>
    <col min="12" max="17" width="10.7109375" customWidth="1"/>
    <col min="18" max="18" width="12.7109375" customWidth="1"/>
    <col min="19" max="19" width="10.7109375" customWidth="1"/>
  </cols>
  <sheetData>
    <row r="1" spans="1:19" x14ac:dyDescent="0.25">
      <c r="A1" s="21" t="s">
        <v>21</v>
      </c>
    </row>
    <row r="3" spans="1:19" x14ac:dyDescent="0.25">
      <c r="A3" s="68" t="s">
        <v>90</v>
      </c>
      <c r="B3" s="71" t="s">
        <v>3</v>
      </c>
      <c r="C3" s="72"/>
      <c r="D3" s="77" t="s">
        <v>1</v>
      </c>
      <c r="E3" s="77"/>
      <c r="F3" s="71" t="s">
        <v>91</v>
      </c>
      <c r="G3" s="76"/>
      <c r="H3" s="76"/>
      <c r="I3" s="72"/>
      <c r="J3" s="68" t="s">
        <v>25</v>
      </c>
      <c r="L3" s="68" t="s">
        <v>69</v>
      </c>
      <c r="M3" s="68" t="s">
        <v>92</v>
      </c>
      <c r="N3" s="73" t="s">
        <v>108</v>
      </c>
      <c r="O3" s="74"/>
      <c r="P3" s="73" t="s">
        <v>109</v>
      </c>
      <c r="Q3" s="74"/>
      <c r="R3" s="68" t="s">
        <v>1</v>
      </c>
      <c r="S3" s="68" t="s">
        <v>25</v>
      </c>
    </row>
    <row r="4" spans="1:19" x14ac:dyDescent="0.25">
      <c r="A4" s="69"/>
      <c r="B4" s="3" t="s">
        <v>92</v>
      </c>
      <c r="C4" s="3" t="s">
        <v>72</v>
      </c>
      <c r="D4" s="3" t="s">
        <v>72</v>
      </c>
      <c r="E4" s="3" t="s">
        <v>93</v>
      </c>
      <c r="F4" s="3" t="s">
        <v>0</v>
      </c>
      <c r="G4" s="3" t="s">
        <v>73</v>
      </c>
      <c r="H4" s="3" t="s">
        <v>10</v>
      </c>
      <c r="I4" s="3" t="s">
        <v>5</v>
      </c>
      <c r="J4" s="69"/>
      <c r="L4" s="69"/>
      <c r="M4" s="69"/>
      <c r="N4" s="27" t="s">
        <v>73</v>
      </c>
      <c r="O4" s="27" t="s">
        <v>10</v>
      </c>
      <c r="P4" s="27" t="s">
        <v>73</v>
      </c>
      <c r="Q4" s="27" t="s">
        <v>10</v>
      </c>
      <c r="R4" s="69"/>
      <c r="S4" s="69"/>
    </row>
    <row r="5" spans="1:19" x14ac:dyDescent="0.25">
      <c r="A5" s="62" t="str">
        <f>'2024.02'!A1</f>
        <v>2024.02</v>
      </c>
      <c r="B5" s="5">
        <f>'2024.02'!B81</f>
        <v>5</v>
      </c>
      <c r="C5" s="5">
        <f>B5</f>
        <v>5</v>
      </c>
      <c r="D5" s="14">
        <f>'2024.02'!D81</f>
        <v>6.7848220000000001E-2</v>
      </c>
      <c r="E5" s="14">
        <f>D5</f>
        <v>6.7848220000000001E-2</v>
      </c>
      <c r="F5" s="5">
        <v>73.989999999999995</v>
      </c>
      <c r="G5" s="5">
        <f t="shared" ref="G5:G20" si="0">E5*F5</f>
        <v>5.0200897977999999</v>
      </c>
      <c r="H5" s="5">
        <f t="shared" ref="H5:H27" si="1">G5-C5</f>
        <v>2.0089797799999864E-2</v>
      </c>
      <c r="I5" s="20">
        <f>(G5-C5)/C5</f>
        <v>4.0179595599999732E-3</v>
      </c>
      <c r="J5" s="5">
        <f>'2024.02'!E81</f>
        <v>0</v>
      </c>
      <c r="L5" s="3" t="s">
        <v>2</v>
      </c>
      <c r="M5" s="5">
        <f>SUM(B5:B67)</f>
        <v>17.579999999999998</v>
      </c>
      <c r="N5" s="5">
        <f>INDEX(G5:G100,MATCH(9.99999999999999E+307,G5:G100))</f>
        <v>20.830015767999999</v>
      </c>
      <c r="O5" s="20">
        <f>INDEX(I5:I100,MATCH(9.99999999999999E+307,I5:I100))</f>
        <v>0.18487006643913545</v>
      </c>
      <c r="P5" s="5">
        <f>N5+S5</f>
        <v>20.830015767999999</v>
      </c>
      <c r="Q5" s="20">
        <f>(P5-M5)/M5</f>
        <v>0.18487006643913545</v>
      </c>
      <c r="R5" s="14">
        <f>SUM(D5:D67)</f>
        <v>0.22940545999999998</v>
      </c>
      <c r="S5" s="5">
        <f>SUM(J5:J67)</f>
        <v>0</v>
      </c>
    </row>
    <row r="6" spans="1:19" x14ac:dyDescent="0.25">
      <c r="A6" s="62" t="str">
        <f>'2024.03'!A1</f>
        <v>2024.03</v>
      </c>
      <c r="B6" s="5">
        <f>'2024.03'!B81</f>
        <v>0</v>
      </c>
      <c r="C6" s="5">
        <f t="shared" ref="C6:C27" si="2">C5+B6</f>
        <v>5</v>
      </c>
      <c r="D6" s="14">
        <f>'2024.03'!D81</f>
        <v>0</v>
      </c>
      <c r="E6" s="14">
        <f t="shared" ref="E6:E20" si="3">E5+D6</f>
        <v>6.7848220000000001E-2</v>
      </c>
      <c r="F6" s="5">
        <v>76.489999999999995</v>
      </c>
      <c r="G6" s="5">
        <f t="shared" si="0"/>
        <v>5.1897103477999993</v>
      </c>
      <c r="H6" s="5">
        <f t="shared" si="1"/>
        <v>0.18971034779999929</v>
      </c>
      <c r="I6" s="20">
        <f t="shared" ref="I6:I27" si="4">(G6-C6)/C6</f>
        <v>3.7942069559999861E-2</v>
      </c>
      <c r="J6" s="5">
        <f>'2024.03'!E81</f>
        <v>0</v>
      </c>
    </row>
    <row r="7" spans="1:19" x14ac:dyDescent="0.25">
      <c r="A7" s="62" t="str">
        <f>'2024.04'!A1</f>
        <v>2024.04</v>
      </c>
      <c r="B7" s="5">
        <f>'2024.04'!B81</f>
        <v>0</v>
      </c>
      <c r="C7" s="5">
        <f t="shared" si="2"/>
        <v>5</v>
      </c>
      <c r="D7" s="14">
        <f>'2024.04'!D81</f>
        <v>0</v>
      </c>
      <c r="E7" s="14">
        <f t="shared" si="3"/>
        <v>6.7848220000000001E-2</v>
      </c>
      <c r="F7" s="5">
        <v>73.25</v>
      </c>
      <c r="G7" s="5">
        <f t="shared" si="0"/>
        <v>4.9698821149999999</v>
      </c>
      <c r="H7" s="5">
        <f t="shared" si="1"/>
        <v>-3.0117885000000122E-2</v>
      </c>
      <c r="I7" s="20">
        <f t="shared" si="4"/>
        <v>-6.0235770000000247E-3</v>
      </c>
      <c r="J7" s="5">
        <f>'2024.04'!E81</f>
        <v>0</v>
      </c>
    </row>
    <row r="8" spans="1:19" x14ac:dyDescent="0.25">
      <c r="A8" s="6" t="str">
        <f>'2024.05'!A1</f>
        <v>2024.05</v>
      </c>
      <c r="B8" s="5">
        <f>'2024.05'!B81</f>
        <v>0</v>
      </c>
      <c r="C8" s="5">
        <f t="shared" si="2"/>
        <v>5</v>
      </c>
      <c r="D8" s="14">
        <f>'2024.05'!D81</f>
        <v>0</v>
      </c>
      <c r="E8" s="14">
        <f t="shared" si="3"/>
        <v>6.7848220000000001E-2</v>
      </c>
      <c r="F8" s="5">
        <v>73.400000000000006</v>
      </c>
      <c r="G8" s="5">
        <f t="shared" si="0"/>
        <v>4.9800593480000002</v>
      </c>
      <c r="H8" s="5">
        <f t="shared" si="1"/>
        <v>-1.9940651999999837E-2</v>
      </c>
      <c r="I8" s="20">
        <f t="shared" si="4"/>
        <v>-3.9881303999999675E-3</v>
      </c>
      <c r="J8" s="5">
        <f>'2024.05'!E81</f>
        <v>0</v>
      </c>
    </row>
    <row r="9" spans="1:19" x14ac:dyDescent="0.25">
      <c r="A9" s="6" t="str">
        <f>'2024.06'!A1</f>
        <v>2024.06</v>
      </c>
      <c r="B9" s="5">
        <f>'2024.06'!B81</f>
        <v>0</v>
      </c>
      <c r="C9" s="5">
        <f t="shared" si="2"/>
        <v>5</v>
      </c>
      <c r="D9" s="14">
        <f>'2024.06'!D81</f>
        <v>0</v>
      </c>
      <c r="E9" s="14">
        <f t="shared" si="3"/>
        <v>6.7848220000000001E-2</v>
      </c>
      <c r="F9" s="5">
        <v>74.28</v>
      </c>
      <c r="G9" s="5">
        <f t="shared" si="0"/>
        <v>5.0397657815999999</v>
      </c>
      <c r="H9" s="5">
        <f t="shared" si="1"/>
        <v>3.9765781599999883E-2</v>
      </c>
      <c r="I9" s="20">
        <f t="shared" si="4"/>
        <v>7.9531563199999773E-3</v>
      </c>
      <c r="J9" s="5">
        <f>'2024.06'!E81</f>
        <v>0</v>
      </c>
    </row>
    <row r="10" spans="1:19" x14ac:dyDescent="0.25">
      <c r="A10" s="6" t="str">
        <f>'2024.07'!A1</f>
        <v>2024.07</v>
      </c>
      <c r="B10" s="5">
        <f>'2024.07'!B81</f>
        <v>0</v>
      </c>
      <c r="C10" s="5">
        <f t="shared" si="2"/>
        <v>5</v>
      </c>
      <c r="D10" s="14">
        <f>'2024.07'!D81</f>
        <v>0</v>
      </c>
      <c r="E10" s="14">
        <f t="shared" si="3"/>
        <v>6.7848220000000001E-2</v>
      </c>
      <c r="F10" s="5">
        <v>76.64</v>
      </c>
      <c r="G10" s="5">
        <f t="shared" si="0"/>
        <v>5.1998875808000005</v>
      </c>
      <c r="H10" s="5">
        <f t="shared" si="1"/>
        <v>0.19988758080000046</v>
      </c>
      <c r="I10" s="20">
        <f t="shared" si="4"/>
        <v>3.9977516160000094E-2</v>
      </c>
      <c r="J10" s="5">
        <f>'2024.07'!E81</f>
        <v>0</v>
      </c>
    </row>
    <row r="11" spans="1:19" x14ac:dyDescent="0.25">
      <c r="A11" s="6" t="str">
        <f>'2024.08'!A1</f>
        <v>2024.08</v>
      </c>
      <c r="B11" s="5">
        <f>'2024.08'!B81</f>
        <v>0</v>
      </c>
      <c r="C11" s="5">
        <f t="shared" si="2"/>
        <v>5</v>
      </c>
      <c r="D11" s="14">
        <f>'2024.08'!D81</f>
        <v>0</v>
      </c>
      <c r="E11" s="14">
        <f t="shared" si="3"/>
        <v>6.7848220000000001E-2</v>
      </c>
      <c r="F11" s="5">
        <v>76.05</v>
      </c>
      <c r="G11" s="5">
        <f t="shared" si="0"/>
        <v>5.1598571309999999</v>
      </c>
      <c r="H11" s="5">
        <f t="shared" si="1"/>
        <v>0.15985713099999987</v>
      </c>
      <c r="I11" s="20">
        <f t="shared" si="4"/>
        <v>3.1971426199999972E-2</v>
      </c>
      <c r="J11" s="5">
        <f>'2024.08'!E81</f>
        <v>0</v>
      </c>
    </row>
    <row r="12" spans="1:19" x14ac:dyDescent="0.25">
      <c r="A12" s="6" t="str">
        <f>'2024.09'!A1</f>
        <v>2024.09</v>
      </c>
      <c r="B12" s="5">
        <f>'2024.09'!B81</f>
        <v>0</v>
      </c>
      <c r="C12" s="5">
        <f t="shared" si="2"/>
        <v>5</v>
      </c>
      <c r="D12" s="14">
        <f>'2024.09'!D81</f>
        <v>0</v>
      </c>
      <c r="E12" s="14">
        <f t="shared" si="3"/>
        <v>6.7848220000000001E-2</v>
      </c>
      <c r="F12" s="5">
        <v>74.87</v>
      </c>
      <c r="G12" s="5">
        <f t="shared" si="0"/>
        <v>5.0797962314000005</v>
      </c>
      <c r="H12" s="5">
        <f t="shared" si="1"/>
        <v>7.9796231400000472E-2</v>
      </c>
      <c r="I12" s="20">
        <f t="shared" si="4"/>
        <v>1.5959246280000096E-2</v>
      </c>
      <c r="J12" s="5">
        <f>'2024.09'!E81</f>
        <v>0</v>
      </c>
    </row>
    <row r="13" spans="1:19" x14ac:dyDescent="0.25">
      <c r="A13" s="6" t="str">
        <f>'2024.10'!A1</f>
        <v>2024.10</v>
      </c>
      <c r="B13" s="5">
        <f>'2024.10'!B81</f>
        <v>0</v>
      </c>
      <c r="C13" s="5">
        <f t="shared" si="2"/>
        <v>5</v>
      </c>
      <c r="D13" s="14">
        <f>'2024.10'!D81</f>
        <v>0</v>
      </c>
      <c r="E13" s="14">
        <f t="shared" si="3"/>
        <v>6.7848220000000001E-2</v>
      </c>
      <c r="F13" s="5">
        <v>72.959999999999994</v>
      </c>
      <c r="G13" s="5">
        <f t="shared" si="0"/>
        <v>4.9502061311999999</v>
      </c>
      <c r="H13" s="5">
        <f t="shared" si="1"/>
        <v>-4.9793868800000141E-2</v>
      </c>
      <c r="I13" s="20">
        <f t="shared" si="4"/>
        <v>-9.9587737600000288E-3</v>
      </c>
      <c r="J13" s="5">
        <f>'2024.10'!E81</f>
        <v>0</v>
      </c>
    </row>
    <row r="14" spans="1:19" x14ac:dyDescent="0.25">
      <c r="A14" s="6" t="str">
        <f>'2024.11'!A1</f>
        <v>2024.11</v>
      </c>
      <c r="B14" s="5">
        <f>'2024.11'!B81</f>
        <v>0</v>
      </c>
      <c r="C14" s="5">
        <f t="shared" si="2"/>
        <v>5</v>
      </c>
      <c r="D14" s="14">
        <f>'2024.11'!D81</f>
        <v>0</v>
      </c>
      <c r="E14" s="14">
        <f t="shared" si="3"/>
        <v>6.7848220000000001E-2</v>
      </c>
      <c r="F14" s="5">
        <v>76.790000000000006</v>
      </c>
      <c r="G14" s="5">
        <f t="shared" si="0"/>
        <v>5.2100648138000007</v>
      </c>
      <c r="H14" s="5">
        <f t="shared" si="1"/>
        <v>0.21006481380000075</v>
      </c>
      <c r="I14" s="20">
        <f t="shared" si="4"/>
        <v>4.2012962760000147E-2</v>
      </c>
      <c r="J14" s="5">
        <f>'2024.11'!E81</f>
        <v>0</v>
      </c>
    </row>
    <row r="15" spans="1:19" x14ac:dyDescent="0.25">
      <c r="A15" s="6" t="str">
        <f>'2024.12'!A1</f>
        <v>2024.12</v>
      </c>
      <c r="B15" s="5">
        <f>'2024.12'!B81</f>
        <v>0.98</v>
      </c>
      <c r="C15" s="5">
        <f t="shared" si="2"/>
        <v>5.98</v>
      </c>
      <c r="D15" s="14">
        <f>'2024.12'!D81</f>
        <v>1.3105159999999999E-2</v>
      </c>
      <c r="E15" s="14">
        <f t="shared" si="3"/>
        <v>8.0953380000000005E-2</v>
      </c>
      <c r="F15" s="5">
        <v>76.83</v>
      </c>
      <c r="G15" s="5">
        <f t="shared" si="0"/>
        <v>6.2196481854000005</v>
      </c>
      <c r="H15" s="5">
        <f t="shared" si="1"/>
        <v>0.2396481854000001</v>
      </c>
      <c r="I15" s="20">
        <f t="shared" si="4"/>
        <v>4.0074947391304364E-2</v>
      </c>
      <c r="J15" s="5">
        <f>'2024.12'!E81</f>
        <v>0</v>
      </c>
    </row>
    <row r="16" spans="1:19" x14ac:dyDescent="0.25">
      <c r="A16" s="6" t="str">
        <f>'2025.01'!A1</f>
        <v>2025.01</v>
      </c>
      <c r="B16" s="5">
        <f>'2025.01'!B81</f>
        <v>0</v>
      </c>
      <c r="C16" s="5">
        <f t="shared" si="2"/>
        <v>5.98</v>
      </c>
      <c r="D16" s="14">
        <f>'2025.01'!D81</f>
        <v>0</v>
      </c>
      <c r="E16" s="14">
        <f t="shared" si="3"/>
        <v>8.0953380000000005E-2</v>
      </c>
      <c r="F16" s="5">
        <v>78.44</v>
      </c>
      <c r="G16" s="5">
        <f t="shared" si="0"/>
        <v>6.3499831271999998</v>
      </c>
      <c r="H16" s="5">
        <f t="shared" si="1"/>
        <v>0.36998312719999937</v>
      </c>
      <c r="I16" s="20">
        <f t="shared" si="4"/>
        <v>6.1870088160535006E-2</v>
      </c>
      <c r="J16" s="5">
        <f>'2025.01'!E81</f>
        <v>0</v>
      </c>
    </row>
    <row r="17" spans="1:10" x14ac:dyDescent="0.25">
      <c r="A17" s="6" t="str">
        <f>'2025.02'!A1</f>
        <v>2025.02</v>
      </c>
      <c r="B17" s="5">
        <f>'2025.02'!B81</f>
        <v>0</v>
      </c>
      <c r="C17" s="5">
        <f t="shared" si="2"/>
        <v>5.98</v>
      </c>
      <c r="D17" s="14">
        <f>'2025.02'!D81</f>
        <v>0</v>
      </c>
      <c r="E17" s="14">
        <f t="shared" si="3"/>
        <v>8.0953380000000005E-2</v>
      </c>
      <c r="F17" s="5">
        <v>78.19</v>
      </c>
      <c r="G17" s="5">
        <f t="shared" si="0"/>
        <v>6.3297447822000006</v>
      </c>
      <c r="H17" s="5">
        <f t="shared" si="1"/>
        <v>0.34974478220000016</v>
      </c>
      <c r="I17" s="20">
        <f t="shared" si="4"/>
        <v>5.8485749531772595E-2</v>
      </c>
      <c r="J17" s="5">
        <f>'2025.02'!E81</f>
        <v>0</v>
      </c>
    </row>
    <row r="18" spans="1:10" x14ac:dyDescent="0.25">
      <c r="A18" s="6" t="str">
        <f>'2025.03'!A1</f>
        <v>2025.03</v>
      </c>
      <c r="B18" s="5">
        <f>'2025.03'!B81</f>
        <v>0.03</v>
      </c>
      <c r="C18" s="5">
        <f t="shared" si="2"/>
        <v>6.0100000000000007</v>
      </c>
      <c r="D18" s="14">
        <f>'2025.03'!D81</f>
        <v>3.8376000000000003E-4</v>
      </c>
      <c r="E18" s="14">
        <f t="shared" si="3"/>
        <v>8.1337140000000002E-2</v>
      </c>
      <c r="F18" s="5">
        <v>75.37</v>
      </c>
      <c r="G18" s="5">
        <f t="shared" si="0"/>
        <v>6.1303802418000002</v>
      </c>
      <c r="H18" s="5">
        <f t="shared" si="1"/>
        <v>0.12038024179999951</v>
      </c>
      <c r="I18" s="20">
        <f t="shared" si="4"/>
        <v>2.0029990316139685E-2</v>
      </c>
      <c r="J18" s="5">
        <f>'2025.03'!E7</f>
        <v>0</v>
      </c>
    </row>
    <row r="19" spans="1:10" x14ac:dyDescent="0.25">
      <c r="A19" s="6" t="str">
        <f>'2025.04'!A1</f>
        <v>2025.04</v>
      </c>
      <c r="B19" s="5">
        <f>'2025.04'!B81</f>
        <v>3.1100000000000003</v>
      </c>
      <c r="C19" s="5">
        <f t="shared" si="2"/>
        <v>9.120000000000001</v>
      </c>
      <c r="D19" s="14">
        <f>'2025.04'!D81</f>
        <v>4.2085410000000004E-2</v>
      </c>
      <c r="E19" s="14">
        <f t="shared" si="3"/>
        <v>0.12342255000000001</v>
      </c>
      <c r="F19" s="5">
        <v>75.11</v>
      </c>
      <c r="G19" s="5">
        <f t="shared" si="0"/>
        <v>9.2702677305000005</v>
      </c>
      <c r="H19" s="5">
        <f t="shared" si="1"/>
        <v>0.15026773049999953</v>
      </c>
      <c r="I19" s="20">
        <f t="shared" si="4"/>
        <v>1.6476724835526261E-2</v>
      </c>
      <c r="J19" s="5">
        <f>'2025.04'!E81</f>
        <v>0</v>
      </c>
    </row>
    <row r="20" spans="1:10" x14ac:dyDescent="0.25">
      <c r="A20" s="6" t="str">
        <f>'2025.05'!A1</f>
        <v>2025.05</v>
      </c>
      <c r="B20" s="5">
        <f>'2025.05'!B81</f>
        <v>0.72</v>
      </c>
      <c r="C20" s="5">
        <f t="shared" si="2"/>
        <v>9.8400000000000016</v>
      </c>
      <c r="D20" s="14">
        <f>'2025.05'!D81</f>
        <v>9.6267999999999996E-3</v>
      </c>
      <c r="E20" s="14">
        <f t="shared" si="3"/>
        <v>0.13304935000000001</v>
      </c>
      <c r="F20" s="5">
        <v>77.64</v>
      </c>
      <c r="G20" s="5">
        <f t="shared" si="0"/>
        <v>10.329951534000001</v>
      </c>
      <c r="H20" s="5">
        <f t="shared" si="1"/>
        <v>0.48995153399999936</v>
      </c>
      <c r="I20" s="20">
        <f t="shared" si="4"/>
        <v>4.9791822560975536E-2</v>
      </c>
      <c r="J20" s="5">
        <f>'2025.05'!E81</f>
        <v>0</v>
      </c>
    </row>
    <row r="21" spans="1:10" x14ac:dyDescent="0.25">
      <c r="A21" s="6" t="str">
        <f>'2025.06'!A1</f>
        <v>2025.06</v>
      </c>
      <c r="B21" s="5">
        <f>'2025.06'!B108</f>
        <v>1.1299999999999999</v>
      </c>
      <c r="C21" s="5">
        <f t="shared" si="2"/>
        <v>10.970000000000002</v>
      </c>
      <c r="D21" s="14">
        <f>'2025.06'!D108</f>
        <v>1.4542370000000001E-2</v>
      </c>
      <c r="E21" s="14">
        <f t="shared" ref="E21" si="5">E20+D21</f>
        <v>0.14759172000000001</v>
      </c>
      <c r="F21" s="5">
        <v>76.290000000000006</v>
      </c>
      <c r="G21" s="5">
        <f t="shared" ref="G21" si="6">E21*F21</f>
        <v>11.259772318800001</v>
      </c>
      <c r="H21" s="5">
        <f t="shared" si="1"/>
        <v>0.28977231879999898</v>
      </c>
      <c r="I21" s="20">
        <f t="shared" si="4"/>
        <v>2.6414978924339007E-2</v>
      </c>
      <c r="J21" s="5">
        <f>'2025.06'!E108</f>
        <v>0</v>
      </c>
    </row>
    <row r="22" spans="1:10" x14ac:dyDescent="0.25">
      <c r="A22" s="6" t="str">
        <f>'2025.07'!A1</f>
        <v>2025.07</v>
      </c>
      <c r="B22" s="5">
        <f>'2025.07'!B108</f>
        <v>2.0699999999999998</v>
      </c>
      <c r="C22" s="5">
        <f t="shared" si="2"/>
        <v>13.040000000000003</v>
      </c>
      <c r="D22" s="14">
        <f>'2025.07'!D108</f>
        <v>2.7519869999999998E-2</v>
      </c>
      <c r="E22" s="14">
        <f t="shared" ref="E22" si="7">E21+D22</f>
        <v>0.17511159000000001</v>
      </c>
      <c r="F22" s="5">
        <v>77.44</v>
      </c>
      <c r="G22" s="5">
        <f t="shared" ref="G22" si="8">E22*F22</f>
        <v>13.5606415296</v>
      </c>
      <c r="H22" s="5">
        <f t="shared" si="1"/>
        <v>0.5206415295999971</v>
      </c>
      <c r="I22" s="20">
        <f t="shared" si="4"/>
        <v>3.9926497668711425E-2</v>
      </c>
      <c r="J22" s="5">
        <f>'2025.07'!E108</f>
        <v>0</v>
      </c>
    </row>
    <row r="23" spans="1:10" x14ac:dyDescent="0.25">
      <c r="A23" s="6" t="str">
        <f>'2025.08'!A1</f>
        <v>2025.08</v>
      </c>
      <c r="B23" s="5">
        <f>'2025.08'!B108</f>
        <v>0.7</v>
      </c>
      <c r="C23" s="5">
        <f t="shared" si="2"/>
        <v>13.740000000000002</v>
      </c>
      <c r="D23" s="14">
        <f>'2025.08'!D108</f>
        <v>9.0437E-3</v>
      </c>
      <c r="E23" s="14">
        <f t="shared" ref="E23" si="9">E22+D23</f>
        <v>0.18415529</v>
      </c>
      <c r="F23" s="5">
        <v>80.260000000000005</v>
      </c>
      <c r="G23" s="5">
        <f t="shared" ref="G23" si="10">E23*F23</f>
        <v>14.780303575400001</v>
      </c>
      <c r="H23" s="5">
        <f t="shared" si="1"/>
        <v>1.0403035753999994</v>
      </c>
      <c r="I23" s="20">
        <f t="shared" si="4"/>
        <v>7.5713506215429355E-2</v>
      </c>
      <c r="J23" s="5">
        <f>'2025.08'!E108</f>
        <v>0</v>
      </c>
    </row>
    <row r="24" spans="1:10" x14ac:dyDescent="0.25">
      <c r="A24" s="6" t="str">
        <f>'2025.09'!A1</f>
        <v>2025.09</v>
      </c>
      <c r="B24" s="5">
        <f>'2025.09'!B108</f>
        <v>0.72</v>
      </c>
      <c r="C24" s="5">
        <f t="shared" si="2"/>
        <v>14.460000000000003</v>
      </c>
      <c r="D24" s="14">
        <f>'2025.09'!D108</f>
        <v>8.9567899999999992E-3</v>
      </c>
      <c r="E24" s="14">
        <f t="shared" ref="E24" si="11">E23+D24</f>
        <v>0.19311207999999999</v>
      </c>
      <c r="F24" s="5">
        <v>82.39</v>
      </c>
      <c r="G24" s="5">
        <f t="shared" ref="G24" si="12">E24*F24</f>
        <v>15.910504271199999</v>
      </c>
      <c r="H24" s="5">
        <f t="shared" si="1"/>
        <v>1.4505042711999963</v>
      </c>
      <c r="I24" s="20">
        <f t="shared" si="4"/>
        <v>0.1003114986998614</v>
      </c>
      <c r="J24" s="5">
        <f>'2025.09'!E108</f>
        <v>0</v>
      </c>
    </row>
    <row r="25" spans="1:10" x14ac:dyDescent="0.25">
      <c r="A25" s="6" t="str">
        <f>'2025.10'!A1</f>
        <v>2025.10</v>
      </c>
      <c r="B25" s="5">
        <f>'2025.10'!B108</f>
        <v>0.84</v>
      </c>
      <c r="C25" s="5">
        <f t="shared" si="2"/>
        <v>15.300000000000002</v>
      </c>
      <c r="D25" s="14">
        <f>'2025.10'!D108</f>
        <v>1.021128E-2</v>
      </c>
      <c r="E25" s="14">
        <f t="shared" ref="E25" si="13">E24+D25</f>
        <v>0.20332335999999998</v>
      </c>
      <c r="F25" s="5">
        <v>86.71</v>
      </c>
      <c r="G25" s="5">
        <f t="shared" ref="G25" si="14">E25*F25</f>
        <v>17.630168545599997</v>
      </c>
      <c r="H25" s="5">
        <f t="shared" si="1"/>
        <v>2.3301685455999941</v>
      </c>
      <c r="I25" s="20">
        <f t="shared" si="4"/>
        <v>0.15229859775163357</v>
      </c>
      <c r="J25" s="5">
        <f>'2025.10'!E108</f>
        <v>0</v>
      </c>
    </row>
    <row r="26" spans="1:10" x14ac:dyDescent="0.25">
      <c r="A26" s="6" t="str">
        <f>'2025.11'!A1</f>
        <v>2025.11</v>
      </c>
      <c r="B26" s="5">
        <f>'2025.11'!B108</f>
        <v>0.41</v>
      </c>
      <c r="C26" s="5">
        <f t="shared" si="2"/>
        <v>15.710000000000003</v>
      </c>
      <c r="D26" s="14">
        <f>'2025.11'!D108</f>
        <v>4.7124300000000001E-3</v>
      </c>
      <c r="E26" s="14">
        <f t="shared" ref="E26" si="15">E25+D26</f>
        <v>0.20803578999999997</v>
      </c>
      <c r="F26" s="5">
        <v>85.85</v>
      </c>
      <c r="G26" s="5">
        <f t="shared" ref="G26" si="16">E26*F26</f>
        <v>17.859872571499995</v>
      </c>
      <c r="H26" s="5">
        <f t="shared" si="1"/>
        <v>2.1498725714999924</v>
      </c>
      <c r="I26" s="20">
        <f t="shared" si="4"/>
        <v>0.13684739474856727</v>
      </c>
      <c r="J26" s="5">
        <f>'2025.11'!E108</f>
        <v>0</v>
      </c>
    </row>
    <row r="27" spans="1:10" x14ac:dyDescent="0.25">
      <c r="A27" s="6" t="str">
        <f>'2025.12'!A1</f>
        <v>2025.12</v>
      </c>
      <c r="B27" s="5">
        <f>'2025.12'!B108</f>
        <v>0.82</v>
      </c>
      <c r="C27" s="5">
        <f t="shared" si="2"/>
        <v>16.53</v>
      </c>
      <c r="D27" s="14">
        <f>'2025.12'!D108</f>
        <v>9.6506999999999999E-3</v>
      </c>
      <c r="E27" s="14">
        <f t="shared" ref="E27" si="17">E26+D27</f>
        <v>0.21768648999999998</v>
      </c>
      <c r="F27" s="5">
        <v>86.04</v>
      </c>
      <c r="G27" s="5">
        <f t="shared" ref="G27" si="18">E27*F27</f>
        <v>18.729745599600001</v>
      </c>
      <c r="H27" s="5">
        <f t="shared" si="1"/>
        <v>2.1997455995999999</v>
      </c>
      <c r="I27" s="20">
        <f t="shared" si="4"/>
        <v>0.13307595883847548</v>
      </c>
      <c r="J27" s="5">
        <f>'2025.12'!E108</f>
        <v>0</v>
      </c>
    </row>
    <row r="28" spans="1:10" x14ac:dyDescent="0.25">
      <c r="A28" s="6" t="str">
        <f>'2026.01'!A1</f>
        <v>2026.01</v>
      </c>
      <c r="B28" s="5">
        <f>'2026.01'!B108</f>
        <v>0.56000000000000005</v>
      </c>
      <c r="C28" s="5">
        <f t="shared" ref="C28" si="19">C27+B28</f>
        <v>17.09</v>
      </c>
      <c r="D28" s="14">
        <f>'2026.01'!D108</f>
        <v>6.4739999999999997E-3</v>
      </c>
      <c r="E28" s="14">
        <f t="shared" ref="E28" si="20">E27+D28</f>
        <v>0.22416048999999999</v>
      </c>
      <c r="F28" s="5">
        <v>90.25</v>
      </c>
      <c r="G28" s="5">
        <f t="shared" ref="G28" si="21">E28*F28</f>
        <v>20.230484222499999</v>
      </c>
      <c r="H28" s="5">
        <f t="shared" ref="H28" si="22">G28-C28</f>
        <v>3.1404842224999996</v>
      </c>
      <c r="I28" s="20">
        <f t="shared" ref="I28" si="23">(G28-C28)/C28</f>
        <v>0.18376151097132823</v>
      </c>
      <c r="J28" s="5">
        <f>'2026.01'!E108</f>
        <v>0</v>
      </c>
    </row>
    <row r="29" spans="1:10" x14ac:dyDescent="0.25">
      <c r="A29" s="6">
        <f>'2026.02'!A1</f>
        <v>2026.02</v>
      </c>
      <c r="B29" s="5">
        <f>'2026.02'!B108</f>
        <v>0</v>
      </c>
      <c r="C29" s="5">
        <f t="shared" ref="C29" si="24">C28+B29</f>
        <v>17.09</v>
      </c>
      <c r="D29" s="14">
        <f>'2026.02'!D108</f>
        <v>0</v>
      </c>
      <c r="E29" s="14">
        <f t="shared" ref="E29" si="25">E28+D29</f>
        <v>0.22416048999999999</v>
      </c>
      <c r="F29" s="5">
        <v>97.34</v>
      </c>
      <c r="G29" s="5">
        <f t="shared" ref="G29" si="26">E29*F29</f>
        <v>21.819782096600001</v>
      </c>
      <c r="H29" s="5">
        <f t="shared" ref="H29" si="27">G29-C29</f>
        <v>4.729782096600001</v>
      </c>
      <c r="I29" s="20">
        <f t="shared" ref="I29" si="28">(G29-C29)/C29</f>
        <v>0.27675729061439447</v>
      </c>
      <c r="J29" s="5">
        <f>'2026.02'!E108</f>
        <v>0</v>
      </c>
    </row>
    <row r="30" spans="1:10" x14ac:dyDescent="0.25">
      <c r="A30" s="6">
        <f>'2026.03'!A1</f>
        <v>2026.03</v>
      </c>
      <c r="B30" s="5">
        <f>'2026.03'!B108</f>
        <v>0</v>
      </c>
      <c r="C30" s="5">
        <f t="shared" ref="C30" si="29">C29+B30</f>
        <v>17.09</v>
      </c>
      <c r="D30" s="14">
        <f>'2026.03'!D108</f>
        <v>0</v>
      </c>
      <c r="E30" s="14">
        <f t="shared" ref="E30" si="30">E29+D30</f>
        <v>0.22416048999999999</v>
      </c>
      <c r="F30" s="5">
        <v>91.01</v>
      </c>
      <c r="G30" s="5">
        <f t="shared" ref="G30" si="31">E30*F30</f>
        <v>20.400846194900002</v>
      </c>
      <c r="H30" s="5">
        <f t="shared" ref="H30" si="32">G30-C30</f>
        <v>3.3108461949000016</v>
      </c>
      <c r="I30" s="20">
        <f t="shared" ref="I30" si="33">(G30-C30)/C30</f>
        <v>0.19373002895845534</v>
      </c>
      <c r="J30" s="5">
        <f>'2026.03'!E108</f>
        <v>0</v>
      </c>
    </row>
    <row r="31" spans="1:10" x14ac:dyDescent="0.25">
      <c r="A31" s="6" t="str">
        <f>'2026.04'!N2</f>
        <v>2026.04</v>
      </c>
      <c r="B31" s="5">
        <f>'2026.04'!B124</f>
        <v>0.49</v>
      </c>
      <c r="C31" s="5">
        <f t="shared" ref="C31" si="34">C30+B31</f>
        <v>17.579999999999998</v>
      </c>
      <c r="D31" s="14">
        <f>'2026.04'!D124</f>
        <v>5.2449699999999998E-3</v>
      </c>
      <c r="E31" s="14">
        <f t="shared" ref="E31" si="35">E30+D31</f>
        <v>0.22940545999999998</v>
      </c>
      <c r="F31" s="51">
        <v>90.8</v>
      </c>
      <c r="G31" s="5">
        <f t="shared" ref="G31" si="36">E31*F31</f>
        <v>20.830015767999999</v>
      </c>
      <c r="H31" s="5">
        <f t="shared" ref="H31" si="37">G31-C31</f>
        <v>3.2500157680000008</v>
      </c>
      <c r="I31" s="20">
        <f t="shared" ref="I31" si="38">(G31-C31)/C31</f>
        <v>0.18487006643913545</v>
      </c>
      <c r="J31" s="5">
        <f>'2026.02'!L124</f>
        <v>0</v>
      </c>
    </row>
  </sheetData>
  <mergeCells count="11">
    <mergeCell ref="L3:L4"/>
    <mergeCell ref="A3:A4"/>
    <mergeCell ref="B3:C3"/>
    <mergeCell ref="D3:E3"/>
    <mergeCell ref="F3:I3"/>
    <mergeCell ref="J3:J4"/>
    <mergeCell ref="M3:M4"/>
    <mergeCell ref="R3:R4"/>
    <mergeCell ref="S3:S4"/>
    <mergeCell ref="P3:Q3"/>
    <mergeCell ref="N3:O3"/>
  </mergeCells>
  <hyperlinks>
    <hyperlink ref="A5" location="'2024.02'!A1" display="'2024.02'!A1" xr:uid="{21764FE2-7D8B-4EDA-BCEF-81E9EF7FB5DC}"/>
    <hyperlink ref="A6" location="'2024.03'!A1" display="'2024.03'!A1" xr:uid="{217DD3DE-ACED-407A-AE09-D13542896211}"/>
    <hyperlink ref="A7" location="'2024.04'!A1" display="'2024.04'!A1" xr:uid="{F6B54934-9D42-401E-A3D4-11F2EB00CEB8}"/>
  </hyperlinks>
  <pageMargins left="0.7" right="0.7" top="0.75" bottom="0.75" header="0.3" footer="0.3"/>
  <pageSetup orientation="portrait" r:id="rId1"/>
  <ignoredErrors>
    <ignoredError sqref="D5:D31" formula="1"/>
  </ignoredError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E482-EB74-46ED-A8AC-7EDE142C58BB}">
  <dimension ref="A2:T418"/>
  <sheetViews>
    <sheetView workbookViewId="0">
      <pane ySplit="14" topLeftCell="A126" activePane="bottomLeft" state="frozen"/>
      <selection pane="bottomLeft"/>
    </sheetView>
  </sheetViews>
  <sheetFormatPr defaultRowHeight="15" x14ac:dyDescent="0.25"/>
  <cols>
    <col min="1" max="3" width="10.7109375" customWidth="1"/>
    <col min="4" max="4" width="15.7109375" customWidth="1"/>
    <col min="5" max="5" width="2.7109375" customWidth="1"/>
    <col min="6" max="8" width="10.7109375" customWidth="1"/>
    <col min="9" max="9" width="15.7109375" customWidth="1"/>
    <col min="10" max="10" width="2.7109375" customWidth="1"/>
    <col min="11" max="12" width="10.7109375" customWidth="1"/>
    <col min="14" max="20" width="10.7109375" customWidth="1"/>
  </cols>
  <sheetData>
    <row r="2" spans="1:20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N2" s="92" t="s">
        <v>153</v>
      </c>
      <c r="O2" s="80"/>
      <c r="P2" s="80"/>
      <c r="Q2" s="80"/>
      <c r="R2" s="80"/>
      <c r="S2" s="80"/>
      <c r="T2" s="81"/>
    </row>
    <row r="3" spans="1:20" x14ac:dyDescent="0.25">
      <c r="A3" s="93"/>
      <c r="B3" s="93"/>
      <c r="C3" s="93"/>
      <c r="D3" s="93"/>
      <c r="E3" s="94"/>
      <c r="F3" s="93"/>
      <c r="G3" s="93"/>
      <c r="H3" s="93"/>
      <c r="I3" s="93"/>
      <c r="J3" s="38"/>
      <c r="K3" s="93"/>
      <c r="L3" s="93"/>
      <c r="N3" s="79" t="s">
        <v>8</v>
      </c>
      <c r="O3" s="80"/>
      <c r="P3" s="80"/>
      <c r="Q3" s="80"/>
      <c r="R3" s="80"/>
      <c r="S3" s="80"/>
      <c r="T3" s="81"/>
    </row>
    <row r="4" spans="1:20" x14ac:dyDescent="0.25">
      <c r="A4" s="39"/>
      <c r="B4" s="38"/>
      <c r="C4" s="38"/>
      <c r="D4" s="38"/>
      <c r="E4" s="94"/>
      <c r="F4" s="39"/>
      <c r="G4" s="38"/>
      <c r="H4" s="38"/>
      <c r="I4" s="38"/>
      <c r="J4" s="38"/>
      <c r="K4" s="38"/>
      <c r="L4" s="38"/>
      <c r="N4" s="28" t="s">
        <v>90</v>
      </c>
      <c r="O4" s="3" t="s">
        <v>3</v>
      </c>
      <c r="P4" s="3" t="s">
        <v>104</v>
      </c>
      <c r="Q4" s="3" t="s">
        <v>107</v>
      </c>
      <c r="R4" s="3" t="s">
        <v>23</v>
      </c>
      <c r="S4" s="3" t="s">
        <v>25</v>
      </c>
      <c r="T4" s="3" t="s">
        <v>11</v>
      </c>
    </row>
    <row r="5" spans="1:20" x14ac:dyDescent="0.25">
      <c r="A5" s="40"/>
      <c r="B5" s="41"/>
      <c r="C5" s="1"/>
      <c r="D5" s="42"/>
      <c r="E5" s="94"/>
      <c r="F5" s="40"/>
      <c r="G5" s="1"/>
      <c r="H5" s="9"/>
      <c r="I5" s="1"/>
      <c r="J5" s="1"/>
      <c r="K5" s="40"/>
      <c r="L5" s="9"/>
      <c r="N5" s="47">
        <v>46175</v>
      </c>
      <c r="O5" s="5">
        <v>15</v>
      </c>
      <c r="P5" s="5">
        <f>B26+B40+B54+B68+B82+B96+B110+B124+B138+B152+B166+B180+B194+B208+B222+B236+B250+B264+B278+B292+B306+B320+B334+B348+B362+B376+B390+B404+B418</f>
        <v>14.62</v>
      </c>
      <c r="Q5" s="5">
        <f>G26+G40+G54+G68+G82+G96+G110+G124+G138+G152+G166+G180+G194+G208+G222+G236+G250+G264+G278+G292+G306+G320+G334+G348+G362+G376+G390+G404+G418</f>
        <v>0</v>
      </c>
      <c r="R5" s="5">
        <f>O5-P5+Q5+S5</f>
        <v>0.38000000000000078</v>
      </c>
      <c r="S5" s="5">
        <f>L26+L40+L54+L68+L82+L96+L110+L124+L138+L152+L166+L180+L194+L208+L222+L236+L250+L264+L278+L292+L306+L320+L334+L348+L362+L376+L390+L404+L418</f>
        <v>0</v>
      </c>
      <c r="T5" s="6"/>
    </row>
    <row r="6" spans="1:20" x14ac:dyDescent="0.25">
      <c r="A6" s="40"/>
      <c r="B6" s="41"/>
      <c r="C6" s="1"/>
      <c r="D6" s="42"/>
      <c r="E6" s="94"/>
      <c r="F6" s="40"/>
      <c r="G6" s="1"/>
      <c r="H6" s="9"/>
      <c r="I6" s="1"/>
      <c r="J6" s="1"/>
      <c r="K6" s="40"/>
      <c r="L6" s="9"/>
      <c r="N6" s="48"/>
      <c r="O6" s="5"/>
      <c r="P6" s="5"/>
      <c r="Q6" s="5"/>
      <c r="R6" s="5"/>
      <c r="S6" s="48"/>
      <c r="T6" s="5"/>
    </row>
    <row r="7" spans="1:20" x14ac:dyDescent="0.25">
      <c r="A7" s="40"/>
      <c r="B7" s="41"/>
      <c r="C7" s="1"/>
      <c r="D7" s="42"/>
      <c r="E7" s="94"/>
      <c r="F7" s="40"/>
      <c r="G7" s="1"/>
      <c r="H7" s="9"/>
      <c r="I7" s="1"/>
      <c r="J7" s="1"/>
      <c r="K7" s="40"/>
      <c r="L7" s="9"/>
      <c r="N7" s="48"/>
      <c r="O7" s="5"/>
      <c r="P7" s="5"/>
      <c r="Q7" s="5"/>
      <c r="R7" s="5"/>
      <c r="S7" s="48"/>
      <c r="T7" s="5"/>
    </row>
    <row r="8" spans="1:20" x14ac:dyDescent="0.25">
      <c r="A8" s="40"/>
      <c r="B8" s="41"/>
      <c r="C8" s="1"/>
      <c r="D8" s="42"/>
      <c r="E8" s="94"/>
      <c r="F8" s="40"/>
      <c r="G8" s="1"/>
      <c r="H8" s="9"/>
      <c r="I8" s="1"/>
      <c r="J8" s="1"/>
      <c r="K8" s="40"/>
      <c r="L8" s="9"/>
      <c r="N8" s="48"/>
      <c r="O8" s="5"/>
      <c r="P8" s="5"/>
      <c r="Q8" s="5"/>
      <c r="R8" s="5"/>
      <c r="S8" s="48"/>
      <c r="T8" s="5"/>
    </row>
    <row r="9" spans="1:20" x14ac:dyDescent="0.25">
      <c r="A9" s="40"/>
      <c r="B9" s="9"/>
      <c r="C9" s="1"/>
      <c r="D9" s="43"/>
      <c r="E9" s="94"/>
      <c r="F9" s="40"/>
      <c r="K9" s="40"/>
      <c r="N9" s="48"/>
      <c r="O9" s="5"/>
      <c r="P9" s="5"/>
      <c r="Q9" s="5"/>
      <c r="R9" s="5"/>
      <c r="S9" s="48"/>
      <c r="T9" s="5"/>
    </row>
    <row r="10" spans="1:20" ht="15" customHeight="1" x14ac:dyDescent="0.3">
      <c r="A10" s="40"/>
      <c r="B10" s="9"/>
      <c r="C10" s="1"/>
      <c r="D10" s="43"/>
      <c r="E10" s="94"/>
      <c r="F10" s="44"/>
      <c r="K10" s="44"/>
      <c r="N10" s="48"/>
      <c r="O10" s="5"/>
      <c r="P10" s="5"/>
      <c r="Q10" s="5"/>
      <c r="R10" s="5"/>
      <c r="S10" s="48"/>
      <c r="T10" s="2"/>
    </row>
    <row r="11" spans="1:20" ht="15" customHeight="1" x14ac:dyDescent="0.3">
      <c r="A11" s="40"/>
      <c r="B11" s="9"/>
      <c r="C11" s="1"/>
      <c r="D11" s="43"/>
      <c r="E11" s="94"/>
      <c r="F11" s="44"/>
      <c r="K11" s="44"/>
      <c r="N11" s="48"/>
      <c r="O11" s="5"/>
      <c r="P11" s="5"/>
      <c r="Q11" s="5"/>
      <c r="R11" s="5"/>
      <c r="S11" s="48"/>
      <c r="T11" s="2"/>
    </row>
    <row r="12" spans="1:20" ht="15" customHeight="1" x14ac:dyDescent="0.3">
      <c r="A12" s="44"/>
      <c r="B12" s="9"/>
      <c r="C12" s="1"/>
      <c r="D12" s="45"/>
      <c r="E12" s="94"/>
      <c r="F12" s="44"/>
      <c r="K12" s="44"/>
      <c r="N12" s="48"/>
      <c r="O12" s="5"/>
      <c r="P12" s="5"/>
      <c r="Q12" s="5"/>
      <c r="R12" s="5"/>
      <c r="S12" s="49"/>
      <c r="T12" s="2"/>
    </row>
    <row r="13" spans="1:20" ht="15" customHeight="1" x14ac:dyDescent="0.25">
      <c r="A13" s="38"/>
      <c r="B13" s="9"/>
      <c r="C13" s="1"/>
      <c r="D13" s="12"/>
      <c r="E13" s="94"/>
      <c r="F13" s="38"/>
      <c r="G13" s="9"/>
      <c r="H13" s="1"/>
      <c r="I13" s="12"/>
      <c r="J13" s="46"/>
      <c r="K13" s="38"/>
      <c r="L13" s="9"/>
      <c r="N13" s="3" t="s">
        <v>2</v>
      </c>
      <c r="O13" s="5">
        <f>SUM(O5:O12)</f>
        <v>15</v>
      </c>
      <c r="P13" s="5">
        <f t="shared" ref="P13:T13" si="0">SUM(P5:P12)</f>
        <v>14.62</v>
      </c>
      <c r="Q13" s="5">
        <f t="shared" si="0"/>
        <v>0</v>
      </c>
      <c r="R13" s="5">
        <f t="shared" si="0"/>
        <v>0.38000000000000078</v>
      </c>
      <c r="S13" s="5">
        <f t="shared" si="0"/>
        <v>0</v>
      </c>
      <c r="T13" s="5">
        <f t="shared" si="0"/>
        <v>0</v>
      </c>
    </row>
    <row r="14" spans="1:20" ht="15" customHeight="1" x14ac:dyDescent="0.25">
      <c r="A14" s="38"/>
      <c r="B14" s="9"/>
      <c r="C14" s="1"/>
      <c r="D14" s="12"/>
      <c r="E14" s="1"/>
      <c r="F14" s="38"/>
      <c r="G14" s="9"/>
      <c r="H14" s="1"/>
      <c r="I14" s="12"/>
      <c r="J14" s="46"/>
      <c r="K14" s="38"/>
      <c r="L14" s="9"/>
      <c r="N14" s="38"/>
      <c r="O14" s="9"/>
      <c r="P14" s="9"/>
      <c r="Q14" s="9"/>
      <c r="R14" s="9"/>
      <c r="S14" s="38"/>
      <c r="T14" s="9"/>
    </row>
    <row r="15" spans="1:20" ht="15" hidden="1" customHeight="1" x14ac:dyDescent="0.25">
      <c r="A15" s="82" t="s">
        <v>14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4"/>
      <c r="N15" s="38"/>
      <c r="O15" s="9"/>
      <c r="P15" s="9"/>
      <c r="Q15" s="9"/>
      <c r="R15" s="9"/>
      <c r="S15" s="38"/>
      <c r="T15" s="9"/>
    </row>
    <row r="16" spans="1:20" hidden="1" x14ac:dyDescent="0.25">
      <c r="A16" s="71" t="s">
        <v>102</v>
      </c>
      <c r="B16" s="76"/>
      <c r="C16" s="76"/>
      <c r="D16" s="72"/>
      <c r="E16" s="85"/>
      <c r="F16" s="88" t="s">
        <v>103</v>
      </c>
      <c r="G16" s="89"/>
      <c r="H16" s="89"/>
      <c r="I16" s="90"/>
      <c r="J16" s="30"/>
      <c r="K16" s="71" t="s">
        <v>25</v>
      </c>
      <c r="L16" s="72"/>
      <c r="N16" s="38"/>
      <c r="O16" s="9"/>
      <c r="P16" s="9"/>
      <c r="Q16" s="9"/>
      <c r="R16" s="9"/>
      <c r="S16" s="38"/>
      <c r="T16" s="9"/>
    </row>
    <row r="17" spans="1:20" hidden="1" x14ac:dyDescent="0.25">
      <c r="A17" s="28" t="s">
        <v>90</v>
      </c>
      <c r="B17" s="3" t="s">
        <v>3</v>
      </c>
      <c r="C17" s="3" t="s">
        <v>0</v>
      </c>
      <c r="D17" s="3" t="s">
        <v>1</v>
      </c>
      <c r="E17" s="86"/>
      <c r="F17" s="28" t="s">
        <v>90</v>
      </c>
      <c r="G17" s="3" t="s">
        <v>105</v>
      </c>
      <c r="H17" s="3" t="s">
        <v>0</v>
      </c>
      <c r="I17" s="3" t="s">
        <v>1</v>
      </c>
      <c r="J17" s="32"/>
      <c r="K17" s="29" t="s">
        <v>90</v>
      </c>
      <c r="L17" s="3" t="s">
        <v>105</v>
      </c>
      <c r="N17" s="38"/>
      <c r="O17" s="9"/>
      <c r="P17" s="9"/>
      <c r="Q17" s="9"/>
      <c r="R17" s="9"/>
      <c r="S17" s="38"/>
      <c r="T17" s="9"/>
    </row>
    <row r="18" spans="1:20" hidden="1" x14ac:dyDescent="0.25">
      <c r="A18" s="33"/>
      <c r="B18" s="34"/>
      <c r="C18" s="5" t="e">
        <f>B18/D18</f>
        <v>#DIV/0!</v>
      </c>
      <c r="D18" s="50"/>
      <c r="E18" s="86"/>
      <c r="F18" s="33"/>
      <c r="G18" s="6"/>
      <c r="H18" s="5" t="e">
        <f>G18/I18</f>
        <v>#DIV/0!</v>
      </c>
      <c r="I18" s="6"/>
      <c r="J18" s="31"/>
      <c r="K18" s="33"/>
      <c r="L18" s="5"/>
    </row>
    <row r="19" spans="1:20" hidden="1" x14ac:dyDescent="0.25">
      <c r="A19" s="33"/>
      <c r="B19" s="34"/>
      <c r="C19" s="6"/>
      <c r="D19" s="50"/>
      <c r="E19" s="86"/>
      <c r="F19" s="33"/>
      <c r="G19" s="6"/>
      <c r="H19" s="5"/>
      <c r="I19" s="6"/>
      <c r="J19" s="31"/>
      <c r="K19" s="33"/>
      <c r="L19" s="5"/>
    </row>
    <row r="20" spans="1:20" hidden="1" x14ac:dyDescent="0.25">
      <c r="A20" s="33"/>
      <c r="B20" s="34"/>
      <c r="C20" s="6"/>
      <c r="D20" s="50"/>
      <c r="E20" s="86"/>
      <c r="F20" s="33"/>
      <c r="G20" s="6"/>
      <c r="H20" s="5"/>
      <c r="I20" s="6"/>
      <c r="J20" s="31"/>
      <c r="K20" s="33"/>
      <c r="L20" s="5"/>
    </row>
    <row r="21" spans="1:20" hidden="1" x14ac:dyDescent="0.25">
      <c r="A21" s="33"/>
      <c r="B21" s="34"/>
      <c r="C21" s="6"/>
      <c r="D21" s="50"/>
      <c r="E21" s="86"/>
      <c r="F21" s="33"/>
      <c r="G21" s="6"/>
      <c r="H21" s="5"/>
      <c r="I21" s="6"/>
      <c r="J21" s="31"/>
      <c r="K21" s="33"/>
      <c r="L21" s="5"/>
    </row>
    <row r="22" spans="1:20" hidden="1" x14ac:dyDescent="0.25">
      <c r="A22" s="33"/>
      <c r="B22" s="5"/>
      <c r="C22" s="6"/>
      <c r="D22" s="50"/>
      <c r="E22" s="86"/>
      <c r="F22" s="33"/>
      <c r="G22" s="2"/>
      <c r="H22" s="2"/>
      <c r="I22" s="2"/>
      <c r="J22" s="35"/>
      <c r="K22" s="33"/>
      <c r="L22" s="2"/>
    </row>
    <row r="23" spans="1:20" hidden="1" x14ac:dyDescent="0.25">
      <c r="A23" s="33"/>
      <c r="B23" s="5"/>
      <c r="C23" s="6"/>
      <c r="D23" s="50"/>
      <c r="E23" s="86"/>
      <c r="F23" s="33"/>
      <c r="G23" s="2"/>
      <c r="H23" s="2"/>
      <c r="I23" s="2"/>
      <c r="J23" s="35"/>
      <c r="K23" s="33"/>
      <c r="L23" s="2"/>
    </row>
    <row r="24" spans="1:20" ht="16.5" hidden="1" x14ac:dyDescent="0.3">
      <c r="A24" s="33"/>
      <c r="B24" s="5"/>
      <c r="C24" s="6"/>
      <c r="D24" s="50"/>
      <c r="E24" s="86"/>
      <c r="F24" s="36"/>
      <c r="G24" s="2"/>
      <c r="H24" s="2"/>
      <c r="I24" s="2"/>
      <c r="J24" s="35"/>
      <c r="K24" s="36"/>
      <c r="L24" s="2"/>
    </row>
    <row r="25" spans="1:20" ht="16.5" hidden="1" x14ac:dyDescent="0.3">
      <c r="A25" s="36"/>
      <c r="B25" s="5"/>
      <c r="C25" s="6"/>
      <c r="D25" s="14"/>
      <c r="E25" s="86"/>
      <c r="F25" s="36"/>
      <c r="G25" s="2"/>
      <c r="H25" s="2"/>
      <c r="I25" s="2"/>
      <c r="J25" s="35"/>
      <c r="K25" s="36"/>
      <c r="L25" s="2"/>
    </row>
    <row r="26" spans="1:20" hidden="1" x14ac:dyDescent="0.25">
      <c r="A26" s="3" t="s">
        <v>2</v>
      </c>
      <c r="B26" s="5">
        <f>SUM(B18:B25)</f>
        <v>0</v>
      </c>
      <c r="C26" s="6"/>
      <c r="D26" s="14">
        <f>SUM(D18:D25)</f>
        <v>0</v>
      </c>
      <c r="E26" s="87"/>
      <c r="F26" s="3" t="s">
        <v>2</v>
      </c>
      <c r="G26" s="5">
        <f>SUM(G18:G25)</f>
        <v>0</v>
      </c>
      <c r="H26" s="6"/>
      <c r="I26" s="7">
        <f t="shared" ref="I26" si="1">SUM(I18:I25)</f>
        <v>0</v>
      </c>
      <c r="J26" s="37"/>
      <c r="K26" s="3" t="s">
        <v>2</v>
      </c>
      <c r="L26" s="5">
        <f>SUM(L18:L25)</f>
        <v>0</v>
      </c>
    </row>
    <row r="27" spans="1:20" hidden="1" x14ac:dyDescent="0.25">
      <c r="A27" s="38"/>
      <c r="B27" s="9"/>
      <c r="C27" s="1"/>
      <c r="D27" s="12"/>
      <c r="E27" s="1"/>
      <c r="F27" s="38"/>
      <c r="G27" s="9"/>
      <c r="H27" s="1"/>
      <c r="I27" s="12"/>
      <c r="J27" s="46"/>
      <c r="K27" s="38"/>
      <c r="L27" s="9"/>
    </row>
    <row r="28" spans="1:20" hidden="1" x14ac:dyDescent="0.25">
      <c r="B28" s="1"/>
    </row>
    <row r="29" spans="1:20" ht="15" hidden="1" customHeight="1" x14ac:dyDescent="0.25">
      <c r="A29" s="82" t="s">
        <v>15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4"/>
      <c r="N29" s="38"/>
      <c r="O29" s="9"/>
      <c r="P29" s="9"/>
      <c r="Q29" s="9"/>
      <c r="R29" s="9"/>
      <c r="S29" s="38"/>
      <c r="T29" s="9"/>
    </row>
    <row r="30" spans="1:20" hidden="1" x14ac:dyDescent="0.25">
      <c r="A30" s="77" t="s">
        <v>102</v>
      </c>
      <c r="B30" s="77"/>
      <c r="C30" s="77"/>
      <c r="D30" s="77"/>
      <c r="E30" s="78"/>
      <c r="F30" s="77" t="s">
        <v>103</v>
      </c>
      <c r="G30" s="77"/>
      <c r="H30" s="77"/>
      <c r="I30" s="77"/>
      <c r="J30" s="53"/>
      <c r="K30" s="77" t="s">
        <v>25</v>
      </c>
      <c r="L30" s="77"/>
      <c r="N30" s="38"/>
      <c r="O30" s="9"/>
      <c r="P30" s="9"/>
      <c r="Q30" s="9"/>
      <c r="R30" s="9"/>
      <c r="S30" s="38"/>
      <c r="T30" s="9"/>
    </row>
    <row r="31" spans="1:20" hidden="1" x14ac:dyDescent="0.25">
      <c r="A31" s="28" t="s">
        <v>90</v>
      </c>
      <c r="B31" s="3" t="s">
        <v>3</v>
      </c>
      <c r="C31" s="3" t="s">
        <v>0</v>
      </c>
      <c r="D31" s="3" t="s">
        <v>1</v>
      </c>
      <c r="E31" s="78"/>
      <c r="F31" s="28" t="s">
        <v>90</v>
      </c>
      <c r="G31" s="3" t="s">
        <v>105</v>
      </c>
      <c r="H31" s="3" t="s">
        <v>0</v>
      </c>
      <c r="I31" s="3" t="s">
        <v>1</v>
      </c>
      <c r="J31" s="53"/>
      <c r="K31" s="3" t="s">
        <v>90</v>
      </c>
      <c r="L31" s="3" t="s">
        <v>105</v>
      </c>
      <c r="N31" s="38"/>
      <c r="O31" s="9"/>
      <c r="P31" s="9"/>
      <c r="Q31" s="9"/>
      <c r="R31" s="9"/>
      <c r="S31" s="38"/>
      <c r="T31" s="9"/>
    </row>
    <row r="32" spans="1:20" hidden="1" x14ac:dyDescent="0.25">
      <c r="A32" s="33"/>
      <c r="B32" s="34"/>
      <c r="C32" s="5" t="e">
        <f>B32/D32</f>
        <v>#DIV/0!</v>
      </c>
      <c r="D32" s="50"/>
      <c r="E32" s="78"/>
      <c r="F32" s="33"/>
      <c r="G32" s="5"/>
      <c r="H32" s="5" t="e">
        <f>G32/I32</f>
        <v>#DIV/0!</v>
      </c>
      <c r="I32" s="6"/>
      <c r="J32" s="52"/>
      <c r="K32" s="33"/>
      <c r="L32" s="5"/>
    </row>
    <row r="33" spans="1:20" hidden="1" x14ac:dyDescent="0.25">
      <c r="A33" s="33"/>
      <c r="B33" s="34"/>
      <c r="C33" s="6"/>
      <c r="D33" s="50"/>
      <c r="E33" s="78"/>
      <c r="F33" s="33"/>
      <c r="G33" s="6"/>
      <c r="H33" s="5"/>
      <c r="I33" s="6"/>
      <c r="J33" s="52"/>
      <c r="K33" s="33"/>
      <c r="L33" s="5"/>
    </row>
    <row r="34" spans="1:20" hidden="1" x14ac:dyDescent="0.25">
      <c r="A34" s="33"/>
      <c r="B34" s="34"/>
      <c r="C34" s="6"/>
      <c r="D34" s="50"/>
      <c r="E34" s="78"/>
      <c r="F34" s="33"/>
      <c r="G34" s="6"/>
      <c r="H34" s="5"/>
      <c r="I34" s="6"/>
      <c r="J34" s="52"/>
      <c r="K34" s="33"/>
      <c r="L34" s="5"/>
    </row>
    <row r="35" spans="1:20" hidden="1" x14ac:dyDescent="0.25">
      <c r="A35" s="33"/>
      <c r="B35" s="34"/>
      <c r="C35" s="6"/>
      <c r="D35" s="50"/>
      <c r="E35" s="78"/>
      <c r="F35" s="33"/>
      <c r="G35" s="6"/>
      <c r="H35" s="5"/>
      <c r="I35" s="6"/>
      <c r="J35" s="52"/>
      <c r="K35" s="33"/>
      <c r="L35" s="5"/>
    </row>
    <row r="36" spans="1:20" hidden="1" x14ac:dyDescent="0.25">
      <c r="A36" s="33"/>
      <c r="B36" s="5"/>
      <c r="C36" s="6"/>
      <c r="D36" s="50"/>
      <c r="E36" s="78"/>
      <c r="F36" s="33"/>
      <c r="G36" s="2"/>
      <c r="H36" s="2"/>
      <c r="I36" s="2"/>
      <c r="J36" s="54"/>
      <c r="K36" s="33"/>
      <c r="L36" s="2"/>
    </row>
    <row r="37" spans="1:20" hidden="1" x14ac:dyDescent="0.25">
      <c r="A37" s="33"/>
      <c r="B37" s="5"/>
      <c r="C37" s="6"/>
      <c r="D37" s="50"/>
      <c r="E37" s="78"/>
      <c r="F37" s="33"/>
      <c r="G37" s="2"/>
      <c r="H37" s="2"/>
      <c r="I37" s="2"/>
      <c r="J37" s="54"/>
      <c r="K37" s="33"/>
      <c r="L37" s="2"/>
    </row>
    <row r="38" spans="1:20" ht="16.5" hidden="1" x14ac:dyDescent="0.3">
      <c r="A38" s="33"/>
      <c r="B38" s="5"/>
      <c r="C38" s="6"/>
      <c r="D38" s="50"/>
      <c r="E38" s="78"/>
      <c r="F38" s="36"/>
      <c r="G38" s="2"/>
      <c r="H38" s="2"/>
      <c r="I38" s="2"/>
      <c r="J38" s="54"/>
      <c r="K38" s="36"/>
      <c r="L38" s="2"/>
    </row>
    <row r="39" spans="1:20" ht="16.5" hidden="1" x14ac:dyDescent="0.3">
      <c r="A39" s="36"/>
      <c r="B39" s="5"/>
      <c r="C39" s="6"/>
      <c r="D39" s="14"/>
      <c r="E39" s="78"/>
      <c r="F39" s="36"/>
      <c r="G39" s="2"/>
      <c r="H39" s="2"/>
      <c r="I39" s="2"/>
      <c r="J39" s="54"/>
      <c r="K39" s="36"/>
      <c r="L39" s="2"/>
    </row>
    <row r="40" spans="1:20" hidden="1" x14ac:dyDescent="0.25">
      <c r="A40" s="3" t="s">
        <v>2</v>
      </c>
      <c r="B40" s="5">
        <f>SUM(B32:B39)</f>
        <v>0</v>
      </c>
      <c r="C40" s="6"/>
      <c r="D40" s="14">
        <f>SUM(D32:D39)</f>
        <v>0</v>
      </c>
      <c r="E40" s="78"/>
      <c r="F40" s="3" t="s">
        <v>2</v>
      </c>
      <c r="G40" s="5">
        <f>SUM(G32:G39)</f>
        <v>0</v>
      </c>
      <c r="H40" s="6"/>
      <c r="I40" s="7">
        <f t="shared" ref="I40" si="2">SUM(I32:I39)</f>
        <v>0</v>
      </c>
      <c r="J40" s="55"/>
      <c r="K40" s="3" t="s">
        <v>2</v>
      </c>
      <c r="L40" s="5">
        <f>SUM(L32:L39)</f>
        <v>0</v>
      </c>
    </row>
    <row r="41" spans="1:20" hidden="1" x14ac:dyDescent="0.25">
      <c r="A41" s="38"/>
      <c r="B41" s="9"/>
      <c r="C41" s="1"/>
      <c r="D41" s="46"/>
      <c r="E41" s="1"/>
      <c r="F41" s="38"/>
      <c r="G41" s="9"/>
      <c r="H41" s="1"/>
      <c r="I41" s="12"/>
      <c r="J41" s="46"/>
      <c r="K41" s="38"/>
      <c r="L41" s="9"/>
    </row>
    <row r="42" spans="1:20" hidden="1" x14ac:dyDescent="0.25">
      <c r="A42" s="38"/>
      <c r="B42" s="9"/>
      <c r="C42" s="1"/>
      <c r="D42" s="46"/>
      <c r="E42" s="1"/>
      <c r="F42" s="38"/>
      <c r="G42" s="9"/>
      <c r="H42" s="1"/>
      <c r="I42" s="12"/>
      <c r="J42" s="46"/>
      <c r="K42" s="38"/>
      <c r="L42" s="9"/>
    </row>
    <row r="43" spans="1:20" ht="15" hidden="1" customHeight="1" x14ac:dyDescent="0.25">
      <c r="A43" s="82" t="s">
        <v>16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4"/>
      <c r="N43" s="38"/>
      <c r="O43" s="9"/>
      <c r="P43" s="9"/>
      <c r="Q43" s="9"/>
      <c r="R43" s="9"/>
      <c r="S43" s="38"/>
      <c r="T43" s="9"/>
    </row>
    <row r="44" spans="1:20" hidden="1" x14ac:dyDescent="0.25">
      <c r="A44" s="77" t="s">
        <v>102</v>
      </c>
      <c r="B44" s="77"/>
      <c r="C44" s="77"/>
      <c r="D44" s="77"/>
      <c r="E44" s="78"/>
      <c r="F44" s="77" t="s">
        <v>103</v>
      </c>
      <c r="G44" s="77"/>
      <c r="H44" s="77"/>
      <c r="I44" s="77"/>
      <c r="J44" s="53"/>
      <c r="K44" s="77" t="s">
        <v>25</v>
      </c>
      <c r="L44" s="77"/>
      <c r="N44" s="38"/>
      <c r="O44" s="9"/>
      <c r="P44" s="9"/>
      <c r="Q44" s="9"/>
      <c r="R44" s="9"/>
      <c r="S44" s="38"/>
      <c r="T44" s="9"/>
    </row>
    <row r="45" spans="1:20" hidden="1" x14ac:dyDescent="0.25">
      <c r="A45" s="28" t="s">
        <v>90</v>
      </c>
      <c r="B45" s="3" t="s">
        <v>3</v>
      </c>
      <c r="C45" s="3" t="s">
        <v>0</v>
      </c>
      <c r="D45" s="3" t="s">
        <v>1</v>
      </c>
      <c r="E45" s="78"/>
      <c r="F45" s="28" t="s">
        <v>90</v>
      </c>
      <c r="G45" s="3" t="s">
        <v>105</v>
      </c>
      <c r="H45" s="3" t="s">
        <v>0</v>
      </c>
      <c r="I45" s="3" t="s">
        <v>1</v>
      </c>
      <c r="J45" s="53"/>
      <c r="K45" s="3" t="s">
        <v>90</v>
      </c>
      <c r="L45" s="3" t="s">
        <v>105</v>
      </c>
      <c r="N45" s="38"/>
      <c r="O45" s="9"/>
      <c r="P45" s="9"/>
      <c r="Q45" s="9"/>
      <c r="R45" s="9"/>
      <c r="S45" s="38"/>
      <c r="T45" s="9"/>
    </row>
    <row r="46" spans="1:20" hidden="1" x14ac:dyDescent="0.25">
      <c r="A46" s="33"/>
      <c r="B46" s="34"/>
      <c r="C46" s="5" t="e">
        <f>B46/D46</f>
        <v>#DIV/0!</v>
      </c>
      <c r="D46" s="50"/>
      <c r="E46" s="78"/>
      <c r="F46" s="33"/>
      <c r="G46" s="6"/>
      <c r="H46" s="5" t="e">
        <f>G46/I46</f>
        <v>#DIV/0!</v>
      </c>
      <c r="I46" s="6"/>
      <c r="J46" s="52"/>
      <c r="K46" s="33"/>
      <c r="L46" s="5"/>
    </row>
    <row r="47" spans="1:20" hidden="1" x14ac:dyDescent="0.25">
      <c r="A47" s="33"/>
      <c r="B47" s="34"/>
      <c r="C47" s="6"/>
      <c r="D47" s="50"/>
      <c r="E47" s="78"/>
      <c r="F47" s="33"/>
      <c r="G47" s="6"/>
      <c r="H47" s="5"/>
      <c r="I47" s="6"/>
      <c r="J47" s="52"/>
      <c r="K47" s="33"/>
      <c r="L47" s="5"/>
    </row>
    <row r="48" spans="1:20" hidden="1" x14ac:dyDescent="0.25">
      <c r="A48" s="33"/>
      <c r="B48" s="34"/>
      <c r="C48" s="6"/>
      <c r="D48" s="50"/>
      <c r="E48" s="78"/>
      <c r="F48" s="33"/>
      <c r="G48" s="6"/>
      <c r="H48" s="5"/>
      <c r="I48" s="6"/>
      <c r="J48" s="52"/>
      <c r="K48" s="33"/>
      <c r="L48" s="5"/>
    </row>
    <row r="49" spans="1:20" hidden="1" x14ac:dyDescent="0.25">
      <c r="A49" s="33"/>
      <c r="B49" s="34"/>
      <c r="C49" s="6"/>
      <c r="D49" s="50"/>
      <c r="E49" s="78"/>
      <c r="F49" s="33"/>
      <c r="G49" s="6"/>
      <c r="H49" s="5"/>
      <c r="I49" s="6"/>
      <c r="J49" s="52"/>
      <c r="K49" s="33"/>
      <c r="L49" s="5"/>
    </row>
    <row r="50" spans="1:20" hidden="1" x14ac:dyDescent="0.25">
      <c r="A50" s="33"/>
      <c r="B50" s="5"/>
      <c r="C50" s="6"/>
      <c r="D50" s="50"/>
      <c r="E50" s="78"/>
      <c r="F50" s="33"/>
      <c r="G50" s="2"/>
      <c r="H50" s="2"/>
      <c r="I50" s="2"/>
      <c r="J50" s="54"/>
      <c r="K50" s="33"/>
      <c r="L50" s="2"/>
    </row>
    <row r="51" spans="1:20" hidden="1" x14ac:dyDescent="0.25">
      <c r="A51" s="33"/>
      <c r="B51" s="5"/>
      <c r="C51" s="6"/>
      <c r="D51" s="50"/>
      <c r="E51" s="78"/>
      <c r="F51" s="33"/>
      <c r="G51" s="2"/>
      <c r="H51" s="2"/>
      <c r="I51" s="2"/>
      <c r="J51" s="54"/>
      <c r="K51" s="33"/>
      <c r="L51" s="2"/>
    </row>
    <row r="52" spans="1:20" ht="16.5" hidden="1" x14ac:dyDescent="0.3">
      <c r="A52" s="33"/>
      <c r="B52" s="5"/>
      <c r="C52" s="6"/>
      <c r="D52" s="50"/>
      <c r="E52" s="78"/>
      <c r="F52" s="36"/>
      <c r="G52" s="2"/>
      <c r="H52" s="2"/>
      <c r="I52" s="2"/>
      <c r="J52" s="54"/>
      <c r="K52" s="36"/>
      <c r="L52" s="2"/>
    </row>
    <row r="53" spans="1:20" ht="16.5" hidden="1" x14ac:dyDescent="0.3">
      <c r="A53" s="36"/>
      <c r="B53" s="5"/>
      <c r="C53" s="6"/>
      <c r="D53" s="14"/>
      <c r="E53" s="78"/>
      <c r="F53" s="36"/>
      <c r="G53" s="2"/>
      <c r="H53" s="2"/>
      <c r="I53" s="2"/>
      <c r="J53" s="54"/>
      <c r="K53" s="36"/>
      <c r="L53" s="2"/>
    </row>
    <row r="54" spans="1:20" hidden="1" x14ac:dyDescent="0.25">
      <c r="A54" s="3" t="s">
        <v>2</v>
      </c>
      <c r="B54" s="5">
        <f>SUM(B46:B53)</f>
        <v>0</v>
      </c>
      <c r="C54" s="6"/>
      <c r="D54" s="14">
        <f>SUM(D46:D53)</f>
        <v>0</v>
      </c>
      <c r="E54" s="78"/>
      <c r="F54" s="3" t="s">
        <v>2</v>
      </c>
      <c r="G54" s="5">
        <f>SUM(G46:G53)</f>
        <v>0</v>
      </c>
      <c r="H54" s="6"/>
      <c r="I54" s="7">
        <f t="shared" ref="I54" si="3">SUM(I46:I53)</f>
        <v>0</v>
      </c>
      <c r="J54" s="55"/>
      <c r="K54" s="3" t="s">
        <v>2</v>
      </c>
      <c r="L54" s="5">
        <f>SUM(L46:L53)</f>
        <v>0</v>
      </c>
    </row>
    <row r="55" spans="1:20" hidden="1" x14ac:dyDescent="0.25"/>
    <row r="56" spans="1:20" hidden="1" x14ac:dyDescent="0.25"/>
    <row r="57" spans="1:20" ht="15" hidden="1" customHeight="1" x14ac:dyDescent="0.25">
      <c r="A57" s="82" t="s">
        <v>17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4"/>
      <c r="N57" s="38"/>
      <c r="O57" s="9"/>
      <c r="P57" s="9"/>
      <c r="Q57" s="9"/>
      <c r="R57" s="9"/>
      <c r="S57" s="38"/>
      <c r="T57" s="9"/>
    </row>
    <row r="58" spans="1:20" hidden="1" x14ac:dyDescent="0.25">
      <c r="A58" s="77" t="s">
        <v>102</v>
      </c>
      <c r="B58" s="77"/>
      <c r="C58" s="77"/>
      <c r="D58" s="77"/>
      <c r="E58" s="78"/>
      <c r="F58" s="77" t="s">
        <v>103</v>
      </c>
      <c r="G58" s="77"/>
      <c r="H58" s="77"/>
      <c r="I58" s="77"/>
      <c r="J58" s="53"/>
      <c r="K58" s="77" t="s">
        <v>25</v>
      </c>
      <c r="L58" s="77"/>
      <c r="N58" s="38"/>
      <c r="O58" s="9"/>
      <c r="P58" s="9"/>
      <c r="Q58" s="9"/>
      <c r="R58" s="9"/>
      <c r="S58" s="38"/>
      <c r="T58" s="9"/>
    </row>
    <row r="59" spans="1:20" hidden="1" x14ac:dyDescent="0.25">
      <c r="A59" s="28" t="s">
        <v>90</v>
      </c>
      <c r="B59" s="3" t="s">
        <v>3</v>
      </c>
      <c r="C59" s="3" t="s">
        <v>0</v>
      </c>
      <c r="D59" s="3" t="s">
        <v>1</v>
      </c>
      <c r="E59" s="78"/>
      <c r="F59" s="28" t="s">
        <v>90</v>
      </c>
      <c r="G59" s="3" t="s">
        <v>105</v>
      </c>
      <c r="H59" s="3" t="s">
        <v>0</v>
      </c>
      <c r="I59" s="3" t="s">
        <v>1</v>
      </c>
      <c r="J59" s="53"/>
      <c r="K59" s="3" t="s">
        <v>90</v>
      </c>
      <c r="L59" s="3" t="s">
        <v>105</v>
      </c>
      <c r="N59" s="38"/>
      <c r="O59" s="9"/>
      <c r="P59" s="9"/>
      <c r="Q59" s="9"/>
      <c r="R59" s="9"/>
      <c r="S59" s="38"/>
      <c r="T59" s="9"/>
    </row>
    <row r="60" spans="1:20" hidden="1" x14ac:dyDescent="0.25">
      <c r="A60" s="33"/>
      <c r="B60" s="34"/>
      <c r="C60" s="5" t="e">
        <f>B60/D60</f>
        <v>#DIV/0!</v>
      </c>
      <c r="D60" s="50"/>
      <c r="E60" s="78"/>
      <c r="F60" s="33"/>
      <c r="G60" s="6"/>
      <c r="H60" s="5" t="e">
        <f>G60/I60</f>
        <v>#DIV/0!</v>
      </c>
      <c r="I60" s="6"/>
      <c r="J60" s="52"/>
      <c r="K60" s="33"/>
      <c r="L60" s="5"/>
    </row>
    <row r="61" spans="1:20" hidden="1" x14ac:dyDescent="0.25">
      <c r="A61" s="33"/>
      <c r="B61" s="34"/>
      <c r="C61" s="6"/>
      <c r="D61" s="50"/>
      <c r="E61" s="78"/>
      <c r="F61" s="33"/>
      <c r="G61" s="6"/>
      <c r="H61" s="5"/>
      <c r="I61" s="6"/>
      <c r="J61" s="52"/>
      <c r="K61" s="33"/>
      <c r="L61" s="5"/>
    </row>
    <row r="62" spans="1:20" hidden="1" x14ac:dyDescent="0.25">
      <c r="A62" s="33"/>
      <c r="B62" s="34"/>
      <c r="C62" s="6"/>
      <c r="D62" s="50"/>
      <c r="E62" s="78"/>
      <c r="F62" s="33"/>
      <c r="G62" s="6"/>
      <c r="H62" s="5"/>
      <c r="I62" s="6"/>
      <c r="J62" s="52"/>
      <c r="K62" s="33"/>
      <c r="L62" s="5"/>
    </row>
    <row r="63" spans="1:20" hidden="1" x14ac:dyDescent="0.25">
      <c r="A63" s="33"/>
      <c r="B63" s="34"/>
      <c r="C63" s="6"/>
      <c r="D63" s="50"/>
      <c r="E63" s="78"/>
      <c r="F63" s="33"/>
      <c r="G63" s="6"/>
      <c r="H63" s="5"/>
      <c r="I63" s="6"/>
      <c r="J63" s="52"/>
      <c r="K63" s="33"/>
      <c r="L63" s="5"/>
    </row>
    <row r="64" spans="1:20" hidden="1" x14ac:dyDescent="0.25">
      <c r="A64" s="33"/>
      <c r="B64" s="5"/>
      <c r="C64" s="6"/>
      <c r="D64" s="50"/>
      <c r="E64" s="78"/>
      <c r="F64" s="33"/>
      <c r="G64" s="2"/>
      <c r="H64" s="2"/>
      <c r="I64" s="2"/>
      <c r="J64" s="54"/>
      <c r="K64" s="33"/>
      <c r="L64" s="2"/>
    </row>
    <row r="65" spans="1:20" hidden="1" x14ac:dyDescent="0.25">
      <c r="A65" s="33"/>
      <c r="B65" s="5"/>
      <c r="C65" s="6"/>
      <c r="D65" s="50"/>
      <c r="E65" s="78"/>
      <c r="F65" s="33"/>
      <c r="G65" s="2"/>
      <c r="H65" s="2"/>
      <c r="I65" s="2"/>
      <c r="J65" s="54"/>
      <c r="K65" s="33"/>
      <c r="L65" s="2"/>
    </row>
    <row r="66" spans="1:20" ht="16.5" hidden="1" x14ac:dyDescent="0.3">
      <c r="A66" s="33"/>
      <c r="B66" s="5"/>
      <c r="C66" s="6"/>
      <c r="D66" s="50"/>
      <c r="E66" s="78"/>
      <c r="F66" s="36"/>
      <c r="G66" s="2"/>
      <c r="H66" s="2"/>
      <c r="I66" s="2"/>
      <c r="J66" s="54"/>
      <c r="K66" s="36"/>
      <c r="L66" s="2"/>
    </row>
    <row r="67" spans="1:20" ht="16.5" hidden="1" x14ac:dyDescent="0.3">
      <c r="A67" s="36"/>
      <c r="B67" s="5"/>
      <c r="C67" s="6"/>
      <c r="D67" s="14"/>
      <c r="E67" s="78"/>
      <c r="F67" s="36"/>
      <c r="G67" s="2"/>
      <c r="H67" s="2"/>
      <c r="I67" s="2"/>
      <c r="J67" s="54"/>
      <c r="K67" s="36"/>
      <c r="L67" s="2"/>
    </row>
    <row r="68" spans="1:20" hidden="1" x14ac:dyDescent="0.25">
      <c r="A68" s="3" t="s">
        <v>2</v>
      </c>
      <c r="B68" s="5">
        <f>SUM(B60:B67)</f>
        <v>0</v>
      </c>
      <c r="C68" s="6"/>
      <c r="D68" s="14">
        <f>SUM(D60:D67)</f>
        <v>0</v>
      </c>
      <c r="E68" s="78"/>
      <c r="F68" s="3" t="s">
        <v>2</v>
      </c>
      <c r="G68" s="5">
        <f>SUM(G60:G67)</f>
        <v>0</v>
      </c>
      <c r="H68" s="6"/>
      <c r="I68" s="7">
        <f t="shared" ref="I68" si="4">SUM(I60:I67)</f>
        <v>0</v>
      </c>
      <c r="J68" s="55"/>
      <c r="K68" s="3" t="s">
        <v>2</v>
      </c>
      <c r="L68" s="5">
        <f>SUM(L60:L67)</f>
        <v>0</v>
      </c>
    </row>
    <row r="69" spans="1:20" hidden="1" x14ac:dyDescent="0.25"/>
    <row r="70" spans="1:20" hidden="1" x14ac:dyDescent="0.25"/>
    <row r="71" spans="1:20" ht="15" hidden="1" customHeight="1" x14ac:dyDescent="0.25">
      <c r="A71" s="82" t="s">
        <v>18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4"/>
      <c r="N71" s="38"/>
      <c r="O71" s="9"/>
      <c r="P71" s="9"/>
      <c r="Q71" s="9"/>
      <c r="R71" s="9"/>
      <c r="S71" s="38"/>
      <c r="T71" s="9"/>
    </row>
    <row r="72" spans="1:20" hidden="1" x14ac:dyDescent="0.25">
      <c r="A72" s="77" t="s">
        <v>102</v>
      </c>
      <c r="B72" s="77"/>
      <c r="C72" s="77"/>
      <c r="D72" s="77"/>
      <c r="E72" s="78"/>
      <c r="F72" s="77" t="s">
        <v>103</v>
      </c>
      <c r="G72" s="77"/>
      <c r="H72" s="77"/>
      <c r="I72" s="77"/>
      <c r="J72" s="53"/>
      <c r="K72" s="77" t="s">
        <v>25</v>
      </c>
      <c r="L72" s="77"/>
      <c r="N72" s="38"/>
      <c r="O72" s="9"/>
      <c r="P72" s="9"/>
      <c r="Q72" s="9"/>
      <c r="R72" s="9"/>
      <c r="S72" s="38"/>
      <c r="T72" s="9"/>
    </row>
    <row r="73" spans="1:20" hidden="1" x14ac:dyDescent="0.25">
      <c r="A73" s="28" t="s">
        <v>90</v>
      </c>
      <c r="B73" s="3" t="s">
        <v>3</v>
      </c>
      <c r="C73" s="3" t="s">
        <v>0</v>
      </c>
      <c r="D73" s="3" t="s">
        <v>1</v>
      </c>
      <c r="E73" s="78"/>
      <c r="F73" s="28" t="s">
        <v>90</v>
      </c>
      <c r="G73" s="3" t="s">
        <v>105</v>
      </c>
      <c r="H73" s="3" t="s">
        <v>0</v>
      </c>
      <c r="I73" s="3" t="s">
        <v>1</v>
      </c>
      <c r="J73" s="53"/>
      <c r="K73" s="3" t="s">
        <v>90</v>
      </c>
      <c r="L73" s="3" t="s">
        <v>105</v>
      </c>
      <c r="N73" s="38"/>
      <c r="O73" s="9"/>
      <c r="P73" s="9"/>
      <c r="Q73" s="9"/>
      <c r="R73" s="9"/>
      <c r="S73" s="38"/>
      <c r="T73" s="9"/>
    </row>
    <row r="74" spans="1:20" hidden="1" x14ac:dyDescent="0.25">
      <c r="A74" s="33"/>
      <c r="B74" s="34"/>
      <c r="C74" s="5" t="e">
        <f>B74/D74</f>
        <v>#DIV/0!</v>
      </c>
      <c r="D74" s="50"/>
      <c r="E74" s="78"/>
      <c r="F74" s="33"/>
      <c r="G74" s="6"/>
      <c r="H74" s="5" t="e">
        <f>G74/I74</f>
        <v>#DIV/0!</v>
      </c>
      <c r="I74" s="6"/>
      <c r="J74" s="52"/>
      <c r="K74" s="33"/>
      <c r="L74" s="5"/>
    </row>
    <row r="75" spans="1:20" hidden="1" x14ac:dyDescent="0.25">
      <c r="A75" s="33"/>
      <c r="B75" s="34"/>
      <c r="C75" s="6"/>
      <c r="D75" s="50"/>
      <c r="E75" s="78"/>
      <c r="F75" s="33"/>
      <c r="G75" s="6"/>
      <c r="H75" s="5"/>
      <c r="I75" s="6"/>
      <c r="J75" s="52"/>
      <c r="K75" s="33"/>
      <c r="L75" s="5"/>
    </row>
    <row r="76" spans="1:20" hidden="1" x14ac:dyDescent="0.25">
      <c r="A76" s="33"/>
      <c r="B76" s="34"/>
      <c r="C76" s="6"/>
      <c r="D76" s="50"/>
      <c r="E76" s="78"/>
      <c r="F76" s="33"/>
      <c r="G76" s="6"/>
      <c r="H76" s="5"/>
      <c r="I76" s="6"/>
      <c r="J76" s="52"/>
      <c r="K76" s="33"/>
      <c r="L76" s="5"/>
    </row>
    <row r="77" spans="1:20" hidden="1" x14ac:dyDescent="0.25">
      <c r="A77" s="33"/>
      <c r="B77" s="34"/>
      <c r="C77" s="6"/>
      <c r="D77" s="50"/>
      <c r="E77" s="78"/>
      <c r="F77" s="33"/>
      <c r="G77" s="6"/>
      <c r="H77" s="5"/>
      <c r="I77" s="6"/>
      <c r="J77" s="52"/>
      <c r="K77" s="33"/>
      <c r="L77" s="5"/>
    </row>
    <row r="78" spans="1:20" hidden="1" x14ac:dyDescent="0.25">
      <c r="A78" s="33"/>
      <c r="B78" s="5"/>
      <c r="C78" s="6"/>
      <c r="D78" s="50"/>
      <c r="E78" s="78"/>
      <c r="F78" s="33"/>
      <c r="G78" s="2"/>
      <c r="H78" s="2"/>
      <c r="I78" s="2"/>
      <c r="J78" s="54"/>
      <c r="K78" s="33"/>
      <c r="L78" s="2"/>
    </row>
    <row r="79" spans="1:20" hidden="1" x14ac:dyDescent="0.25">
      <c r="A79" s="33"/>
      <c r="B79" s="5"/>
      <c r="C79" s="6"/>
      <c r="D79" s="50"/>
      <c r="E79" s="78"/>
      <c r="F79" s="33"/>
      <c r="G79" s="2"/>
      <c r="H79" s="2"/>
      <c r="I79" s="2"/>
      <c r="J79" s="54"/>
      <c r="K79" s="33"/>
      <c r="L79" s="2"/>
    </row>
    <row r="80" spans="1:20" ht="16.5" hidden="1" x14ac:dyDescent="0.3">
      <c r="A80" s="33"/>
      <c r="B80" s="5"/>
      <c r="C80" s="6"/>
      <c r="D80" s="50"/>
      <c r="E80" s="78"/>
      <c r="F80" s="36"/>
      <c r="G80" s="2"/>
      <c r="H80" s="2"/>
      <c r="I80" s="2"/>
      <c r="J80" s="54"/>
      <c r="K80" s="36"/>
      <c r="L80" s="2"/>
    </row>
    <row r="81" spans="1:20" ht="16.5" hidden="1" x14ac:dyDescent="0.3">
      <c r="A81" s="36"/>
      <c r="B81" s="5"/>
      <c r="C81" s="6"/>
      <c r="D81" s="14"/>
      <c r="E81" s="78"/>
      <c r="F81" s="36"/>
      <c r="G81" s="2"/>
      <c r="H81" s="2"/>
      <c r="I81" s="2"/>
      <c r="J81" s="54"/>
      <c r="K81" s="36"/>
      <c r="L81" s="2"/>
    </row>
    <row r="82" spans="1:20" hidden="1" x14ac:dyDescent="0.25">
      <c r="A82" s="3" t="s">
        <v>2</v>
      </c>
      <c r="B82" s="5">
        <f>SUM(B74:B81)</f>
        <v>0</v>
      </c>
      <c r="C82" s="6"/>
      <c r="D82" s="14">
        <f>SUM(D74:D81)</f>
        <v>0</v>
      </c>
      <c r="E82" s="78"/>
      <c r="F82" s="3" t="s">
        <v>2</v>
      </c>
      <c r="G82" s="5">
        <f>SUM(G74:G81)</f>
        <v>0</v>
      </c>
      <c r="H82" s="6"/>
      <c r="I82" s="7">
        <f t="shared" ref="I82" si="5">SUM(I74:I81)</f>
        <v>0</v>
      </c>
      <c r="J82" s="55"/>
      <c r="K82" s="3" t="s">
        <v>2</v>
      </c>
      <c r="L82" s="5">
        <f>SUM(L74:L81)</f>
        <v>0</v>
      </c>
    </row>
    <row r="83" spans="1:20" hidden="1" x14ac:dyDescent="0.25"/>
    <row r="84" spans="1:20" hidden="1" x14ac:dyDescent="0.25"/>
    <row r="85" spans="1:20" ht="15" hidden="1" customHeight="1" x14ac:dyDescent="0.25">
      <c r="A85" s="82" t="s">
        <v>19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4"/>
      <c r="N85" s="38"/>
      <c r="O85" s="9"/>
      <c r="P85" s="9"/>
      <c r="Q85" s="9"/>
      <c r="R85" s="9"/>
      <c r="S85" s="38"/>
      <c r="T85" s="9"/>
    </row>
    <row r="86" spans="1:20" hidden="1" x14ac:dyDescent="0.25">
      <c r="A86" s="77" t="s">
        <v>102</v>
      </c>
      <c r="B86" s="77"/>
      <c r="C86" s="77"/>
      <c r="D86" s="77"/>
      <c r="E86" s="78"/>
      <c r="F86" s="77" t="s">
        <v>103</v>
      </c>
      <c r="G86" s="77"/>
      <c r="H86" s="77"/>
      <c r="I86" s="77"/>
      <c r="J86" s="53"/>
      <c r="K86" s="77" t="s">
        <v>25</v>
      </c>
      <c r="L86" s="77"/>
      <c r="N86" s="38"/>
      <c r="O86" s="9"/>
      <c r="P86" s="9"/>
      <c r="Q86" s="9"/>
      <c r="R86" s="9"/>
      <c r="S86" s="38"/>
      <c r="T86" s="9"/>
    </row>
    <row r="87" spans="1:20" hidden="1" x14ac:dyDescent="0.25">
      <c r="A87" s="28" t="s">
        <v>90</v>
      </c>
      <c r="B87" s="3" t="s">
        <v>3</v>
      </c>
      <c r="C87" s="3" t="s">
        <v>0</v>
      </c>
      <c r="D87" s="3" t="s">
        <v>1</v>
      </c>
      <c r="E87" s="78"/>
      <c r="F87" s="28" t="s">
        <v>90</v>
      </c>
      <c r="G87" s="3" t="s">
        <v>105</v>
      </c>
      <c r="H87" s="3" t="s">
        <v>0</v>
      </c>
      <c r="I87" s="3" t="s">
        <v>1</v>
      </c>
      <c r="J87" s="53"/>
      <c r="K87" s="3" t="s">
        <v>90</v>
      </c>
      <c r="L87" s="3" t="s">
        <v>105</v>
      </c>
      <c r="N87" s="38"/>
      <c r="O87" s="9"/>
      <c r="P87" s="9"/>
      <c r="Q87" s="9"/>
      <c r="R87" s="9"/>
      <c r="S87" s="38"/>
      <c r="T87" s="9"/>
    </row>
    <row r="88" spans="1:20" hidden="1" x14ac:dyDescent="0.25">
      <c r="A88" s="33"/>
      <c r="B88" s="34"/>
      <c r="C88" s="5" t="e">
        <f>B88/D88</f>
        <v>#DIV/0!</v>
      </c>
      <c r="D88" s="50"/>
      <c r="E88" s="78"/>
      <c r="F88" s="33"/>
      <c r="G88" s="6"/>
      <c r="H88" s="5" t="e">
        <f>G88/I88</f>
        <v>#DIV/0!</v>
      </c>
      <c r="I88" s="6"/>
      <c r="J88" s="52"/>
      <c r="K88" s="33"/>
      <c r="L88" s="5"/>
    </row>
    <row r="89" spans="1:20" hidden="1" x14ac:dyDescent="0.25">
      <c r="A89" s="33"/>
      <c r="B89" s="34"/>
      <c r="C89" s="6"/>
      <c r="D89" s="50"/>
      <c r="E89" s="78"/>
      <c r="F89" s="33"/>
      <c r="G89" s="6"/>
      <c r="H89" s="5"/>
      <c r="I89" s="6"/>
      <c r="J89" s="52"/>
      <c r="K89" s="33"/>
      <c r="L89" s="5"/>
    </row>
    <row r="90" spans="1:20" hidden="1" x14ac:dyDescent="0.25">
      <c r="A90" s="33"/>
      <c r="B90" s="34"/>
      <c r="C90" s="6"/>
      <c r="D90" s="50"/>
      <c r="E90" s="78"/>
      <c r="F90" s="33"/>
      <c r="G90" s="6"/>
      <c r="H90" s="5"/>
      <c r="I90" s="6"/>
      <c r="J90" s="52"/>
      <c r="K90" s="33"/>
      <c r="L90" s="5"/>
    </row>
    <row r="91" spans="1:20" hidden="1" x14ac:dyDescent="0.25">
      <c r="A91" s="33"/>
      <c r="B91" s="34"/>
      <c r="C91" s="6"/>
      <c r="D91" s="50"/>
      <c r="E91" s="78"/>
      <c r="F91" s="33"/>
      <c r="G91" s="6"/>
      <c r="H91" s="5"/>
      <c r="I91" s="6"/>
      <c r="J91" s="52"/>
      <c r="K91" s="33"/>
      <c r="L91" s="5"/>
    </row>
    <row r="92" spans="1:20" hidden="1" x14ac:dyDescent="0.25">
      <c r="A92" s="33"/>
      <c r="B92" s="5"/>
      <c r="C92" s="6"/>
      <c r="D92" s="50"/>
      <c r="E92" s="78"/>
      <c r="F92" s="33"/>
      <c r="G92" s="2"/>
      <c r="H92" s="2"/>
      <c r="I92" s="2"/>
      <c r="J92" s="54"/>
      <c r="K92" s="33"/>
      <c r="L92" s="2"/>
    </row>
    <row r="93" spans="1:20" hidden="1" x14ac:dyDescent="0.25">
      <c r="A93" s="33"/>
      <c r="B93" s="5"/>
      <c r="C93" s="6"/>
      <c r="D93" s="50"/>
      <c r="E93" s="78"/>
      <c r="F93" s="33"/>
      <c r="G93" s="2"/>
      <c r="H93" s="2"/>
      <c r="I93" s="2"/>
      <c r="J93" s="54"/>
      <c r="K93" s="33"/>
      <c r="L93" s="2"/>
    </row>
    <row r="94" spans="1:20" ht="16.5" hidden="1" x14ac:dyDescent="0.3">
      <c r="A94" s="33"/>
      <c r="B94" s="5"/>
      <c r="C94" s="6"/>
      <c r="D94" s="50"/>
      <c r="E94" s="78"/>
      <c r="F94" s="36"/>
      <c r="G94" s="2"/>
      <c r="H94" s="2"/>
      <c r="I94" s="2"/>
      <c r="J94" s="54"/>
      <c r="K94" s="36"/>
      <c r="L94" s="2"/>
    </row>
    <row r="95" spans="1:20" ht="16.5" hidden="1" x14ac:dyDescent="0.3">
      <c r="A95" s="36"/>
      <c r="B95" s="5"/>
      <c r="C95" s="6"/>
      <c r="D95" s="14"/>
      <c r="E95" s="78"/>
      <c r="F95" s="36"/>
      <c r="G95" s="2"/>
      <c r="H95" s="2"/>
      <c r="I95" s="2"/>
      <c r="J95" s="54"/>
      <c r="K95" s="36"/>
      <c r="L95" s="2"/>
    </row>
    <row r="96" spans="1:20" hidden="1" x14ac:dyDescent="0.25">
      <c r="A96" s="3" t="s">
        <v>2</v>
      </c>
      <c r="B96" s="5">
        <f>SUM(B88:B95)</f>
        <v>0</v>
      </c>
      <c r="C96" s="6"/>
      <c r="D96" s="14">
        <f>SUM(D88:D95)</f>
        <v>0</v>
      </c>
      <c r="E96" s="78"/>
      <c r="F96" s="3" t="s">
        <v>2</v>
      </c>
      <c r="G96" s="5">
        <f>SUM(G88:G95)</f>
        <v>0</v>
      </c>
      <c r="H96" s="6"/>
      <c r="I96" s="7">
        <f t="shared" ref="I96" si="6">SUM(I88:I95)</f>
        <v>0</v>
      </c>
      <c r="J96" s="55"/>
      <c r="K96" s="3" t="s">
        <v>2</v>
      </c>
      <c r="L96" s="5">
        <f>SUM(L88:L95)</f>
        <v>0</v>
      </c>
    </row>
    <row r="97" spans="1:20" hidden="1" x14ac:dyDescent="0.25"/>
    <row r="98" spans="1:20" hidden="1" x14ac:dyDescent="0.25"/>
    <row r="99" spans="1:20" ht="15" hidden="1" customHeight="1" x14ac:dyDescent="0.25">
      <c r="A99" s="82" t="s">
        <v>20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4"/>
      <c r="N99" s="38"/>
      <c r="O99" s="9"/>
      <c r="P99" s="9"/>
      <c r="Q99" s="9"/>
      <c r="R99" s="9"/>
      <c r="S99" s="38"/>
      <c r="T99" s="9"/>
    </row>
    <row r="100" spans="1:20" hidden="1" x14ac:dyDescent="0.25">
      <c r="A100" s="77" t="s">
        <v>102</v>
      </c>
      <c r="B100" s="77"/>
      <c r="C100" s="77"/>
      <c r="D100" s="77"/>
      <c r="E100" s="78"/>
      <c r="F100" s="77" t="s">
        <v>103</v>
      </c>
      <c r="G100" s="77"/>
      <c r="H100" s="77"/>
      <c r="I100" s="77"/>
      <c r="J100" s="53"/>
      <c r="K100" s="77" t="s">
        <v>25</v>
      </c>
      <c r="L100" s="77"/>
      <c r="N100" s="38"/>
      <c r="O100" s="9"/>
      <c r="P100" s="9"/>
      <c r="Q100" s="9"/>
      <c r="R100" s="9"/>
      <c r="S100" s="38"/>
      <c r="T100" s="9"/>
    </row>
    <row r="101" spans="1:20" hidden="1" x14ac:dyDescent="0.25">
      <c r="A101" s="28" t="s">
        <v>90</v>
      </c>
      <c r="B101" s="3" t="s">
        <v>3</v>
      </c>
      <c r="C101" s="3" t="s">
        <v>0</v>
      </c>
      <c r="D101" s="3" t="s">
        <v>1</v>
      </c>
      <c r="E101" s="78"/>
      <c r="F101" s="28" t="s">
        <v>90</v>
      </c>
      <c r="G101" s="3" t="s">
        <v>105</v>
      </c>
      <c r="H101" s="3" t="s">
        <v>0</v>
      </c>
      <c r="I101" s="3" t="s">
        <v>1</v>
      </c>
      <c r="J101" s="53"/>
      <c r="K101" s="3" t="s">
        <v>90</v>
      </c>
      <c r="L101" s="3" t="s">
        <v>105</v>
      </c>
      <c r="N101" s="38"/>
      <c r="O101" s="9"/>
      <c r="P101" s="9"/>
      <c r="Q101" s="9"/>
      <c r="R101" s="9"/>
      <c r="S101" s="38"/>
      <c r="T101" s="9"/>
    </row>
    <row r="102" spans="1:20" hidden="1" x14ac:dyDescent="0.25">
      <c r="A102" s="33"/>
      <c r="B102" s="34"/>
      <c r="C102" s="5" t="e">
        <f>B102/D102</f>
        <v>#DIV/0!</v>
      </c>
      <c r="D102" s="50"/>
      <c r="E102" s="78"/>
      <c r="F102" s="33"/>
      <c r="G102" s="6"/>
      <c r="H102" s="5" t="e">
        <f>G102/I102</f>
        <v>#DIV/0!</v>
      </c>
      <c r="I102" s="6"/>
      <c r="J102" s="52"/>
      <c r="K102" s="33"/>
      <c r="L102" s="5"/>
    </row>
    <row r="103" spans="1:20" hidden="1" x14ac:dyDescent="0.25">
      <c r="A103" s="33"/>
      <c r="B103" s="34"/>
      <c r="C103" s="6"/>
      <c r="D103" s="50"/>
      <c r="E103" s="78"/>
      <c r="F103" s="33"/>
      <c r="G103" s="6"/>
      <c r="H103" s="5"/>
      <c r="I103" s="6"/>
      <c r="J103" s="52"/>
      <c r="K103" s="33"/>
      <c r="L103" s="5"/>
    </row>
    <row r="104" spans="1:20" hidden="1" x14ac:dyDescent="0.25">
      <c r="A104" s="33"/>
      <c r="B104" s="34"/>
      <c r="C104" s="6"/>
      <c r="D104" s="50"/>
      <c r="E104" s="78"/>
      <c r="F104" s="33"/>
      <c r="G104" s="6"/>
      <c r="H104" s="5"/>
      <c r="I104" s="6"/>
      <c r="J104" s="52"/>
      <c r="K104" s="33"/>
      <c r="L104" s="5"/>
    </row>
    <row r="105" spans="1:20" hidden="1" x14ac:dyDescent="0.25">
      <c r="A105" s="33"/>
      <c r="B105" s="34"/>
      <c r="C105" s="6"/>
      <c r="D105" s="50"/>
      <c r="E105" s="78"/>
      <c r="F105" s="33"/>
      <c r="G105" s="6"/>
      <c r="H105" s="5"/>
      <c r="I105" s="6"/>
      <c r="J105" s="52"/>
      <c r="K105" s="33"/>
      <c r="L105" s="5"/>
    </row>
    <row r="106" spans="1:20" hidden="1" x14ac:dyDescent="0.25">
      <c r="A106" s="33"/>
      <c r="B106" s="5"/>
      <c r="C106" s="6"/>
      <c r="D106" s="50"/>
      <c r="E106" s="78"/>
      <c r="F106" s="33"/>
      <c r="G106" s="2"/>
      <c r="H106" s="2"/>
      <c r="I106" s="2"/>
      <c r="J106" s="54"/>
      <c r="K106" s="33"/>
      <c r="L106" s="2"/>
    </row>
    <row r="107" spans="1:20" hidden="1" x14ac:dyDescent="0.25">
      <c r="A107" s="33"/>
      <c r="B107" s="5"/>
      <c r="C107" s="6"/>
      <c r="D107" s="50"/>
      <c r="E107" s="78"/>
      <c r="F107" s="33"/>
      <c r="G107" s="2"/>
      <c r="H107" s="2"/>
      <c r="I107" s="2"/>
      <c r="J107" s="54"/>
      <c r="K107" s="33"/>
      <c r="L107" s="2"/>
    </row>
    <row r="108" spans="1:20" ht="16.5" hidden="1" x14ac:dyDescent="0.3">
      <c r="A108" s="33"/>
      <c r="B108" s="5"/>
      <c r="C108" s="6"/>
      <c r="D108" s="50"/>
      <c r="E108" s="78"/>
      <c r="F108" s="36"/>
      <c r="G108" s="2"/>
      <c r="H108" s="2"/>
      <c r="I108" s="2"/>
      <c r="J108" s="54"/>
      <c r="K108" s="36"/>
      <c r="L108" s="2"/>
    </row>
    <row r="109" spans="1:20" ht="16.5" hidden="1" x14ac:dyDescent="0.3">
      <c r="A109" s="36"/>
      <c r="B109" s="5"/>
      <c r="C109" s="6"/>
      <c r="D109" s="14"/>
      <c r="E109" s="78"/>
      <c r="F109" s="36"/>
      <c r="G109" s="2"/>
      <c r="H109" s="2"/>
      <c r="I109" s="2"/>
      <c r="J109" s="54"/>
      <c r="K109" s="36"/>
      <c r="L109" s="2"/>
    </row>
    <row r="110" spans="1:20" hidden="1" x14ac:dyDescent="0.25">
      <c r="A110" s="3" t="s">
        <v>2</v>
      </c>
      <c r="B110" s="5">
        <f>SUM(B102:B109)</f>
        <v>0</v>
      </c>
      <c r="C110" s="6"/>
      <c r="D110" s="14">
        <f>SUM(D102:D109)</f>
        <v>0</v>
      </c>
      <c r="E110" s="78"/>
      <c r="F110" s="3" t="s">
        <v>2</v>
      </c>
      <c r="G110" s="5">
        <f>SUM(G102:G109)</f>
        <v>0</v>
      </c>
      <c r="H110" s="6"/>
      <c r="I110" s="7">
        <f t="shared" ref="I110" si="7">SUM(I102:I109)</f>
        <v>0</v>
      </c>
      <c r="J110" s="55"/>
      <c r="K110" s="3" t="s">
        <v>2</v>
      </c>
      <c r="L110" s="5">
        <f>SUM(L102:L109)</f>
        <v>0</v>
      </c>
    </row>
    <row r="111" spans="1:20" hidden="1" x14ac:dyDescent="0.25"/>
    <row r="112" spans="1:20" hidden="1" x14ac:dyDescent="0.25"/>
    <row r="113" spans="1:20" ht="15" hidden="1" customHeight="1" x14ac:dyDescent="0.25">
      <c r="A113" s="82" t="s">
        <v>20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4"/>
      <c r="N113" s="38"/>
      <c r="O113" s="9"/>
      <c r="P113" s="9"/>
      <c r="Q113" s="9"/>
      <c r="R113" s="9"/>
      <c r="S113" s="38"/>
      <c r="T113" s="9"/>
    </row>
    <row r="114" spans="1:20" hidden="1" x14ac:dyDescent="0.25">
      <c r="A114" s="77" t="s">
        <v>102</v>
      </c>
      <c r="B114" s="77"/>
      <c r="C114" s="77"/>
      <c r="D114" s="77"/>
      <c r="E114" s="78"/>
      <c r="F114" s="77" t="s">
        <v>103</v>
      </c>
      <c r="G114" s="77"/>
      <c r="H114" s="77"/>
      <c r="I114" s="77"/>
      <c r="J114" s="53"/>
      <c r="K114" s="77" t="s">
        <v>25</v>
      </c>
      <c r="L114" s="77"/>
      <c r="N114" s="38"/>
      <c r="O114" s="9"/>
      <c r="P114" s="9"/>
      <c r="Q114" s="9"/>
      <c r="R114" s="9"/>
      <c r="S114" s="38"/>
      <c r="T114" s="9"/>
    </row>
    <row r="115" spans="1:20" hidden="1" x14ac:dyDescent="0.25">
      <c r="A115" s="28" t="s">
        <v>90</v>
      </c>
      <c r="B115" s="3" t="s">
        <v>3</v>
      </c>
      <c r="C115" s="3" t="s">
        <v>0</v>
      </c>
      <c r="D115" s="3" t="s">
        <v>1</v>
      </c>
      <c r="E115" s="78"/>
      <c r="F115" s="28" t="s">
        <v>90</v>
      </c>
      <c r="G115" s="3" t="s">
        <v>105</v>
      </c>
      <c r="H115" s="3" t="s">
        <v>0</v>
      </c>
      <c r="I115" s="3" t="s">
        <v>1</v>
      </c>
      <c r="J115" s="53"/>
      <c r="K115" s="3" t="s">
        <v>90</v>
      </c>
      <c r="L115" s="3" t="s">
        <v>105</v>
      </c>
      <c r="N115" s="38"/>
      <c r="O115" s="9"/>
      <c r="P115" s="9"/>
      <c r="Q115" s="9"/>
      <c r="R115" s="9"/>
      <c r="S115" s="38"/>
      <c r="T115" s="9"/>
    </row>
    <row r="116" spans="1:20" hidden="1" x14ac:dyDescent="0.25">
      <c r="A116" s="33"/>
      <c r="B116" s="34"/>
      <c r="C116" s="5" t="e">
        <f>B116/D116</f>
        <v>#DIV/0!</v>
      </c>
      <c r="D116" s="50"/>
      <c r="E116" s="78"/>
      <c r="F116" s="33"/>
      <c r="G116" s="6"/>
      <c r="H116" s="5" t="e">
        <f>G116/I116</f>
        <v>#DIV/0!</v>
      </c>
      <c r="I116" s="6"/>
      <c r="J116" s="52"/>
      <c r="K116" s="33"/>
      <c r="L116" s="5"/>
    </row>
    <row r="117" spans="1:20" hidden="1" x14ac:dyDescent="0.25">
      <c r="A117" s="33"/>
      <c r="B117" s="34"/>
      <c r="C117" s="6"/>
      <c r="D117" s="50"/>
      <c r="E117" s="78"/>
      <c r="F117" s="33"/>
      <c r="G117" s="6"/>
      <c r="H117" s="5"/>
      <c r="I117" s="6"/>
      <c r="J117" s="52"/>
      <c r="K117" s="33"/>
      <c r="L117" s="5"/>
    </row>
    <row r="118" spans="1:20" hidden="1" x14ac:dyDescent="0.25">
      <c r="A118" s="33"/>
      <c r="B118" s="34"/>
      <c r="C118" s="6"/>
      <c r="D118" s="50"/>
      <c r="E118" s="78"/>
      <c r="F118" s="33"/>
      <c r="G118" s="6"/>
      <c r="H118" s="5"/>
      <c r="I118" s="6"/>
      <c r="J118" s="52"/>
      <c r="K118" s="33"/>
      <c r="L118" s="5"/>
    </row>
    <row r="119" spans="1:20" hidden="1" x14ac:dyDescent="0.25">
      <c r="A119" s="33"/>
      <c r="B119" s="34"/>
      <c r="C119" s="6"/>
      <c r="D119" s="50"/>
      <c r="E119" s="78"/>
      <c r="F119" s="33"/>
      <c r="G119" s="6"/>
      <c r="H119" s="5"/>
      <c r="I119" s="6"/>
      <c r="J119" s="52"/>
      <c r="K119" s="33"/>
      <c r="L119" s="5"/>
    </row>
    <row r="120" spans="1:20" hidden="1" x14ac:dyDescent="0.25">
      <c r="A120" s="33"/>
      <c r="B120" s="5"/>
      <c r="C120" s="6"/>
      <c r="D120" s="50"/>
      <c r="E120" s="78"/>
      <c r="F120" s="33"/>
      <c r="G120" s="2"/>
      <c r="H120" s="2"/>
      <c r="I120" s="2"/>
      <c r="J120" s="54"/>
      <c r="K120" s="33"/>
      <c r="L120" s="2"/>
    </row>
    <row r="121" spans="1:20" hidden="1" x14ac:dyDescent="0.25">
      <c r="A121" s="33"/>
      <c r="B121" s="5"/>
      <c r="C121" s="6"/>
      <c r="D121" s="50"/>
      <c r="E121" s="78"/>
      <c r="F121" s="33"/>
      <c r="G121" s="2"/>
      <c r="H121" s="2"/>
      <c r="I121" s="2"/>
      <c r="J121" s="54"/>
      <c r="K121" s="33"/>
      <c r="L121" s="2"/>
    </row>
    <row r="122" spans="1:20" ht="16.5" hidden="1" x14ac:dyDescent="0.3">
      <c r="A122" s="33"/>
      <c r="B122" s="5"/>
      <c r="C122" s="6"/>
      <c r="D122" s="50"/>
      <c r="E122" s="78"/>
      <c r="F122" s="36"/>
      <c r="G122" s="2"/>
      <c r="H122" s="2"/>
      <c r="I122" s="2"/>
      <c r="J122" s="54"/>
      <c r="K122" s="36"/>
      <c r="L122" s="2"/>
    </row>
    <row r="123" spans="1:20" ht="16.5" hidden="1" x14ac:dyDescent="0.3">
      <c r="A123" s="36"/>
      <c r="B123" s="5"/>
      <c r="C123" s="6"/>
      <c r="D123" s="14"/>
      <c r="E123" s="78"/>
      <c r="F123" s="36"/>
      <c r="G123" s="2"/>
      <c r="H123" s="2"/>
      <c r="I123" s="2"/>
      <c r="J123" s="54"/>
      <c r="K123" s="36"/>
      <c r="L123" s="2"/>
    </row>
    <row r="124" spans="1:20" hidden="1" x14ac:dyDescent="0.25">
      <c r="A124" s="3" t="s">
        <v>2</v>
      </c>
      <c r="B124" s="5">
        <f>SUM(B116:B123)</f>
        <v>0</v>
      </c>
      <c r="C124" s="6"/>
      <c r="D124" s="14">
        <f>SUM(D116:D123)</f>
        <v>0</v>
      </c>
      <c r="E124" s="78"/>
      <c r="F124" s="3" t="s">
        <v>2</v>
      </c>
      <c r="G124" s="5">
        <f>SUM(G116:G123)</f>
        <v>0</v>
      </c>
      <c r="H124" s="6"/>
      <c r="I124" s="7">
        <f t="shared" ref="I124" si="8">SUM(I116:I123)</f>
        <v>0</v>
      </c>
      <c r="J124" s="55"/>
      <c r="K124" s="3" t="s">
        <v>2</v>
      </c>
      <c r="L124" s="5">
        <f>SUM(L116:L123)</f>
        <v>0</v>
      </c>
    </row>
    <row r="125" spans="1:20" hidden="1" x14ac:dyDescent="0.25"/>
    <row r="127" spans="1:20" x14ac:dyDescent="0.25">
      <c r="A127" s="79" t="s">
        <v>110</v>
      </c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1"/>
    </row>
    <row r="128" spans="1:20" x14ac:dyDescent="0.25">
      <c r="A128" s="77" t="s">
        <v>102</v>
      </c>
      <c r="B128" s="77"/>
      <c r="C128" s="77"/>
      <c r="D128" s="77"/>
      <c r="E128" s="78"/>
      <c r="F128" s="77" t="s">
        <v>103</v>
      </c>
      <c r="G128" s="77"/>
      <c r="H128" s="77"/>
      <c r="I128" s="77"/>
      <c r="J128" s="53"/>
      <c r="K128" s="77" t="s">
        <v>25</v>
      </c>
      <c r="L128" s="77"/>
    </row>
    <row r="129" spans="1:12" x14ac:dyDescent="0.25">
      <c r="A129" s="28" t="s">
        <v>90</v>
      </c>
      <c r="B129" s="3" t="s">
        <v>3</v>
      </c>
      <c r="C129" s="3" t="s">
        <v>0</v>
      </c>
      <c r="D129" s="3" t="s">
        <v>1</v>
      </c>
      <c r="E129" s="78"/>
      <c r="F129" s="28" t="s">
        <v>90</v>
      </c>
      <c r="G129" s="3" t="s">
        <v>105</v>
      </c>
      <c r="H129" s="3" t="s">
        <v>0</v>
      </c>
      <c r="I129" s="3" t="s">
        <v>1</v>
      </c>
      <c r="J129" s="53"/>
      <c r="K129" s="3" t="s">
        <v>90</v>
      </c>
      <c r="L129" s="3" t="s">
        <v>105</v>
      </c>
    </row>
    <row r="130" spans="1:12" x14ac:dyDescent="0.25">
      <c r="A130" s="33">
        <v>46174</v>
      </c>
      <c r="B130" s="34">
        <v>0.65</v>
      </c>
      <c r="C130" s="5">
        <f>B130/D130</f>
        <v>72.859990001367521</v>
      </c>
      <c r="D130" s="50">
        <v>8.9212200000000005E-3</v>
      </c>
      <c r="E130" s="78"/>
      <c r="F130" s="33"/>
      <c r="G130" s="6"/>
      <c r="H130" s="5" t="e">
        <f>G130/I130</f>
        <v>#DIV/0!</v>
      </c>
      <c r="I130" s="6"/>
      <c r="J130" s="52"/>
      <c r="K130" s="33"/>
      <c r="L130" s="5"/>
    </row>
    <row r="131" spans="1:12" x14ac:dyDescent="0.25">
      <c r="A131" s="33"/>
      <c r="B131" s="34"/>
      <c r="C131" s="5" t="e">
        <f>B131/D131</f>
        <v>#DIV/0!</v>
      </c>
      <c r="D131" s="50"/>
      <c r="E131" s="78"/>
      <c r="F131" s="33"/>
      <c r="G131" s="6"/>
      <c r="H131" s="5"/>
      <c r="I131" s="6"/>
      <c r="J131" s="52"/>
      <c r="K131" s="33"/>
      <c r="L131" s="5"/>
    </row>
    <row r="132" spans="1:12" x14ac:dyDescent="0.25">
      <c r="A132" s="33"/>
      <c r="B132" s="34"/>
      <c r="C132" s="6"/>
      <c r="D132" s="50"/>
      <c r="E132" s="78"/>
      <c r="F132" s="33"/>
      <c r="G132" s="6"/>
      <c r="H132" s="5"/>
      <c r="I132" s="6"/>
      <c r="J132" s="52"/>
      <c r="K132" s="33"/>
      <c r="L132" s="5"/>
    </row>
    <row r="133" spans="1:12" x14ac:dyDescent="0.25">
      <c r="A133" s="33"/>
      <c r="B133" s="34"/>
      <c r="C133" s="6"/>
      <c r="D133" s="50"/>
      <c r="E133" s="78"/>
      <c r="F133" s="33"/>
      <c r="G133" s="6"/>
      <c r="H133" s="5"/>
      <c r="I133" s="6"/>
      <c r="J133" s="52"/>
      <c r="K133" s="33"/>
      <c r="L133" s="5"/>
    </row>
    <row r="134" spans="1:12" x14ac:dyDescent="0.25">
      <c r="A134" s="33"/>
      <c r="B134" s="5"/>
      <c r="C134" s="6"/>
      <c r="D134" s="50"/>
      <c r="E134" s="78"/>
      <c r="F134" s="33"/>
      <c r="G134" s="2"/>
      <c r="H134" s="2"/>
      <c r="I134" s="2"/>
      <c r="J134" s="54"/>
      <c r="K134" s="33"/>
      <c r="L134" s="2"/>
    </row>
    <row r="135" spans="1:12" x14ac:dyDescent="0.25">
      <c r="A135" s="33"/>
      <c r="B135" s="5"/>
      <c r="C135" s="6"/>
      <c r="D135" s="50"/>
      <c r="E135" s="78"/>
      <c r="F135" s="33"/>
      <c r="G135" s="2"/>
      <c r="H135" s="2"/>
      <c r="I135" s="2"/>
      <c r="J135" s="54"/>
      <c r="K135" s="33"/>
      <c r="L135" s="2"/>
    </row>
    <row r="136" spans="1:12" ht="16.5" x14ac:dyDescent="0.3">
      <c r="A136" s="33"/>
      <c r="B136" s="5"/>
      <c r="C136" s="6"/>
      <c r="D136" s="50"/>
      <c r="E136" s="78"/>
      <c r="F136" s="36"/>
      <c r="G136" s="2"/>
      <c r="H136" s="2"/>
      <c r="I136" s="2"/>
      <c r="J136" s="54"/>
      <c r="K136" s="36"/>
      <c r="L136" s="2"/>
    </row>
    <row r="137" spans="1:12" ht="16.5" x14ac:dyDescent="0.3">
      <c r="A137" s="36"/>
      <c r="B137" s="5"/>
      <c r="C137" s="6"/>
      <c r="D137" s="14"/>
      <c r="E137" s="78"/>
      <c r="F137" s="36"/>
      <c r="G137" s="2"/>
      <c r="H137" s="2"/>
      <c r="I137" s="2"/>
      <c r="J137" s="54"/>
      <c r="K137" s="36"/>
      <c r="L137" s="2"/>
    </row>
    <row r="138" spans="1:12" x14ac:dyDescent="0.25">
      <c r="A138" s="3" t="s">
        <v>2</v>
      </c>
      <c r="B138" s="5">
        <f>SUM(B130:B137)</f>
        <v>0.65</v>
      </c>
      <c r="C138" s="6"/>
      <c r="D138" s="14">
        <f>SUM(D130:D137)</f>
        <v>8.9212200000000005E-3</v>
      </c>
      <c r="E138" s="78"/>
      <c r="F138" s="3" t="s">
        <v>2</v>
      </c>
      <c r="G138" s="5">
        <f>SUM(G130:G137)</f>
        <v>0</v>
      </c>
      <c r="H138" s="6"/>
      <c r="I138" s="14">
        <f t="shared" ref="I138" si="9">SUM(I130:I137)</f>
        <v>0</v>
      </c>
      <c r="J138" s="55"/>
      <c r="K138" s="3" t="s">
        <v>2</v>
      </c>
      <c r="L138" s="5">
        <f>SUM(L130:L137)</f>
        <v>0</v>
      </c>
    </row>
    <row r="141" spans="1:12" x14ac:dyDescent="0.25">
      <c r="A141" s="79" t="s">
        <v>111</v>
      </c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1"/>
    </row>
    <row r="142" spans="1:12" x14ac:dyDescent="0.25">
      <c r="A142" s="77" t="s">
        <v>102</v>
      </c>
      <c r="B142" s="77"/>
      <c r="C142" s="77"/>
      <c r="D142" s="77"/>
      <c r="E142" s="78"/>
      <c r="F142" s="77" t="s">
        <v>103</v>
      </c>
      <c r="G142" s="77"/>
      <c r="H142" s="77"/>
      <c r="I142" s="77"/>
      <c r="J142" s="53"/>
      <c r="K142" s="77" t="s">
        <v>25</v>
      </c>
      <c r="L142" s="77"/>
    </row>
    <row r="143" spans="1:12" x14ac:dyDescent="0.25">
      <c r="A143" s="28" t="s">
        <v>90</v>
      </c>
      <c r="B143" s="3" t="s">
        <v>3</v>
      </c>
      <c r="C143" s="3" t="s">
        <v>0</v>
      </c>
      <c r="D143" s="3" t="s">
        <v>1</v>
      </c>
      <c r="E143" s="78"/>
      <c r="F143" s="28" t="s">
        <v>90</v>
      </c>
      <c r="G143" s="3" t="s">
        <v>105</v>
      </c>
      <c r="H143" s="3" t="s">
        <v>0</v>
      </c>
      <c r="I143" s="3" t="s">
        <v>1</v>
      </c>
      <c r="J143" s="53"/>
      <c r="K143" s="3" t="s">
        <v>90</v>
      </c>
      <c r="L143" s="3" t="s">
        <v>105</v>
      </c>
    </row>
    <row r="144" spans="1:12" x14ac:dyDescent="0.25">
      <c r="A144" s="33">
        <v>46174</v>
      </c>
      <c r="B144" s="34">
        <v>0.55000000000000004</v>
      </c>
      <c r="C144" s="5">
        <f>B144/D144</f>
        <v>17.910000618709113</v>
      </c>
      <c r="D144" s="50">
        <v>3.07091E-2</v>
      </c>
      <c r="E144" s="78"/>
      <c r="F144" s="33"/>
      <c r="G144" s="6"/>
      <c r="H144" s="5"/>
      <c r="I144" s="6"/>
      <c r="J144" s="52"/>
      <c r="K144" s="33"/>
      <c r="L144" s="5"/>
    </row>
    <row r="145" spans="1:12" x14ac:dyDescent="0.25">
      <c r="A145" s="33"/>
      <c r="B145" s="34"/>
      <c r="C145" s="5" t="e">
        <f>B145/D145</f>
        <v>#DIV/0!</v>
      </c>
      <c r="D145" s="50"/>
      <c r="E145" s="78"/>
      <c r="F145" s="33"/>
      <c r="G145" s="6"/>
      <c r="H145" s="5"/>
      <c r="I145" s="6"/>
      <c r="J145" s="52"/>
      <c r="K145" s="33"/>
      <c r="L145" s="5"/>
    </row>
    <row r="146" spans="1:12" x14ac:dyDescent="0.25">
      <c r="A146" s="33"/>
      <c r="B146" s="34"/>
      <c r="C146" s="5" t="e">
        <f>B146/D146</f>
        <v>#DIV/0!</v>
      </c>
      <c r="D146" s="50"/>
      <c r="E146" s="78"/>
      <c r="F146" s="33"/>
      <c r="G146" s="6"/>
      <c r="H146" s="5"/>
      <c r="I146" s="6"/>
      <c r="J146" s="52"/>
      <c r="K146" s="33"/>
      <c r="L146" s="5"/>
    </row>
    <row r="147" spans="1:12" x14ac:dyDescent="0.25">
      <c r="A147" s="33"/>
      <c r="B147" s="34"/>
      <c r="C147" s="6"/>
      <c r="D147" s="50"/>
      <c r="E147" s="78"/>
      <c r="F147" s="33"/>
      <c r="G147" s="6"/>
      <c r="H147" s="5"/>
      <c r="I147" s="6"/>
      <c r="J147" s="52"/>
      <c r="K147" s="33"/>
      <c r="L147" s="5"/>
    </row>
    <row r="148" spans="1:12" x14ac:dyDescent="0.25">
      <c r="A148" s="33"/>
      <c r="B148" s="5"/>
      <c r="C148" s="6"/>
      <c r="D148" s="50"/>
      <c r="E148" s="78"/>
      <c r="F148" s="33"/>
      <c r="G148" s="2"/>
      <c r="H148" s="2"/>
      <c r="I148" s="2"/>
      <c r="J148" s="54"/>
      <c r="K148" s="33"/>
      <c r="L148" s="2"/>
    </row>
    <row r="149" spans="1:12" x14ac:dyDescent="0.25">
      <c r="A149" s="33"/>
      <c r="B149" s="5"/>
      <c r="C149" s="6"/>
      <c r="D149" s="50"/>
      <c r="E149" s="78"/>
      <c r="F149" s="33"/>
      <c r="G149" s="2"/>
      <c r="H149" s="2"/>
      <c r="I149" s="2"/>
      <c r="J149" s="54"/>
      <c r="K149" s="33"/>
      <c r="L149" s="2"/>
    </row>
    <row r="150" spans="1:12" ht="16.5" x14ac:dyDescent="0.3">
      <c r="A150" s="33"/>
      <c r="B150" s="5"/>
      <c r="C150" s="6"/>
      <c r="D150" s="50"/>
      <c r="E150" s="78"/>
      <c r="F150" s="36"/>
      <c r="G150" s="2"/>
      <c r="H150" s="2"/>
      <c r="I150" s="2"/>
      <c r="J150" s="54"/>
      <c r="K150" s="36"/>
      <c r="L150" s="2"/>
    </row>
    <row r="151" spans="1:12" ht="16.5" x14ac:dyDescent="0.3">
      <c r="A151" s="36"/>
      <c r="B151" s="5"/>
      <c r="C151" s="6"/>
      <c r="D151" s="14"/>
      <c r="E151" s="78"/>
      <c r="F151" s="36"/>
      <c r="G151" s="2"/>
      <c r="H151" s="2"/>
      <c r="I151" s="2"/>
      <c r="J151" s="54"/>
      <c r="K151" s="36"/>
      <c r="L151" s="2"/>
    </row>
    <row r="152" spans="1:12" x14ac:dyDescent="0.25">
      <c r="A152" s="3" t="s">
        <v>2</v>
      </c>
      <c r="B152" s="5">
        <f>SUM(B144:B151)</f>
        <v>0.55000000000000004</v>
      </c>
      <c r="C152" s="6"/>
      <c r="D152" s="14">
        <f>SUM(D144:D151)</f>
        <v>3.07091E-2</v>
      </c>
      <c r="E152" s="78"/>
      <c r="F152" s="3" t="s">
        <v>2</v>
      </c>
      <c r="G152" s="5">
        <f>SUM(G144:G151)</f>
        <v>0</v>
      </c>
      <c r="H152" s="6"/>
      <c r="I152" s="7">
        <f t="shared" ref="I152" si="10">SUM(I144:I151)</f>
        <v>0</v>
      </c>
      <c r="J152" s="55"/>
      <c r="K152" s="3" t="s">
        <v>2</v>
      </c>
      <c r="L152" s="5">
        <f>SUM(L144:L151)</f>
        <v>0</v>
      </c>
    </row>
    <row r="155" spans="1:12" x14ac:dyDescent="0.25">
      <c r="A155" s="79" t="s">
        <v>114</v>
      </c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1"/>
    </row>
    <row r="156" spans="1:12" x14ac:dyDescent="0.25">
      <c r="A156" s="77" t="s">
        <v>102</v>
      </c>
      <c r="B156" s="77"/>
      <c r="C156" s="77"/>
      <c r="D156" s="77"/>
      <c r="E156" s="78"/>
      <c r="F156" s="77" t="s">
        <v>103</v>
      </c>
      <c r="G156" s="77"/>
      <c r="H156" s="77"/>
      <c r="I156" s="77"/>
      <c r="J156" s="53"/>
      <c r="K156" s="77" t="s">
        <v>25</v>
      </c>
      <c r="L156" s="77"/>
    </row>
    <row r="157" spans="1:12" x14ac:dyDescent="0.25">
      <c r="A157" s="28" t="s">
        <v>90</v>
      </c>
      <c r="B157" s="3" t="s">
        <v>3</v>
      </c>
      <c r="C157" s="3" t="s">
        <v>0</v>
      </c>
      <c r="D157" s="3" t="s">
        <v>1</v>
      </c>
      <c r="E157" s="78"/>
      <c r="F157" s="28" t="s">
        <v>90</v>
      </c>
      <c r="G157" s="3" t="s">
        <v>105</v>
      </c>
      <c r="H157" s="3" t="s">
        <v>0</v>
      </c>
      <c r="I157" s="3" t="s">
        <v>1</v>
      </c>
      <c r="J157" s="53"/>
      <c r="K157" s="3" t="s">
        <v>90</v>
      </c>
      <c r="L157" s="3" t="s">
        <v>105</v>
      </c>
    </row>
    <row r="158" spans="1:12" x14ac:dyDescent="0.25">
      <c r="A158" s="33">
        <v>46174</v>
      </c>
      <c r="B158" s="34">
        <v>1.1200000000000001</v>
      </c>
      <c r="C158" s="5">
        <f>B158/D158</f>
        <v>18.089999686655364</v>
      </c>
      <c r="D158" s="50">
        <v>6.1912660000000001E-2</v>
      </c>
      <c r="E158" s="78"/>
      <c r="F158" s="33"/>
      <c r="G158" s="6"/>
      <c r="H158" s="5" t="e">
        <f>G158/I158</f>
        <v>#DIV/0!</v>
      </c>
      <c r="I158" s="6"/>
      <c r="J158" s="52"/>
      <c r="K158" s="33"/>
      <c r="L158" s="5"/>
    </row>
    <row r="159" spans="1:12" x14ac:dyDescent="0.25">
      <c r="A159" s="33"/>
      <c r="B159" s="34"/>
      <c r="C159" s="6"/>
      <c r="D159" s="50"/>
      <c r="E159" s="78"/>
      <c r="F159" s="33"/>
      <c r="G159" s="6"/>
      <c r="H159" s="5" t="e">
        <f>G159/I159</f>
        <v>#DIV/0!</v>
      </c>
      <c r="I159" s="14"/>
      <c r="J159" s="52"/>
      <c r="K159" s="33"/>
      <c r="L159" s="5"/>
    </row>
    <row r="160" spans="1:12" x14ac:dyDescent="0.25">
      <c r="A160" s="33"/>
      <c r="B160" s="34"/>
      <c r="C160" s="6"/>
      <c r="D160" s="50"/>
      <c r="E160" s="78"/>
      <c r="F160" s="33"/>
      <c r="G160" s="6"/>
      <c r="H160" s="5"/>
      <c r="I160" s="6"/>
      <c r="J160" s="52"/>
      <c r="K160" s="33"/>
      <c r="L160" s="5"/>
    </row>
    <row r="161" spans="1:12" x14ac:dyDescent="0.25">
      <c r="A161" s="33"/>
      <c r="B161" s="34"/>
      <c r="C161" s="6"/>
      <c r="D161" s="50"/>
      <c r="E161" s="78"/>
      <c r="F161" s="33"/>
      <c r="G161" s="6"/>
      <c r="H161" s="5"/>
      <c r="I161" s="6"/>
      <c r="J161" s="52"/>
      <c r="K161" s="33"/>
      <c r="L161" s="5"/>
    </row>
    <row r="162" spans="1:12" x14ac:dyDescent="0.25">
      <c r="A162" s="33"/>
      <c r="B162" s="5"/>
      <c r="C162" s="6"/>
      <c r="D162" s="50"/>
      <c r="E162" s="78"/>
      <c r="F162" s="33"/>
      <c r="G162" s="2"/>
      <c r="H162" s="2"/>
      <c r="I162" s="2"/>
      <c r="J162" s="54"/>
      <c r="K162" s="33"/>
      <c r="L162" s="2"/>
    </row>
    <row r="163" spans="1:12" x14ac:dyDescent="0.25">
      <c r="A163" s="33"/>
      <c r="B163" s="5"/>
      <c r="C163" s="6"/>
      <c r="D163" s="50"/>
      <c r="E163" s="78"/>
      <c r="F163" s="33"/>
      <c r="G163" s="2"/>
      <c r="H163" s="2"/>
      <c r="I163" s="2"/>
      <c r="J163" s="54"/>
      <c r="K163" s="33"/>
      <c r="L163" s="2"/>
    </row>
    <row r="164" spans="1:12" ht="16.5" x14ac:dyDescent="0.3">
      <c r="A164" s="33"/>
      <c r="B164" s="5"/>
      <c r="C164" s="6"/>
      <c r="D164" s="50"/>
      <c r="E164" s="78"/>
      <c r="F164" s="36"/>
      <c r="G164" s="2"/>
      <c r="H164" s="2"/>
      <c r="I164" s="2"/>
      <c r="J164" s="54"/>
      <c r="K164" s="36"/>
      <c r="L164" s="2"/>
    </row>
    <row r="165" spans="1:12" ht="16.5" x14ac:dyDescent="0.3">
      <c r="A165" s="36"/>
      <c r="B165" s="5"/>
      <c r="C165" s="6"/>
      <c r="D165" s="14"/>
      <c r="E165" s="78"/>
      <c r="F165" s="36"/>
      <c r="G165" s="2"/>
      <c r="H165" s="2"/>
      <c r="I165" s="2"/>
      <c r="J165" s="54"/>
      <c r="K165" s="36"/>
      <c r="L165" s="2"/>
    </row>
    <row r="166" spans="1:12" x14ac:dyDescent="0.25">
      <c r="A166" s="3" t="s">
        <v>2</v>
      </c>
      <c r="B166" s="5">
        <f>SUM(B158:B165)</f>
        <v>1.1200000000000001</v>
      </c>
      <c r="C166" s="6"/>
      <c r="D166" s="14">
        <f>SUM(D158:D165)</f>
        <v>6.1912660000000001E-2</v>
      </c>
      <c r="E166" s="78"/>
      <c r="F166" s="3" t="s">
        <v>2</v>
      </c>
      <c r="G166" s="5">
        <f>SUM(G158:G165)</f>
        <v>0</v>
      </c>
      <c r="H166" s="6"/>
      <c r="I166" s="14">
        <f t="shared" ref="I166" si="11">SUM(I158:I165)</f>
        <v>0</v>
      </c>
      <c r="J166" s="55"/>
      <c r="K166" s="3" t="s">
        <v>2</v>
      </c>
      <c r="L166" s="5">
        <f>SUM(L158:L165)</f>
        <v>0</v>
      </c>
    </row>
    <row r="169" spans="1:12" x14ac:dyDescent="0.25">
      <c r="A169" s="79" t="s">
        <v>116</v>
      </c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1"/>
    </row>
    <row r="170" spans="1:12" x14ac:dyDescent="0.25">
      <c r="A170" s="77" t="s">
        <v>102</v>
      </c>
      <c r="B170" s="77"/>
      <c r="C170" s="77"/>
      <c r="D170" s="77"/>
      <c r="E170" s="78"/>
      <c r="F170" s="77" t="s">
        <v>103</v>
      </c>
      <c r="G170" s="77"/>
      <c r="H170" s="77"/>
      <c r="I170" s="77"/>
      <c r="J170" s="53"/>
      <c r="K170" s="77" t="s">
        <v>25</v>
      </c>
      <c r="L170" s="77"/>
    </row>
    <row r="171" spans="1:12" x14ac:dyDescent="0.25">
      <c r="A171" s="28" t="s">
        <v>90</v>
      </c>
      <c r="B171" s="3" t="s">
        <v>3</v>
      </c>
      <c r="C171" s="3" t="s">
        <v>0</v>
      </c>
      <c r="D171" s="3" t="s">
        <v>1</v>
      </c>
      <c r="E171" s="78"/>
      <c r="F171" s="28" t="s">
        <v>90</v>
      </c>
      <c r="G171" s="3" t="s">
        <v>105</v>
      </c>
      <c r="H171" s="3" t="s">
        <v>0</v>
      </c>
      <c r="I171" s="3" t="s">
        <v>1</v>
      </c>
      <c r="J171" s="53"/>
      <c r="K171" s="3" t="s">
        <v>90</v>
      </c>
      <c r="L171" s="3" t="s">
        <v>105</v>
      </c>
    </row>
    <row r="172" spans="1:12" x14ac:dyDescent="0.25">
      <c r="A172" s="33">
        <v>46174</v>
      </c>
      <c r="B172" s="34">
        <v>0.38</v>
      </c>
      <c r="C172" s="5">
        <f>B172/D172</f>
        <v>4.9184998109613431</v>
      </c>
      <c r="D172" s="50">
        <v>7.7259330000000001E-2</v>
      </c>
      <c r="E172" s="78"/>
      <c r="F172" s="33"/>
      <c r="G172" s="6"/>
      <c r="H172" s="5" t="e">
        <f>G172/I172</f>
        <v>#DIV/0!</v>
      </c>
      <c r="I172" s="6"/>
      <c r="J172" s="52"/>
      <c r="K172" s="33"/>
      <c r="L172" s="5"/>
    </row>
    <row r="173" spans="1:12" x14ac:dyDescent="0.25">
      <c r="A173" s="33"/>
      <c r="B173" s="34"/>
      <c r="C173" s="5" t="e">
        <f>B173/D173</f>
        <v>#DIV/0!</v>
      </c>
      <c r="D173" s="50"/>
      <c r="E173" s="78"/>
      <c r="F173" s="33"/>
      <c r="G173" s="6"/>
      <c r="H173" s="5"/>
      <c r="I173" s="6"/>
      <c r="J173" s="52"/>
      <c r="K173" s="33"/>
      <c r="L173" s="5"/>
    </row>
    <row r="174" spans="1:12" x14ac:dyDescent="0.25">
      <c r="A174" s="33"/>
      <c r="B174" s="34"/>
      <c r="C174" s="6"/>
      <c r="D174" s="50"/>
      <c r="E174" s="78"/>
      <c r="F174" s="33"/>
      <c r="G174" s="6"/>
      <c r="H174" s="5"/>
      <c r="I174" s="6"/>
      <c r="J174" s="52"/>
      <c r="K174" s="33"/>
      <c r="L174" s="5"/>
    </row>
    <row r="175" spans="1:12" x14ac:dyDescent="0.25">
      <c r="A175" s="33"/>
      <c r="B175" s="34"/>
      <c r="C175" s="6"/>
      <c r="D175" s="50"/>
      <c r="E175" s="78"/>
      <c r="F175" s="33"/>
      <c r="G175" s="6"/>
      <c r="H175" s="5"/>
      <c r="I175" s="6"/>
      <c r="J175" s="52"/>
      <c r="K175" s="33"/>
      <c r="L175" s="5"/>
    </row>
    <row r="176" spans="1:12" x14ac:dyDescent="0.25">
      <c r="A176" s="33"/>
      <c r="B176" s="5"/>
      <c r="C176" s="6"/>
      <c r="D176" s="50"/>
      <c r="E176" s="78"/>
      <c r="F176" s="33"/>
      <c r="G176" s="2"/>
      <c r="H176" s="2"/>
      <c r="I176" s="2"/>
      <c r="J176" s="54"/>
      <c r="K176" s="33"/>
      <c r="L176" s="2"/>
    </row>
    <row r="177" spans="1:12" x14ac:dyDescent="0.25">
      <c r="A177" s="33"/>
      <c r="B177" s="5"/>
      <c r="C177" s="6"/>
      <c r="D177" s="50"/>
      <c r="E177" s="78"/>
      <c r="F177" s="33"/>
      <c r="G177" s="2"/>
      <c r="H177" s="2"/>
      <c r="I177" s="2"/>
      <c r="J177" s="54"/>
      <c r="K177" s="33"/>
      <c r="L177" s="2"/>
    </row>
    <row r="178" spans="1:12" ht="16.5" x14ac:dyDescent="0.3">
      <c r="A178" s="33"/>
      <c r="B178" s="5"/>
      <c r="C178" s="6"/>
      <c r="D178" s="50"/>
      <c r="E178" s="78"/>
      <c r="F178" s="36"/>
      <c r="G178" s="2"/>
      <c r="H178" s="2"/>
      <c r="I178" s="2"/>
      <c r="J178" s="54"/>
      <c r="K178" s="36"/>
      <c r="L178" s="2"/>
    </row>
    <row r="179" spans="1:12" ht="16.5" x14ac:dyDescent="0.3">
      <c r="A179" s="36"/>
      <c r="B179" s="5"/>
      <c r="C179" s="6"/>
      <c r="D179" s="14"/>
      <c r="E179" s="78"/>
      <c r="F179" s="36"/>
      <c r="G179" s="2"/>
      <c r="H179" s="2"/>
      <c r="I179" s="2"/>
      <c r="J179" s="54"/>
      <c r="K179" s="36"/>
      <c r="L179" s="2"/>
    </row>
    <row r="180" spans="1:12" x14ac:dyDescent="0.25">
      <c r="A180" s="3" t="s">
        <v>2</v>
      </c>
      <c r="B180" s="5">
        <f>SUM(B172:B179)</f>
        <v>0.38</v>
      </c>
      <c r="C180" s="6"/>
      <c r="D180" s="14">
        <f>SUM(D172:D179)</f>
        <v>7.7259330000000001E-2</v>
      </c>
      <c r="E180" s="78"/>
      <c r="F180" s="3" t="s">
        <v>2</v>
      </c>
      <c r="G180" s="5">
        <f>SUM(G172:G179)</f>
        <v>0</v>
      </c>
      <c r="H180" s="6"/>
      <c r="I180" s="14">
        <f t="shared" ref="I180" si="12">SUM(I172:I179)</f>
        <v>0</v>
      </c>
      <c r="J180" s="55"/>
      <c r="K180" s="3" t="s">
        <v>2</v>
      </c>
      <c r="L180" s="5">
        <f>SUM(L172:L179)</f>
        <v>0</v>
      </c>
    </row>
    <row r="183" spans="1:12" x14ac:dyDescent="0.25">
      <c r="A183" s="79" t="s">
        <v>118</v>
      </c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1"/>
    </row>
    <row r="184" spans="1:12" x14ac:dyDescent="0.25">
      <c r="A184" s="77" t="s">
        <v>102</v>
      </c>
      <c r="B184" s="77"/>
      <c r="C184" s="77"/>
      <c r="D184" s="77"/>
      <c r="E184" s="78"/>
      <c r="F184" s="77" t="s">
        <v>103</v>
      </c>
      <c r="G184" s="77"/>
      <c r="H184" s="77"/>
      <c r="I184" s="77"/>
      <c r="J184" s="53"/>
      <c r="K184" s="77" t="s">
        <v>25</v>
      </c>
      <c r="L184" s="77"/>
    </row>
    <row r="185" spans="1:12" x14ac:dyDescent="0.25">
      <c r="A185" s="28" t="s">
        <v>90</v>
      </c>
      <c r="B185" s="3" t="s">
        <v>3</v>
      </c>
      <c r="C185" s="3" t="s">
        <v>0</v>
      </c>
      <c r="D185" s="3" t="s">
        <v>1</v>
      </c>
      <c r="E185" s="78"/>
      <c r="F185" s="28" t="s">
        <v>90</v>
      </c>
      <c r="G185" s="3" t="s">
        <v>105</v>
      </c>
      <c r="H185" s="3" t="s">
        <v>0</v>
      </c>
      <c r="I185" s="3" t="s">
        <v>1</v>
      </c>
      <c r="J185" s="53"/>
      <c r="K185" s="3" t="s">
        <v>90</v>
      </c>
      <c r="L185" s="3" t="s">
        <v>105</v>
      </c>
    </row>
    <row r="186" spans="1:12" x14ac:dyDescent="0.25">
      <c r="A186" s="33">
        <v>46174</v>
      </c>
      <c r="B186" s="34">
        <v>0.63</v>
      </c>
      <c r="C186" s="5">
        <f>B186/D186</f>
        <v>20.550002886786121</v>
      </c>
      <c r="D186" s="50">
        <v>3.0656929999999999E-2</v>
      </c>
      <c r="E186" s="78"/>
      <c r="F186" s="33"/>
      <c r="G186" s="5"/>
      <c r="H186" s="5"/>
      <c r="I186" s="6"/>
      <c r="J186" s="52"/>
      <c r="K186" s="33"/>
      <c r="L186" s="5"/>
    </row>
    <row r="187" spans="1:12" x14ac:dyDescent="0.25">
      <c r="A187" s="33"/>
      <c r="B187" s="34"/>
      <c r="C187" s="5" t="e">
        <f>B187/D187</f>
        <v>#DIV/0!</v>
      </c>
      <c r="D187" s="50"/>
      <c r="E187" s="78"/>
      <c r="F187" s="33"/>
      <c r="G187" s="6"/>
      <c r="H187" s="5"/>
      <c r="I187" s="6"/>
      <c r="J187" s="52"/>
      <c r="K187" s="33"/>
      <c r="L187" s="5"/>
    </row>
    <row r="188" spans="1:12" x14ac:dyDescent="0.25">
      <c r="A188" s="33"/>
      <c r="B188" s="34"/>
      <c r="C188" s="6"/>
      <c r="D188" s="50"/>
      <c r="E188" s="78"/>
      <c r="F188" s="33"/>
      <c r="G188" s="6"/>
      <c r="H188" s="5"/>
      <c r="I188" s="6"/>
      <c r="J188" s="52"/>
      <c r="K188" s="33"/>
      <c r="L188" s="5"/>
    </row>
    <row r="189" spans="1:12" x14ac:dyDescent="0.25">
      <c r="A189" s="33"/>
      <c r="B189" s="34"/>
      <c r="C189" s="6"/>
      <c r="D189" s="50"/>
      <c r="E189" s="78"/>
      <c r="F189" s="33"/>
      <c r="G189" s="6"/>
      <c r="H189" s="5"/>
      <c r="I189" s="6"/>
      <c r="J189" s="52"/>
      <c r="K189" s="33"/>
      <c r="L189" s="5"/>
    </row>
    <row r="190" spans="1:12" x14ac:dyDescent="0.25">
      <c r="A190" s="33"/>
      <c r="B190" s="5"/>
      <c r="C190" s="6"/>
      <c r="D190" s="50"/>
      <c r="E190" s="78"/>
      <c r="F190" s="33"/>
      <c r="G190" s="2"/>
      <c r="H190" s="2"/>
      <c r="I190" s="2"/>
      <c r="J190" s="54"/>
      <c r="K190" s="33"/>
      <c r="L190" s="2"/>
    </row>
    <row r="191" spans="1:12" x14ac:dyDescent="0.25">
      <c r="A191" s="33"/>
      <c r="B191" s="5"/>
      <c r="C191" s="6"/>
      <c r="D191" s="50"/>
      <c r="E191" s="78"/>
      <c r="F191" s="33"/>
      <c r="G191" s="2"/>
      <c r="H191" s="2"/>
      <c r="I191" s="2"/>
      <c r="J191" s="54"/>
      <c r="K191" s="33"/>
      <c r="L191" s="2"/>
    </row>
    <row r="192" spans="1:12" ht="16.5" x14ac:dyDescent="0.3">
      <c r="A192" s="33"/>
      <c r="B192" s="5"/>
      <c r="C192" s="6"/>
      <c r="D192" s="50"/>
      <c r="E192" s="78"/>
      <c r="F192" s="36"/>
      <c r="G192" s="2"/>
      <c r="H192" s="2"/>
      <c r="I192" s="2"/>
      <c r="J192" s="54"/>
      <c r="K192" s="36"/>
      <c r="L192" s="2"/>
    </row>
    <row r="193" spans="1:12" ht="16.5" x14ac:dyDescent="0.3">
      <c r="A193" s="36"/>
      <c r="B193" s="5"/>
      <c r="C193" s="6"/>
      <c r="D193" s="14"/>
      <c r="E193" s="78"/>
      <c r="F193" s="36"/>
      <c r="G193" s="2"/>
      <c r="H193" s="2"/>
      <c r="I193" s="2"/>
      <c r="J193" s="54"/>
      <c r="K193" s="36"/>
      <c r="L193" s="2"/>
    </row>
    <row r="194" spans="1:12" x14ac:dyDescent="0.25">
      <c r="A194" s="3" t="s">
        <v>2</v>
      </c>
      <c r="B194" s="5">
        <f>SUM(B186:B193)</f>
        <v>0.63</v>
      </c>
      <c r="C194" s="6"/>
      <c r="D194" s="14">
        <f>SUM(D186:D193)</f>
        <v>3.0656929999999999E-2</v>
      </c>
      <c r="E194" s="78"/>
      <c r="F194" s="3" t="s">
        <v>2</v>
      </c>
      <c r="G194" s="5">
        <f>SUM(G186:G193)</f>
        <v>0</v>
      </c>
      <c r="H194" s="6"/>
      <c r="I194" s="14">
        <f t="shared" ref="I194" si="13">SUM(I186:I193)</f>
        <v>0</v>
      </c>
      <c r="J194" s="55"/>
      <c r="K194" s="3" t="s">
        <v>2</v>
      </c>
      <c r="L194" s="5">
        <f>SUM(L186:L193)</f>
        <v>0</v>
      </c>
    </row>
    <row r="197" spans="1:12" x14ac:dyDescent="0.25">
      <c r="A197" s="79" t="s">
        <v>120</v>
      </c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1"/>
    </row>
    <row r="198" spans="1:12" x14ac:dyDescent="0.25">
      <c r="A198" s="77" t="s">
        <v>102</v>
      </c>
      <c r="B198" s="77"/>
      <c r="C198" s="77"/>
      <c r="D198" s="77"/>
      <c r="E198" s="78"/>
      <c r="F198" s="77" t="s">
        <v>103</v>
      </c>
      <c r="G198" s="77"/>
      <c r="H198" s="77"/>
      <c r="I198" s="77"/>
      <c r="J198" s="53"/>
      <c r="K198" s="77" t="s">
        <v>25</v>
      </c>
      <c r="L198" s="77"/>
    </row>
    <row r="199" spans="1:12" x14ac:dyDescent="0.25">
      <c r="A199" s="28" t="s">
        <v>90</v>
      </c>
      <c r="B199" s="3" t="s">
        <v>3</v>
      </c>
      <c r="C199" s="3" t="s">
        <v>0</v>
      </c>
      <c r="D199" s="3" t="s">
        <v>1</v>
      </c>
      <c r="E199" s="78"/>
      <c r="F199" s="28" t="s">
        <v>90</v>
      </c>
      <c r="G199" s="3" t="s">
        <v>105</v>
      </c>
      <c r="H199" s="3" t="s">
        <v>0</v>
      </c>
      <c r="I199" s="3" t="s">
        <v>1</v>
      </c>
      <c r="J199" s="53"/>
      <c r="K199" s="3" t="s">
        <v>90</v>
      </c>
      <c r="L199" s="3" t="s">
        <v>105</v>
      </c>
    </row>
    <row r="200" spans="1:12" x14ac:dyDescent="0.25">
      <c r="A200" s="33">
        <v>46174</v>
      </c>
      <c r="B200" s="34">
        <v>2.29</v>
      </c>
      <c r="C200" s="5">
        <f>B200/D200</f>
        <v>209.79994796228365</v>
      </c>
      <c r="D200" s="50">
        <v>1.091516E-2</v>
      </c>
      <c r="E200" s="78"/>
      <c r="F200" s="33"/>
      <c r="G200" s="6"/>
      <c r="H200" s="5"/>
      <c r="I200" s="6"/>
      <c r="J200" s="52"/>
      <c r="K200" s="33"/>
      <c r="L200" s="5"/>
    </row>
    <row r="201" spans="1:12" x14ac:dyDescent="0.25">
      <c r="A201" s="33"/>
      <c r="B201" s="34"/>
      <c r="C201" s="5" t="e">
        <f>B201/D201</f>
        <v>#DIV/0!</v>
      </c>
      <c r="D201" s="50"/>
      <c r="E201" s="78"/>
      <c r="F201" s="33"/>
      <c r="G201" s="6"/>
      <c r="H201" s="5"/>
      <c r="I201" s="6"/>
      <c r="J201" s="52"/>
      <c r="K201" s="33"/>
      <c r="L201" s="5"/>
    </row>
    <row r="202" spans="1:12" x14ac:dyDescent="0.25">
      <c r="A202" s="33"/>
      <c r="B202" s="34"/>
      <c r="C202" s="5" t="e">
        <f>B202/D202</f>
        <v>#DIV/0!</v>
      </c>
      <c r="D202" s="50"/>
      <c r="E202" s="78"/>
      <c r="F202" s="33"/>
      <c r="G202" s="6"/>
      <c r="H202" s="5"/>
      <c r="I202" s="6"/>
      <c r="J202" s="52"/>
      <c r="K202" s="33"/>
      <c r="L202" s="5"/>
    </row>
    <row r="203" spans="1:12" x14ac:dyDescent="0.25">
      <c r="A203" s="33"/>
      <c r="B203" s="34"/>
      <c r="C203" s="6"/>
      <c r="D203" s="50"/>
      <c r="E203" s="78"/>
      <c r="F203" s="33"/>
      <c r="G203" s="6"/>
      <c r="H203" s="5"/>
      <c r="I203" s="6"/>
      <c r="J203" s="52"/>
      <c r="K203" s="33"/>
      <c r="L203" s="5"/>
    </row>
    <row r="204" spans="1:12" x14ac:dyDescent="0.25">
      <c r="A204" s="33"/>
      <c r="B204" s="5"/>
      <c r="C204" s="6"/>
      <c r="D204" s="50"/>
      <c r="E204" s="78"/>
      <c r="F204" s="33"/>
      <c r="G204" s="2"/>
      <c r="H204" s="2"/>
      <c r="I204" s="2"/>
      <c r="J204" s="54"/>
      <c r="K204" s="33"/>
      <c r="L204" s="2"/>
    </row>
    <row r="205" spans="1:12" x14ac:dyDescent="0.25">
      <c r="A205" s="33"/>
      <c r="B205" s="5"/>
      <c r="C205" s="6"/>
      <c r="D205" s="50"/>
      <c r="E205" s="78"/>
      <c r="F205" s="33"/>
      <c r="G205" s="2"/>
      <c r="H205" s="2"/>
      <c r="I205" s="2"/>
      <c r="J205" s="54"/>
      <c r="K205" s="33"/>
      <c r="L205" s="2"/>
    </row>
    <row r="206" spans="1:12" ht="16.5" x14ac:dyDescent="0.3">
      <c r="A206" s="33"/>
      <c r="B206" s="5"/>
      <c r="C206" s="6"/>
      <c r="D206" s="50"/>
      <c r="E206" s="78"/>
      <c r="F206" s="36"/>
      <c r="G206" s="2"/>
      <c r="H206" s="2"/>
      <c r="I206" s="2"/>
      <c r="J206" s="54"/>
      <c r="K206" s="36"/>
      <c r="L206" s="2"/>
    </row>
    <row r="207" spans="1:12" ht="16.5" x14ac:dyDescent="0.3">
      <c r="A207" s="36"/>
      <c r="B207" s="5"/>
      <c r="C207" s="6"/>
      <c r="D207" s="14"/>
      <c r="E207" s="78"/>
      <c r="F207" s="36"/>
      <c r="G207" s="2"/>
      <c r="H207" s="2"/>
      <c r="I207" s="2"/>
      <c r="J207" s="54"/>
      <c r="K207" s="36"/>
      <c r="L207" s="2"/>
    </row>
    <row r="208" spans="1:12" x14ac:dyDescent="0.25">
      <c r="A208" s="3" t="s">
        <v>2</v>
      </c>
      <c r="B208" s="5">
        <f>SUM(B200:B207)</f>
        <v>2.29</v>
      </c>
      <c r="C208" s="6"/>
      <c r="D208" s="14">
        <f>SUM(D200:D207)</f>
        <v>1.091516E-2</v>
      </c>
      <c r="E208" s="78"/>
      <c r="F208" s="3" t="s">
        <v>2</v>
      </c>
      <c r="G208" s="5">
        <f>SUM(G200:G207)</f>
        <v>0</v>
      </c>
      <c r="H208" s="6"/>
      <c r="I208" s="7">
        <f t="shared" ref="I208" si="14">SUM(I200:I207)</f>
        <v>0</v>
      </c>
      <c r="J208" s="55"/>
      <c r="K208" s="3" t="s">
        <v>2</v>
      </c>
      <c r="L208" s="5">
        <f>SUM(L200:L207)</f>
        <v>0</v>
      </c>
    </row>
    <row r="211" spans="1:12" x14ac:dyDescent="0.25">
      <c r="A211" s="79" t="s">
        <v>122</v>
      </c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1"/>
    </row>
    <row r="212" spans="1:12" x14ac:dyDescent="0.25">
      <c r="A212" s="77" t="s">
        <v>102</v>
      </c>
      <c r="B212" s="77"/>
      <c r="C212" s="77"/>
      <c r="D212" s="77"/>
      <c r="E212" s="78"/>
      <c r="F212" s="77" t="s">
        <v>103</v>
      </c>
      <c r="G212" s="77"/>
      <c r="H212" s="77"/>
      <c r="I212" s="77"/>
      <c r="J212" s="53"/>
      <c r="K212" s="77" t="s">
        <v>25</v>
      </c>
      <c r="L212" s="77"/>
    </row>
    <row r="213" spans="1:12" x14ac:dyDescent="0.25">
      <c r="A213" s="28" t="s">
        <v>90</v>
      </c>
      <c r="B213" s="3" t="s">
        <v>3</v>
      </c>
      <c r="C213" s="3" t="s">
        <v>0</v>
      </c>
      <c r="D213" s="3" t="s">
        <v>1</v>
      </c>
      <c r="E213" s="78"/>
      <c r="F213" s="28" t="s">
        <v>90</v>
      </c>
      <c r="G213" s="3" t="s">
        <v>105</v>
      </c>
      <c r="H213" s="3" t="s">
        <v>0</v>
      </c>
      <c r="I213" s="3" t="s">
        <v>1</v>
      </c>
      <c r="J213" s="53"/>
      <c r="K213" s="3" t="s">
        <v>90</v>
      </c>
      <c r="L213" s="3" t="s">
        <v>105</v>
      </c>
    </row>
    <row r="214" spans="1:12" x14ac:dyDescent="0.25">
      <c r="A214" s="33">
        <v>46174</v>
      </c>
      <c r="B214" s="5">
        <v>0.53</v>
      </c>
      <c r="C214" s="5">
        <f>B214/D214</f>
        <v>35.370000233575475</v>
      </c>
      <c r="D214" s="6">
        <v>1.498445E-2</v>
      </c>
      <c r="E214" s="78"/>
      <c r="F214" s="33"/>
      <c r="G214" s="5"/>
      <c r="H214" s="5" t="e">
        <f>G214/I214</f>
        <v>#DIV/0!</v>
      </c>
      <c r="I214" s="6"/>
      <c r="J214" s="52"/>
      <c r="K214" s="33"/>
      <c r="L214" s="5"/>
    </row>
    <row r="215" spans="1:12" x14ac:dyDescent="0.25">
      <c r="A215" s="33"/>
      <c r="B215" s="34"/>
      <c r="C215" s="5" t="e">
        <f>B215/D215</f>
        <v>#DIV/0!</v>
      </c>
      <c r="D215" s="50"/>
      <c r="E215" s="78"/>
      <c r="F215" s="33"/>
      <c r="G215" s="6"/>
      <c r="H215" s="5"/>
      <c r="I215" s="6"/>
      <c r="J215" s="52"/>
      <c r="K215" s="33"/>
      <c r="L215" s="5"/>
    </row>
    <row r="216" spans="1:12" x14ac:dyDescent="0.25">
      <c r="A216" s="33"/>
      <c r="B216" s="34"/>
      <c r="C216" s="6"/>
      <c r="D216" s="50"/>
      <c r="E216" s="78"/>
      <c r="F216" s="33"/>
      <c r="G216" s="6"/>
      <c r="H216" s="5"/>
      <c r="I216" s="6"/>
      <c r="J216" s="52"/>
      <c r="K216" s="33"/>
      <c r="L216" s="5"/>
    </row>
    <row r="217" spans="1:12" x14ac:dyDescent="0.25">
      <c r="A217" s="33"/>
      <c r="B217" s="34"/>
      <c r="C217" s="6"/>
      <c r="D217" s="50"/>
      <c r="E217" s="78"/>
      <c r="F217" s="33"/>
      <c r="G217" s="6"/>
      <c r="H217" s="5"/>
      <c r="I217" s="6"/>
      <c r="J217" s="52"/>
      <c r="K217" s="33"/>
      <c r="L217" s="5"/>
    </row>
    <row r="218" spans="1:12" x14ac:dyDescent="0.25">
      <c r="A218" s="33"/>
      <c r="B218" s="5"/>
      <c r="C218" s="6"/>
      <c r="D218" s="50"/>
      <c r="E218" s="78"/>
      <c r="F218" s="33"/>
      <c r="G218" s="2"/>
      <c r="H218" s="2"/>
      <c r="I218" s="2"/>
      <c r="J218" s="54"/>
      <c r="K218" s="33"/>
      <c r="L218" s="2"/>
    </row>
    <row r="219" spans="1:12" x14ac:dyDescent="0.25">
      <c r="A219" s="33"/>
      <c r="B219" s="5"/>
      <c r="C219" s="6"/>
      <c r="D219" s="50"/>
      <c r="E219" s="78"/>
      <c r="F219" s="33"/>
      <c r="G219" s="2"/>
      <c r="H219" s="2"/>
      <c r="I219" s="2"/>
      <c r="J219" s="54"/>
      <c r="K219" s="33"/>
      <c r="L219" s="2"/>
    </row>
    <row r="220" spans="1:12" ht="16.5" x14ac:dyDescent="0.3">
      <c r="A220" s="33"/>
      <c r="B220" s="5"/>
      <c r="C220" s="6"/>
      <c r="D220" s="50"/>
      <c r="E220" s="78"/>
      <c r="F220" s="36"/>
      <c r="G220" s="2"/>
      <c r="H220" s="2"/>
      <c r="I220" s="2"/>
      <c r="J220" s="54"/>
      <c r="K220" s="36"/>
      <c r="L220" s="2"/>
    </row>
    <row r="221" spans="1:12" ht="16.5" x14ac:dyDescent="0.3">
      <c r="A221" s="36"/>
      <c r="B221" s="5"/>
      <c r="C221" s="6"/>
      <c r="D221" s="14"/>
      <c r="E221" s="78"/>
      <c r="F221" s="36"/>
      <c r="G221" s="2"/>
      <c r="H221" s="2"/>
      <c r="I221" s="2"/>
      <c r="J221" s="54"/>
      <c r="K221" s="36"/>
      <c r="L221" s="2"/>
    </row>
    <row r="222" spans="1:12" x14ac:dyDescent="0.25">
      <c r="A222" s="3" t="s">
        <v>2</v>
      </c>
      <c r="B222" s="5">
        <f>SUM(B214:B221)</f>
        <v>0.53</v>
      </c>
      <c r="C222" s="6"/>
      <c r="D222" s="14">
        <f>SUM(D214:D221)</f>
        <v>1.498445E-2</v>
      </c>
      <c r="E222" s="78"/>
      <c r="F222" s="3" t="s">
        <v>2</v>
      </c>
      <c r="G222" s="5">
        <f>SUM(G214:G221)</f>
        <v>0</v>
      </c>
      <c r="H222" s="6"/>
      <c r="I222" s="7">
        <f t="shared" ref="I222" si="15">SUM(I214:I221)</f>
        <v>0</v>
      </c>
      <c r="J222" s="55"/>
      <c r="K222" s="3" t="s">
        <v>2</v>
      </c>
      <c r="L222" s="5">
        <f>SUM(L214:L221)</f>
        <v>0</v>
      </c>
    </row>
    <row r="225" spans="1:12" x14ac:dyDescent="0.25">
      <c r="A225" s="79" t="s">
        <v>123</v>
      </c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1"/>
    </row>
    <row r="226" spans="1:12" x14ac:dyDescent="0.25">
      <c r="A226" s="77" t="s">
        <v>102</v>
      </c>
      <c r="B226" s="77"/>
      <c r="C226" s="77"/>
      <c r="D226" s="77"/>
      <c r="E226" s="78"/>
      <c r="F226" s="77" t="s">
        <v>103</v>
      </c>
      <c r="G226" s="77"/>
      <c r="H226" s="77"/>
      <c r="I226" s="77"/>
      <c r="J226" s="53"/>
      <c r="K226" s="77" t="s">
        <v>25</v>
      </c>
      <c r="L226" s="77"/>
    </row>
    <row r="227" spans="1:12" x14ac:dyDescent="0.25">
      <c r="A227" s="28" t="s">
        <v>90</v>
      </c>
      <c r="B227" s="3" t="s">
        <v>3</v>
      </c>
      <c r="C227" s="3" t="s">
        <v>0</v>
      </c>
      <c r="D227" s="3" t="s">
        <v>1</v>
      </c>
      <c r="E227" s="78"/>
      <c r="F227" s="28" t="s">
        <v>90</v>
      </c>
      <c r="G227" s="3" t="s">
        <v>105</v>
      </c>
      <c r="H227" s="3" t="s">
        <v>0</v>
      </c>
      <c r="I227" s="3" t="s">
        <v>1</v>
      </c>
      <c r="J227" s="53"/>
      <c r="K227" s="3" t="s">
        <v>90</v>
      </c>
      <c r="L227" s="3" t="s">
        <v>105</v>
      </c>
    </row>
    <row r="228" spans="1:12" x14ac:dyDescent="0.25">
      <c r="A228" s="33">
        <v>46174</v>
      </c>
      <c r="B228" s="34">
        <v>0.28000000000000003</v>
      </c>
      <c r="C228" s="5">
        <f>B228/D228</f>
        <v>76.450303207363262</v>
      </c>
      <c r="D228" s="50">
        <v>3.6625099999999999E-3</v>
      </c>
      <c r="E228" s="78"/>
      <c r="F228" s="33"/>
      <c r="G228" s="6"/>
      <c r="H228" s="5" t="e">
        <f>G228/I228</f>
        <v>#DIV/0!</v>
      </c>
      <c r="I228" s="6"/>
      <c r="J228" s="52"/>
      <c r="K228" s="33"/>
      <c r="L228" s="5"/>
    </row>
    <row r="229" spans="1:12" x14ac:dyDescent="0.25">
      <c r="A229" s="33"/>
      <c r="B229" s="34"/>
      <c r="C229" s="6"/>
      <c r="D229" s="50"/>
      <c r="E229" s="78"/>
      <c r="F229" s="33"/>
      <c r="G229" s="6"/>
      <c r="H229" s="5"/>
      <c r="I229" s="6"/>
      <c r="J229" s="52"/>
      <c r="K229" s="33"/>
      <c r="L229" s="5"/>
    </row>
    <row r="230" spans="1:12" x14ac:dyDescent="0.25">
      <c r="A230" s="33"/>
      <c r="B230" s="34"/>
      <c r="C230" s="6"/>
      <c r="D230" s="50"/>
      <c r="E230" s="78"/>
      <c r="F230" s="33"/>
      <c r="G230" s="6"/>
      <c r="H230" s="5"/>
      <c r="I230" s="6"/>
      <c r="J230" s="52"/>
      <c r="K230" s="33"/>
      <c r="L230" s="5"/>
    </row>
    <row r="231" spans="1:12" x14ac:dyDescent="0.25">
      <c r="A231" s="33"/>
      <c r="B231" s="34"/>
      <c r="C231" s="6"/>
      <c r="D231" s="50"/>
      <c r="E231" s="78"/>
      <c r="F231" s="33"/>
      <c r="G231" s="6"/>
      <c r="H231" s="5"/>
      <c r="I231" s="6"/>
      <c r="J231" s="52"/>
      <c r="K231" s="33"/>
      <c r="L231" s="5"/>
    </row>
    <row r="232" spans="1:12" x14ac:dyDescent="0.25">
      <c r="A232" s="33"/>
      <c r="B232" s="5"/>
      <c r="C232" s="6"/>
      <c r="D232" s="50"/>
      <c r="E232" s="78"/>
      <c r="F232" s="33"/>
      <c r="G232" s="2"/>
      <c r="H232" s="2"/>
      <c r="I232" s="2"/>
      <c r="J232" s="54"/>
      <c r="K232" s="33"/>
      <c r="L232" s="2"/>
    </row>
    <row r="233" spans="1:12" x14ac:dyDescent="0.25">
      <c r="A233" s="33"/>
      <c r="B233" s="5"/>
      <c r="C233" s="6"/>
      <c r="D233" s="50"/>
      <c r="E233" s="78"/>
      <c r="F233" s="33"/>
      <c r="G233" s="2"/>
      <c r="H233" s="2"/>
      <c r="I233" s="2"/>
      <c r="J233" s="54"/>
      <c r="K233" s="33"/>
      <c r="L233" s="2"/>
    </row>
    <row r="234" spans="1:12" ht="16.5" x14ac:dyDescent="0.3">
      <c r="A234" s="33"/>
      <c r="B234" s="5"/>
      <c r="C234" s="6"/>
      <c r="D234" s="50"/>
      <c r="E234" s="78"/>
      <c r="F234" s="36"/>
      <c r="G234" s="2"/>
      <c r="H234" s="2"/>
      <c r="I234" s="2"/>
      <c r="J234" s="54"/>
      <c r="K234" s="36"/>
      <c r="L234" s="2"/>
    </row>
    <row r="235" spans="1:12" ht="16.5" x14ac:dyDescent="0.3">
      <c r="A235" s="36"/>
      <c r="B235" s="5"/>
      <c r="C235" s="6"/>
      <c r="D235" s="14"/>
      <c r="E235" s="78"/>
      <c r="F235" s="36"/>
      <c r="G235" s="2"/>
      <c r="H235" s="2"/>
      <c r="I235" s="2"/>
      <c r="J235" s="54"/>
      <c r="K235" s="36"/>
      <c r="L235" s="2"/>
    </row>
    <row r="236" spans="1:12" x14ac:dyDescent="0.25">
      <c r="A236" s="3" t="s">
        <v>2</v>
      </c>
      <c r="B236" s="5">
        <f>SUM(B228:B235)</f>
        <v>0.28000000000000003</v>
      </c>
      <c r="C236" s="6"/>
      <c r="D236" s="14">
        <f>SUM(D228:D235)</f>
        <v>3.6625099999999999E-3</v>
      </c>
      <c r="E236" s="78"/>
      <c r="F236" s="3" t="s">
        <v>2</v>
      </c>
      <c r="G236" s="5">
        <f>SUM(G228:G235)</f>
        <v>0</v>
      </c>
      <c r="H236" s="6"/>
      <c r="I236" s="14">
        <f t="shared" ref="I236" si="16">SUM(I228:I235)</f>
        <v>0</v>
      </c>
      <c r="J236" s="55"/>
      <c r="K236" s="3" t="s">
        <v>2</v>
      </c>
      <c r="L236" s="5">
        <f>SUM(L228:L235)</f>
        <v>0</v>
      </c>
    </row>
    <row r="239" spans="1:12" x14ac:dyDescent="0.25">
      <c r="A239" s="79" t="s">
        <v>126</v>
      </c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1"/>
    </row>
    <row r="240" spans="1:12" x14ac:dyDescent="0.25">
      <c r="A240" s="77" t="s">
        <v>102</v>
      </c>
      <c r="B240" s="77"/>
      <c r="C240" s="77"/>
      <c r="D240" s="77"/>
      <c r="E240" s="78"/>
      <c r="F240" s="77" t="s">
        <v>103</v>
      </c>
      <c r="G240" s="77"/>
      <c r="H240" s="77"/>
      <c r="I240" s="77"/>
      <c r="J240" s="53"/>
      <c r="K240" s="77" t="s">
        <v>25</v>
      </c>
      <c r="L240" s="77"/>
    </row>
    <row r="241" spans="1:12" x14ac:dyDescent="0.25">
      <c r="A241" s="28" t="s">
        <v>90</v>
      </c>
      <c r="B241" s="3" t="s">
        <v>3</v>
      </c>
      <c r="C241" s="3" t="s">
        <v>0</v>
      </c>
      <c r="D241" s="3" t="s">
        <v>1</v>
      </c>
      <c r="E241" s="78"/>
      <c r="F241" s="28" t="s">
        <v>90</v>
      </c>
      <c r="G241" s="3" t="s">
        <v>105</v>
      </c>
      <c r="H241" s="3" t="s">
        <v>0</v>
      </c>
      <c r="I241" s="3" t="s">
        <v>1</v>
      </c>
      <c r="J241" s="53"/>
      <c r="K241" s="3" t="s">
        <v>90</v>
      </c>
      <c r="L241" s="3" t="s">
        <v>105</v>
      </c>
    </row>
    <row r="242" spans="1:12" x14ac:dyDescent="0.25">
      <c r="A242" s="33">
        <v>46174</v>
      </c>
      <c r="B242" s="34">
        <v>0.71</v>
      </c>
      <c r="C242" s="5">
        <f>B242/D242</f>
        <v>10.396500567194998</v>
      </c>
      <c r="D242" s="50">
        <v>6.8292210000000006E-2</v>
      </c>
      <c r="E242" s="78"/>
      <c r="F242" s="33"/>
      <c r="G242" s="6"/>
      <c r="H242" s="5"/>
      <c r="I242" s="6"/>
      <c r="J242" s="52"/>
      <c r="K242" s="33"/>
      <c r="L242" s="5"/>
    </row>
    <row r="243" spans="1:12" x14ac:dyDescent="0.25">
      <c r="A243" s="33"/>
      <c r="B243" s="34"/>
      <c r="C243" s="5" t="e">
        <f>B243/D243</f>
        <v>#DIV/0!</v>
      </c>
      <c r="D243" s="50"/>
      <c r="E243" s="78"/>
      <c r="F243" s="33"/>
      <c r="G243" s="6"/>
      <c r="H243" s="5"/>
      <c r="I243" s="6"/>
      <c r="J243" s="52"/>
      <c r="K243" s="33"/>
      <c r="L243" s="5"/>
    </row>
    <row r="244" spans="1:12" x14ac:dyDescent="0.25">
      <c r="A244" s="33"/>
      <c r="B244" s="34"/>
      <c r="C244" s="6"/>
      <c r="D244" s="50"/>
      <c r="E244" s="78"/>
      <c r="F244" s="33"/>
      <c r="G244" s="6"/>
      <c r="H244" s="5"/>
      <c r="I244" s="6"/>
      <c r="J244" s="52"/>
      <c r="K244" s="33"/>
      <c r="L244" s="5"/>
    </row>
    <row r="245" spans="1:12" x14ac:dyDescent="0.25">
      <c r="A245" s="33"/>
      <c r="B245" s="34"/>
      <c r="C245" s="6"/>
      <c r="D245" s="50"/>
      <c r="E245" s="78"/>
      <c r="F245" s="33"/>
      <c r="G245" s="6"/>
      <c r="H245" s="5"/>
      <c r="I245" s="6"/>
      <c r="J245" s="52"/>
      <c r="K245" s="33"/>
      <c r="L245" s="5"/>
    </row>
    <row r="246" spans="1:12" x14ac:dyDescent="0.25">
      <c r="A246" s="33"/>
      <c r="B246" s="5"/>
      <c r="C246" s="6"/>
      <c r="D246" s="50"/>
      <c r="E246" s="78"/>
      <c r="F246" s="33"/>
      <c r="G246" s="2"/>
      <c r="H246" s="2"/>
      <c r="I246" s="2"/>
      <c r="J246" s="54"/>
      <c r="K246" s="33"/>
      <c r="L246" s="2"/>
    </row>
    <row r="247" spans="1:12" x14ac:dyDescent="0.25">
      <c r="A247" s="33"/>
      <c r="B247" s="5"/>
      <c r="C247" s="6"/>
      <c r="D247" s="50"/>
      <c r="E247" s="78"/>
      <c r="F247" s="33"/>
      <c r="G247" s="2"/>
      <c r="H247" s="2"/>
      <c r="I247" s="2"/>
      <c r="J247" s="54"/>
      <c r="K247" s="33"/>
      <c r="L247" s="2"/>
    </row>
    <row r="248" spans="1:12" ht="16.5" x14ac:dyDescent="0.3">
      <c r="A248" s="33"/>
      <c r="B248" s="5"/>
      <c r="C248" s="6"/>
      <c r="D248" s="50"/>
      <c r="E248" s="78"/>
      <c r="F248" s="36"/>
      <c r="G248" s="2"/>
      <c r="H248" s="2"/>
      <c r="I248" s="2"/>
      <c r="J248" s="54"/>
      <c r="K248" s="36"/>
      <c r="L248" s="2"/>
    </row>
    <row r="249" spans="1:12" ht="16.5" x14ac:dyDescent="0.3">
      <c r="A249" s="36"/>
      <c r="B249" s="5"/>
      <c r="C249" s="6"/>
      <c r="D249" s="14"/>
      <c r="E249" s="78"/>
      <c r="F249" s="36"/>
      <c r="G249" s="2"/>
      <c r="H249" s="2"/>
      <c r="I249" s="2"/>
      <c r="J249" s="54"/>
      <c r="K249" s="36"/>
      <c r="L249" s="2"/>
    </row>
    <row r="250" spans="1:12" x14ac:dyDescent="0.25">
      <c r="A250" s="3" t="s">
        <v>2</v>
      </c>
      <c r="B250" s="5">
        <f>SUM(B242:B249)</f>
        <v>0.71</v>
      </c>
      <c r="C250" s="6"/>
      <c r="D250" s="14">
        <f>SUM(D242:D249)</f>
        <v>6.8292210000000006E-2</v>
      </c>
      <c r="E250" s="78"/>
      <c r="F250" s="3" t="s">
        <v>2</v>
      </c>
      <c r="G250" s="5">
        <f>SUM(G242:G249)</f>
        <v>0</v>
      </c>
      <c r="H250" s="6"/>
      <c r="I250" s="7">
        <f t="shared" ref="I250" si="17">SUM(I242:I249)</f>
        <v>0</v>
      </c>
      <c r="J250" s="55"/>
      <c r="K250" s="3" t="s">
        <v>2</v>
      </c>
      <c r="L250" s="5">
        <f>SUM(L242:L249)</f>
        <v>0</v>
      </c>
    </row>
    <row r="253" spans="1:12" x14ac:dyDescent="0.25">
      <c r="A253" s="79" t="s">
        <v>128</v>
      </c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1"/>
    </row>
    <row r="254" spans="1:12" x14ac:dyDescent="0.25">
      <c r="A254" s="77" t="s">
        <v>102</v>
      </c>
      <c r="B254" s="77"/>
      <c r="C254" s="77"/>
      <c r="D254" s="77"/>
      <c r="E254" s="78"/>
      <c r="F254" s="77" t="s">
        <v>103</v>
      </c>
      <c r="G254" s="77"/>
      <c r="H254" s="77"/>
      <c r="I254" s="77"/>
      <c r="J254" s="53"/>
      <c r="K254" s="77" t="s">
        <v>25</v>
      </c>
      <c r="L254" s="77"/>
    </row>
    <row r="255" spans="1:12" x14ac:dyDescent="0.25">
      <c r="A255" s="28" t="s">
        <v>90</v>
      </c>
      <c r="B255" s="3" t="s">
        <v>3</v>
      </c>
      <c r="C255" s="3" t="s">
        <v>0</v>
      </c>
      <c r="D255" s="3" t="s">
        <v>1</v>
      </c>
      <c r="E255" s="78"/>
      <c r="F255" s="28" t="s">
        <v>90</v>
      </c>
      <c r="G255" s="3" t="s">
        <v>105</v>
      </c>
      <c r="H255" s="3" t="s">
        <v>0</v>
      </c>
      <c r="I255" s="3" t="s">
        <v>1</v>
      </c>
      <c r="J255" s="53"/>
      <c r="K255" s="3" t="s">
        <v>90</v>
      </c>
      <c r="L255" s="3" t="s">
        <v>105</v>
      </c>
    </row>
    <row r="256" spans="1:12" x14ac:dyDescent="0.25">
      <c r="A256" s="33">
        <v>46174</v>
      </c>
      <c r="B256" s="34">
        <v>1.01</v>
      </c>
      <c r="C256" s="5">
        <f>B256/D256</f>
        <v>65.909985232247863</v>
      </c>
      <c r="D256" s="50">
        <v>1.5323929999999999E-2</v>
      </c>
      <c r="E256" s="78"/>
      <c r="F256" s="33"/>
      <c r="G256" s="6"/>
      <c r="H256" s="5" t="e">
        <f>G256/I256</f>
        <v>#DIV/0!</v>
      </c>
      <c r="I256" s="6"/>
      <c r="J256" s="52"/>
      <c r="K256" s="33"/>
      <c r="L256" s="5"/>
    </row>
    <row r="257" spans="1:12" x14ac:dyDescent="0.25">
      <c r="A257" s="33"/>
      <c r="B257" s="34"/>
      <c r="C257" s="5" t="e">
        <f>B257/D257</f>
        <v>#DIV/0!</v>
      </c>
      <c r="D257" s="50"/>
      <c r="E257" s="78"/>
      <c r="F257" s="33"/>
      <c r="G257" s="6"/>
      <c r="H257" s="5"/>
      <c r="I257" s="6"/>
      <c r="J257" s="52"/>
      <c r="K257" s="33"/>
      <c r="L257" s="5"/>
    </row>
    <row r="258" spans="1:12" x14ac:dyDescent="0.25">
      <c r="A258" s="33"/>
      <c r="B258" s="34"/>
      <c r="C258" s="6"/>
      <c r="D258" s="50"/>
      <c r="E258" s="78"/>
      <c r="F258" s="33"/>
      <c r="G258" s="6"/>
      <c r="H258" s="5"/>
      <c r="I258" s="6"/>
      <c r="J258" s="52"/>
      <c r="K258" s="33"/>
      <c r="L258" s="5"/>
    </row>
    <row r="259" spans="1:12" x14ac:dyDescent="0.25">
      <c r="A259" s="33"/>
      <c r="B259" s="34"/>
      <c r="C259" s="6"/>
      <c r="D259" s="50"/>
      <c r="E259" s="78"/>
      <c r="F259" s="33"/>
      <c r="G259" s="6"/>
      <c r="H259" s="5"/>
      <c r="I259" s="6"/>
      <c r="J259" s="52"/>
      <c r="K259" s="33"/>
      <c r="L259" s="5"/>
    </row>
    <row r="260" spans="1:12" x14ac:dyDescent="0.25">
      <c r="A260" s="33"/>
      <c r="B260" s="5"/>
      <c r="C260" s="6"/>
      <c r="D260" s="50"/>
      <c r="E260" s="78"/>
      <c r="F260" s="33"/>
      <c r="G260" s="2"/>
      <c r="H260" s="2"/>
      <c r="I260" s="2"/>
      <c r="J260" s="54"/>
      <c r="K260" s="33"/>
      <c r="L260" s="2"/>
    </row>
    <row r="261" spans="1:12" x14ac:dyDescent="0.25">
      <c r="A261" s="33"/>
      <c r="B261" s="5"/>
      <c r="C261" s="6"/>
      <c r="D261" s="50"/>
      <c r="E261" s="78"/>
      <c r="F261" s="33"/>
      <c r="G261" s="2"/>
      <c r="H261" s="2"/>
      <c r="I261" s="2"/>
      <c r="J261" s="54"/>
      <c r="K261" s="33"/>
      <c r="L261" s="2"/>
    </row>
    <row r="262" spans="1:12" ht="16.5" x14ac:dyDescent="0.3">
      <c r="A262" s="33"/>
      <c r="B262" s="5"/>
      <c r="C262" s="6"/>
      <c r="D262" s="50"/>
      <c r="E262" s="78"/>
      <c r="F262" s="36"/>
      <c r="G262" s="2"/>
      <c r="H262" s="2"/>
      <c r="I262" s="2"/>
      <c r="J262" s="54"/>
      <c r="K262" s="36"/>
      <c r="L262" s="2"/>
    </row>
    <row r="263" spans="1:12" ht="16.5" x14ac:dyDescent="0.3">
      <c r="A263" s="36"/>
      <c r="B263" s="5"/>
      <c r="C263" s="6"/>
      <c r="D263" s="14"/>
      <c r="E263" s="78"/>
      <c r="F263" s="36"/>
      <c r="G263" s="2"/>
      <c r="H263" s="2"/>
      <c r="I263" s="2"/>
      <c r="J263" s="54"/>
      <c r="K263" s="36"/>
      <c r="L263" s="2"/>
    </row>
    <row r="264" spans="1:12" x14ac:dyDescent="0.25">
      <c r="A264" s="3" t="s">
        <v>2</v>
      </c>
      <c r="B264" s="5">
        <f>SUM(B256:B263)</f>
        <v>1.01</v>
      </c>
      <c r="C264" s="6"/>
      <c r="D264" s="14">
        <f>SUM(D256:D263)</f>
        <v>1.5323929999999999E-2</v>
      </c>
      <c r="E264" s="78"/>
      <c r="F264" s="3" t="s">
        <v>2</v>
      </c>
      <c r="G264" s="5">
        <f>SUM(G256:G263)</f>
        <v>0</v>
      </c>
      <c r="H264" s="6"/>
      <c r="I264" s="14">
        <f t="shared" ref="I264" si="18">SUM(I256:I263)</f>
        <v>0</v>
      </c>
      <c r="J264" s="55"/>
      <c r="K264" s="3" t="s">
        <v>2</v>
      </c>
      <c r="L264" s="5">
        <f>SUM(L256:L263)</f>
        <v>0</v>
      </c>
    </row>
    <row r="267" spans="1:12" x14ac:dyDescent="0.25">
      <c r="A267" s="79" t="s">
        <v>130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1"/>
    </row>
    <row r="268" spans="1:12" x14ac:dyDescent="0.25">
      <c r="A268" s="77" t="s">
        <v>102</v>
      </c>
      <c r="B268" s="77"/>
      <c r="C268" s="77"/>
      <c r="D268" s="77"/>
      <c r="E268" s="78"/>
      <c r="F268" s="77" t="s">
        <v>103</v>
      </c>
      <c r="G268" s="77"/>
      <c r="H268" s="77"/>
      <c r="I268" s="77"/>
      <c r="J268" s="53"/>
      <c r="K268" s="77" t="s">
        <v>25</v>
      </c>
      <c r="L268" s="77"/>
    </row>
    <row r="269" spans="1:12" x14ac:dyDescent="0.25">
      <c r="A269" s="28" t="s">
        <v>90</v>
      </c>
      <c r="B269" s="3" t="s">
        <v>3</v>
      </c>
      <c r="C269" s="3" t="s">
        <v>0</v>
      </c>
      <c r="D269" s="3" t="s">
        <v>1</v>
      </c>
      <c r="E269" s="78"/>
      <c r="F269" s="28" t="s">
        <v>90</v>
      </c>
      <c r="G269" s="3" t="s">
        <v>105</v>
      </c>
      <c r="H269" s="3" t="s">
        <v>0</v>
      </c>
      <c r="I269" s="3" t="s">
        <v>1</v>
      </c>
      <c r="J269" s="53"/>
      <c r="K269" s="3" t="s">
        <v>90</v>
      </c>
      <c r="L269" s="3" t="s">
        <v>105</v>
      </c>
    </row>
    <row r="270" spans="1:12" x14ac:dyDescent="0.25">
      <c r="A270" s="33">
        <v>46174</v>
      </c>
      <c r="B270" s="34">
        <v>0.1</v>
      </c>
      <c r="C270" s="5">
        <f>B270/D270</f>
        <v>20.705005435063928</v>
      </c>
      <c r="D270" s="50">
        <v>4.8297499999999998E-3</v>
      </c>
      <c r="E270" s="78"/>
      <c r="F270" s="33"/>
      <c r="G270" s="6"/>
      <c r="H270" s="5"/>
      <c r="I270" s="6"/>
      <c r="J270" s="52"/>
      <c r="K270" s="33"/>
      <c r="L270" s="5"/>
    </row>
    <row r="271" spans="1:12" x14ac:dyDescent="0.25">
      <c r="A271" s="33"/>
      <c r="B271" s="34"/>
      <c r="C271" s="5" t="e">
        <f>B271/D271</f>
        <v>#DIV/0!</v>
      </c>
      <c r="D271" s="50"/>
      <c r="E271" s="78"/>
      <c r="F271" s="33"/>
      <c r="G271" s="6"/>
      <c r="H271" s="5"/>
      <c r="I271" s="6"/>
      <c r="J271" s="52"/>
      <c r="K271" s="33"/>
      <c r="L271" s="5"/>
    </row>
    <row r="272" spans="1:12" x14ac:dyDescent="0.25">
      <c r="A272" s="33"/>
      <c r="B272" s="34"/>
      <c r="C272" s="5" t="e">
        <f>B272/D272</f>
        <v>#DIV/0!</v>
      </c>
      <c r="D272" s="50"/>
      <c r="E272" s="78"/>
      <c r="F272" s="33"/>
      <c r="G272" s="6"/>
      <c r="H272" s="5"/>
      <c r="I272" s="6"/>
      <c r="J272" s="52"/>
      <c r="K272" s="33"/>
      <c r="L272" s="5"/>
    </row>
    <row r="273" spans="1:12" x14ac:dyDescent="0.25">
      <c r="A273" s="33"/>
      <c r="B273" s="34"/>
      <c r="C273" s="6"/>
      <c r="D273" s="50"/>
      <c r="E273" s="78"/>
      <c r="F273" s="33"/>
      <c r="G273" s="6"/>
      <c r="H273" s="5"/>
      <c r="I273" s="6"/>
      <c r="J273" s="52"/>
      <c r="K273" s="33"/>
      <c r="L273" s="5"/>
    </row>
    <row r="274" spans="1:12" x14ac:dyDescent="0.25">
      <c r="A274" s="33"/>
      <c r="B274" s="5"/>
      <c r="C274" s="6"/>
      <c r="D274" s="50"/>
      <c r="E274" s="78"/>
      <c r="F274" s="33"/>
      <c r="G274" s="2"/>
      <c r="H274" s="2"/>
      <c r="I274" s="2"/>
      <c r="J274" s="54"/>
      <c r="K274" s="33"/>
      <c r="L274" s="2"/>
    </row>
    <row r="275" spans="1:12" x14ac:dyDescent="0.25">
      <c r="A275" s="33"/>
      <c r="B275" s="5"/>
      <c r="C275" s="6"/>
      <c r="D275" s="50"/>
      <c r="E275" s="78"/>
      <c r="F275" s="33"/>
      <c r="G275" s="2"/>
      <c r="H275" s="2"/>
      <c r="I275" s="2"/>
      <c r="J275" s="54"/>
      <c r="K275" s="33"/>
      <c r="L275" s="2"/>
    </row>
    <row r="276" spans="1:12" ht="16.5" x14ac:dyDescent="0.3">
      <c r="A276" s="33"/>
      <c r="B276" s="5"/>
      <c r="C276" s="6"/>
      <c r="D276" s="50"/>
      <c r="E276" s="78"/>
      <c r="F276" s="36"/>
      <c r="G276" s="2"/>
      <c r="H276" s="2"/>
      <c r="I276" s="2"/>
      <c r="J276" s="54"/>
      <c r="K276" s="36"/>
      <c r="L276" s="2"/>
    </row>
    <row r="277" spans="1:12" ht="16.5" x14ac:dyDescent="0.3">
      <c r="A277" s="36"/>
      <c r="B277" s="5"/>
      <c r="C277" s="6"/>
      <c r="D277" s="14"/>
      <c r="E277" s="78"/>
      <c r="F277" s="36"/>
      <c r="G277" s="2"/>
      <c r="H277" s="2"/>
      <c r="I277" s="2"/>
      <c r="J277" s="54"/>
      <c r="K277" s="36"/>
      <c r="L277" s="2"/>
    </row>
    <row r="278" spans="1:12" x14ac:dyDescent="0.25">
      <c r="A278" s="3" t="s">
        <v>2</v>
      </c>
      <c r="B278" s="5">
        <f>SUM(B270:B277)</f>
        <v>0.1</v>
      </c>
      <c r="C278" s="6"/>
      <c r="D278" s="14">
        <f>SUM(D270:D277)</f>
        <v>4.8297499999999998E-3</v>
      </c>
      <c r="E278" s="78"/>
      <c r="F278" s="3" t="s">
        <v>2</v>
      </c>
      <c r="G278" s="5">
        <f>SUM(G270:G277)</f>
        <v>0</v>
      </c>
      <c r="H278" s="6"/>
      <c r="I278" s="7">
        <f t="shared" ref="I278" si="19">SUM(I270:I277)</f>
        <v>0</v>
      </c>
      <c r="J278" s="55"/>
      <c r="K278" s="3" t="s">
        <v>2</v>
      </c>
      <c r="L278" s="5">
        <f>SUM(L270:L277)</f>
        <v>0</v>
      </c>
    </row>
    <row r="281" spans="1:12" x14ac:dyDescent="0.25">
      <c r="A281" s="79" t="s">
        <v>131</v>
      </c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1"/>
    </row>
    <row r="282" spans="1:12" x14ac:dyDescent="0.25">
      <c r="A282" s="77" t="s">
        <v>102</v>
      </c>
      <c r="B282" s="77"/>
      <c r="C282" s="77"/>
      <c r="D282" s="77"/>
      <c r="E282" s="78"/>
      <c r="F282" s="77" t="s">
        <v>103</v>
      </c>
      <c r="G282" s="77"/>
      <c r="H282" s="77"/>
      <c r="I282" s="77"/>
      <c r="J282" s="53"/>
      <c r="K282" s="77" t="s">
        <v>25</v>
      </c>
      <c r="L282" s="77"/>
    </row>
    <row r="283" spans="1:12" x14ac:dyDescent="0.25">
      <c r="A283" s="28" t="s">
        <v>90</v>
      </c>
      <c r="B283" s="3" t="s">
        <v>3</v>
      </c>
      <c r="C283" s="3" t="s">
        <v>0</v>
      </c>
      <c r="D283" s="3" t="s">
        <v>1</v>
      </c>
      <c r="E283" s="78"/>
      <c r="F283" s="28" t="s">
        <v>90</v>
      </c>
      <c r="G283" s="3" t="s">
        <v>105</v>
      </c>
      <c r="H283" s="3" t="s">
        <v>0</v>
      </c>
      <c r="I283" s="3" t="s">
        <v>1</v>
      </c>
      <c r="J283" s="53"/>
      <c r="K283" s="3" t="s">
        <v>90</v>
      </c>
      <c r="L283" s="3" t="s">
        <v>105</v>
      </c>
    </row>
    <row r="284" spans="1:12" x14ac:dyDescent="0.25">
      <c r="A284" s="33">
        <v>46174</v>
      </c>
      <c r="B284" s="34">
        <v>1.22</v>
      </c>
      <c r="C284" s="5">
        <f>B284/D284</f>
        <v>106.28001648211402</v>
      </c>
      <c r="D284" s="50">
        <v>1.1479110000000001E-2</v>
      </c>
      <c r="E284" s="78"/>
      <c r="F284" s="33"/>
      <c r="G284" s="6"/>
      <c r="H284" s="5" t="e">
        <f>G284/I284</f>
        <v>#DIV/0!</v>
      </c>
      <c r="I284" s="6"/>
      <c r="J284" s="52"/>
      <c r="K284" s="33"/>
      <c r="L284" s="5"/>
    </row>
    <row r="285" spans="1:12" x14ac:dyDescent="0.25">
      <c r="A285" s="33"/>
      <c r="B285" s="34"/>
      <c r="C285" s="6"/>
      <c r="D285" s="50"/>
      <c r="E285" s="78"/>
      <c r="F285" s="33"/>
      <c r="G285" s="6"/>
      <c r="H285" s="5"/>
      <c r="I285" s="6"/>
      <c r="J285" s="52"/>
      <c r="K285" s="33"/>
      <c r="L285" s="5"/>
    </row>
    <row r="286" spans="1:12" x14ac:dyDescent="0.25">
      <c r="A286" s="33"/>
      <c r="B286" s="34"/>
      <c r="C286" s="6"/>
      <c r="D286" s="50"/>
      <c r="E286" s="78"/>
      <c r="F286" s="33"/>
      <c r="G286" s="6"/>
      <c r="H286" s="5"/>
      <c r="I286" s="6"/>
      <c r="J286" s="52"/>
      <c r="K286" s="33"/>
      <c r="L286" s="5"/>
    </row>
    <row r="287" spans="1:12" x14ac:dyDescent="0.25">
      <c r="A287" s="33"/>
      <c r="B287" s="34"/>
      <c r="C287" s="6"/>
      <c r="D287" s="50"/>
      <c r="E287" s="78"/>
      <c r="F287" s="33"/>
      <c r="G287" s="6"/>
      <c r="H287" s="5"/>
      <c r="I287" s="6"/>
      <c r="J287" s="52"/>
      <c r="K287" s="33"/>
      <c r="L287" s="5"/>
    </row>
    <row r="288" spans="1:12" x14ac:dyDescent="0.25">
      <c r="A288" s="33"/>
      <c r="B288" s="5"/>
      <c r="C288" s="6"/>
      <c r="D288" s="50"/>
      <c r="E288" s="78"/>
      <c r="F288" s="33"/>
      <c r="G288" s="2"/>
      <c r="H288" s="2"/>
      <c r="I288" s="2"/>
      <c r="J288" s="54"/>
      <c r="K288" s="33"/>
      <c r="L288" s="2"/>
    </row>
    <row r="289" spans="1:12" x14ac:dyDescent="0.25">
      <c r="A289" s="33"/>
      <c r="B289" s="5"/>
      <c r="C289" s="6"/>
      <c r="D289" s="50"/>
      <c r="E289" s="78"/>
      <c r="F289" s="33"/>
      <c r="G289" s="2"/>
      <c r="H289" s="2"/>
      <c r="I289" s="2"/>
      <c r="J289" s="54"/>
      <c r="K289" s="33"/>
      <c r="L289" s="2"/>
    </row>
    <row r="290" spans="1:12" ht="16.5" x14ac:dyDescent="0.3">
      <c r="A290" s="33"/>
      <c r="B290" s="5"/>
      <c r="C290" s="6"/>
      <c r="D290" s="50"/>
      <c r="E290" s="78"/>
      <c r="F290" s="36"/>
      <c r="G290" s="2"/>
      <c r="H290" s="2"/>
      <c r="I290" s="2"/>
      <c r="J290" s="54"/>
      <c r="K290" s="36"/>
      <c r="L290" s="2"/>
    </row>
    <row r="291" spans="1:12" ht="16.5" x14ac:dyDescent="0.3">
      <c r="A291" s="36"/>
      <c r="B291" s="5"/>
      <c r="C291" s="6"/>
      <c r="D291" s="14"/>
      <c r="E291" s="78"/>
      <c r="F291" s="36"/>
      <c r="G291" s="2"/>
      <c r="H291" s="2"/>
      <c r="I291" s="2"/>
      <c r="J291" s="54"/>
      <c r="K291" s="36"/>
      <c r="L291" s="2"/>
    </row>
    <row r="292" spans="1:12" x14ac:dyDescent="0.25">
      <c r="A292" s="3" t="s">
        <v>2</v>
      </c>
      <c r="B292" s="5">
        <f>SUM(B284:B291)</f>
        <v>1.22</v>
      </c>
      <c r="C292" s="6"/>
      <c r="D292" s="14">
        <f>SUM(D284:D291)</f>
        <v>1.1479110000000001E-2</v>
      </c>
      <c r="E292" s="78"/>
      <c r="F292" s="3" t="s">
        <v>2</v>
      </c>
      <c r="G292" s="5">
        <f>SUM(G284:G291)</f>
        <v>0</v>
      </c>
      <c r="H292" s="6"/>
      <c r="I292" s="14">
        <f t="shared" ref="I292" si="20">SUM(I284:I291)</f>
        <v>0</v>
      </c>
      <c r="J292" s="55"/>
      <c r="K292" s="3" t="s">
        <v>2</v>
      </c>
      <c r="L292" s="5">
        <f>SUM(L284:L291)</f>
        <v>0</v>
      </c>
    </row>
    <row r="294" spans="1:12" hidden="1" x14ac:dyDescent="0.25"/>
    <row r="295" spans="1:12" hidden="1" x14ac:dyDescent="0.25">
      <c r="A295" s="82" t="s">
        <v>132</v>
      </c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4"/>
    </row>
    <row r="296" spans="1:12" hidden="1" x14ac:dyDescent="0.25">
      <c r="A296" s="77" t="s">
        <v>102</v>
      </c>
      <c r="B296" s="77"/>
      <c r="C296" s="77"/>
      <c r="D296" s="77"/>
      <c r="E296" s="78"/>
      <c r="F296" s="77" t="s">
        <v>103</v>
      </c>
      <c r="G296" s="77"/>
      <c r="H296" s="77"/>
      <c r="I296" s="77"/>
      <c r="J296" s="53"/>
      <c r="K296" s="77" t="s">
        <v>25</v>
      </c>
      <c r="L296" s="77"/>
    </row>
    <row r="297" spans="1:12" hidden="1" x14ac:dyDescent="0.25">
      <c r="A297" s="28" t="s">
        <v>90</v>
      </c>
      <c r="B297" s="3" t="s">
        <v>3</v>
      </c>
      <c r="C297" s="3" t="s">
        <v>0</v>
      </c>
      <c r="D297" s="3" t="s">
        <v>1</v>
      </c>
      <c r="E297" s="78"/>
      <c r="F297" s="28" t="s">
        <v>90</v>
      </c>
      <c r="G297" s="3" t="s">
        <v>105</v>
      </c>
      <c r="H297" s="3" t="s">
        <v>0</v>
      </c>
      <c r="I297" s="3" t="s">
        <v>1</v>
      </c>
      <c r="J297" s="53"/>
      <c r="K297" s="3" t="s">
        <v>90</v>
      </c>
      <c r="L297" s="3" t="s">
        <v>105</v>
      </c>
    </row>
    <row r="298" spans="1:12" hidden="1" x14ac:dyDescent="0.25">
      <c r="A298" s="33"/>
      <c r="B298" s="34"/>
      <c r="C298" s="5" t="e">
        <f>B298/D298</f>
        <v>#DIV/0!</v>
      </c>
      <c r="D298" s="50"/>
      <c r="E298" s="78"/>
      <c r="F298" s="33"/>
      <c r="G298" s="6"/>
      <c r="H298" s="5" t="e">
        <f>G298/I298</f>
        <v>#DIV/0!</v>
      </c>
      <c r="I298" s="6"/>
      <c r="J298" s="52"/>
      <c r="K298" s="33"/>
      <c r="L298" s="5"/>
    </row>
    <row r="299" spans="1:12" hidden="1" x14ac:dyDescent="0.25">
      <c r="A299" s="33"/>
      <c r="B299" s="34"/>
      <c r="C299" s="6"/>
      <c r="D299" s="50"/>
      <c r="E299" s="78"/>
      <c r="F299" s="33"/>
      <c r="G299" s="6"/>
      <c r="H299" s="5"/>
      <c r="I299" s="6"/>
      <c r="J299" s="52"/>
      <c r="K299" s="33"/>
      <c r="L299" s="5"/>
    </row>
    <row r="300" spans="1:12" hidden="1" x14ac:dyDescent="0.25">
      <c r="A300" s="33"/>
      <c r="B300" s="34"/>
      <c r="C300" s="6"/>
      <c r="D300" s="50"/>
      <c r="E300" s="78"/>
      <c r="F300" s="33"/>
      <c r="G300" s="6"/>
      <c r="H300" s="5"/>
      <c r="I300" s="6"/>
      <c r="J300" s="52"/>
      <c r="K300" s="33"/>
      <c r="L300" s="5"/>
    </row>
    <row r="301" spans="1:12" hidden="1" x14ac:dyDescent="0.25">
      <c r="A301" s="33"/>
      <c r="B301" s="34"/>
      <c r="C301" s="6"/>
      <c r="D301" s="50"/>
      <c r="E301" s="78"/>
      <c r="F301" s="33"/>
      <c r="G301" s="6"/>
      <c r="H301" s="5"/>
      <c r="I301" s="6"/>
      <c r="J301" s="52"/>
      <c r="K301" s="33"/>
      <c r="L301" s="5"/>
    </row>
    <row r="302" spans="1:12" hidden="1" x14ac:dyDescent="0.25">
      <c r="A302" s="33"/>
      <c r="B302" s="5"/>
      <c r="C302" s="6"/>
      <c r="D302" s="50"/>
      <c r="E302" s="78"/>
      <c r="F302" s="33"/>
      <c r="G302" s="2"/>
      <c r="H302" s="2"/>
      <c r="I302" s="2"/>
      <c r="J302" s="54"/>
      <c r="K302" s="33"/>
      <c r="L302" s="2"/>
    </row>
    <row r="303" spans="1:12" hidden="1" x14ac:dyDescent="0.25">
      <c r="A303" s="33"/>
      <c r="B303" s="5"/>
      <c r="C303" s="6"/>
      <c r="D303" s="50"/>
      <c r="E303" s="78"/>
      <c r="F303" s="33"/>
      <c r="G303" s="2"/>
      <c r="H303" s="2"/>
      <c r="I303" s="2"/>
      <c r="J303" s="54"/>
      <c r="K303" s="33"/>
      <c r="L303" s="2"/>
    </row>
    <row r="304" spans="1:12" ht="16.5" hidden="1" x14ac:dyDescent="0.3">
      <c r="A304" s="33"/>
      <c r="B304" s="5"/>
      <c r="C304" s="6"/>
      <c r="D304" s="50"/>
      <c r="E304" s="78"/>
      <c r="F304" s="36"/>
      <c r="G304" s="2"/>
      <c r="H304" s="2"/>
      <c r="I304" s="2"/>
      <c r="J304" s="54"/>
      <c r="K304" s="36"/>
      <c r="L304" s="2"/>
    </row>
    <row r="305" spans="1:12" ht="16.5" hidden="1" x14ac:dyDescent="0.3">
      <c r="A305" s="36"/>
      <c r="B305" s="5"/>
      <c r="C305" s="6"/>
      <c r="D305" s="14"/>
      <c r="E305" s="78"/>
      <c r="F305" s="36"/>
      <c r="G305" s="2"/>
      <c r="H305" s="2"/>
      <c r="I305" s="2"/>
      <c r="J305" s="54"/>
      <c r="K305" s="36"/>
      <c r="L305" s="2"/>
    </row>
    <row r="306" spans="1:12" hidden="1" x14ac:dyDescent="0.25">
      <c r="A306" s="3" t="s">
        <v>2</v>
      </c>
      <c r="B306" s="5">
        <f>SUM(B298:B305)</f>
        <v>0</v>
      </c>
      <c r="C306" s="6"/>
      <c r="D306" s="14">
        <f>SUM(D298:D305)</f>
        <v>0</v>
      </c>
      <c r="E306" s="78"/>
      <c r="F306" s="3" t="s">
        <v>2</v>
      </c>
      <c r="G306" s="5">
        <f>SUM(G298:G305)</f>
        <v>0</v>
      </c>
      <c r="H306" s="6"/>
      <c r="I306" s="14">
        <f t="shared" ref="I306" si="21">SUM(I298:I305)</f>
        <v>0</v>
      </c>
      <c r="J306" s="55"/>
      <c r="K306" s="3" t="s">
        <v>2</v>
      </c>
      <c r="L306" s="5">
        <f>SUM(L298:L305)</f>
        <v>0</v>
      </c>
    </row>
    <row r="307" spans="1:12" hidden="1" x14ac:dyDescent="0.25"/>
    <row r="309" spans="1:12" x14ac:dyDescent="0.25">
      <c r="A309" s="79" t="s">
        <v>136</v>
      </c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1"/>
    </row>
    <row r="310" spans="1:12" x14ac:dyDescent="0.25">
      <c r="A310" s="77" t="s">
        <v>102</v>
      </c>
      <c r="B310" s="77"/>
      <c r="C310" s="77"/>
      <c r="D310" s="77"/>
      <c r="E310" s="78"/>
      <c r="F310" s="77" t="s">
        <v>103</v>
      </c>
      <c r="G310" s="77"/>
      <c r="H310" s="77"/>
      <c r="I310" s="77"/>
      <c r="J310" s="53"/>
      <c r="K310" s="77" t="s">
        <v>25</v>
      </c>
      <c r="L310" s="77"/>
    </row>
    <row r="311" spans="1:12" x14ac:dyDescent="0.25">
      <c r="A311" s="28" t="s">
        <v>90</v>
      </c>
      <c r="B311" s="3" t="s">
        <v>3</v>
      </c>
      <c r="C311" s="3" t="s">
        <v>0</v>
      </c>
      <c r="D311" s="3" t="s">
        <v>1</v>
      </c>
      <c r="E311" s="78"/>
      <c r="F311" s="28" t="s">
        <v>90</v>
      </c>
      <c r="G311" s="3" t="s">
        <v>105</v>
      </c>
      <c r="H311" s="3" t="s">
        <v>0</v>
      </c>
      <c r="I311" s="3" t="s">
        <v>1</v>
      </c>
      <c r="J311" s="53"/>
      <c r="K311" s="3" t="s">
        <v>90</v>
      </c>
      <c r="L311" s="3" t="s">
        <v>105</v>
      </c>
    </row>
    <row r="312" spans="1:12" x14ac:dyDescent="0.25">
      <c r="A312" s="33">
        <v>46174</v>
      </c>
      <c r="B312" s="34">
        <v>1.1000000000000001</v>
      </c>
      <c r="C312" s="5">
        <f>B312/D312</f>
        <v>30.440995940831563</v>
      </c>
      <c r="D312" s="50">
        <v>3.6135479999999998E-2</v>
      </c>
      <c r="E312" s="78"/>
      <c r="F312" s="33"/>
      <c r="G312" s="6"/>
      <c r="H312" s="5" t="e">
        <f>G312/I312</f>
        <v>#DIV/0!</v>
      </c>
      <c r="I312" s="6"/>
      <c r="J312" s="52"/>
      <c r="K312" s="33"/>
      <c r="L312" s="5"/>
    </row>
    <row r="313" spans="1:12" x14ac:dyDescent="0.25">
      <c r="A313" s="33"/>
      <c r="B313" s="34"/>
      <c r="C313" s="6"/>
      <c r="D313" s="50"/>
      <c r="E313" s="78"/>
      <c r="F313" s="33"/>
      <c r="G313" s="6"/>
      <c r="H313" s="5" t="e">
        <f>G313/I313</f>
        <v>#DIV/0!</v>
      </c>
      <c r="I313" s="6"/>
      <c r="J313" s="52"/>
      <c r="K313" s="33"/>
      <c r="L313" s="5"/>
    </row>
    <row r="314" spans="1:12" x14ac:dyDescent="0.25">
      <c r="A314" s="33"/>
      <c r="B314" s="34"/>
      <c r="C314" s="6"/>
      <c r="D314" s="50"/>
      <c r="E314" s="78"/>
      <c r="F314" s="33"/>
      <c r="G314" s="6"/>
      <c r="H314" s="5"/>
      <c r="I314" s="6"/>
      <c r="J314" s="52"/>
      <c r="K314" s="33"/>
      <c r="L314" s="5"/>
    </row>
    <row r="315" spans="1:12" x14ac:dyDescent="0.25">
      <c r="A315" s="33"/>
      <c r="B315" s="34"/>
      <c r="C315" s="6"/>
      <c r="D315" s="50"/>
      <c r="E315" s="78"/>
      <c r="F315" s="33"/>
      <c r="G315" s="6"/>
      <c r="H315" s="5"/>
      <c r="I315" s="6"/>
      <c r="J315" s="52"/>
      <c r="K315" s="33"/>
      <c r="L315" s="5"/>
    </row>
    <row r="316" spans="1:12" x14ac:dyDescent="0.25">
      <c r="A316" s="33"/>
      <c r="B316" s="5"/>
      <c r="C316" s="6"/>
      <c r="D316" s="50"/>
      <c r="E316" s="78"/>
      <c r="F316" s="33"/>
      <c r="G316" s="2"/>
      <c r="H316" s="2"/>
      <c r="I316" s="2"/>
      <c r="J316" s="54"/>
      <c r="K316" s="33"/>
      <c r="L316" s="2"/>
    </row>
    <row r="317" spans="1:12" x14ac:dyDescent="0.25">
      <c r="A317" s="33"/>
      <c r="B317" s="5"/>
      <c r="C317" s="6"/>
      <c r="D317" s="50"/>
      <c r="E317" s="78"/>
      <c r="F317" s="33"/>
      <c r="G317" s="2"/>
      <c r="H317" s="2"/>
      <c r="I317" s="2"/>
      <c r="J317" s="54"/>
      <c r="K317" s="33"/>
      <c r="L317" s="2"/>
    </row>
    <row r="318" spans="1:12" ht="16.5" x14ac:dyDescent="0.3">
      <c r="A318" s="33"/>
      <c r="B318" s="5"/>
      <c r="C318" s="6"/>
      <c r="D318" s="50"/>
      <c r="E318" s="78"/>
      <c r="F318" s="36"/>
      <c r="G318" s="2"/>
      <c r="H318" s="2"/>
      <c r="I318" s="2"/>
      <c r="J318" s="54"/>
      <c r="K318" s="36"/>
      <c r="L318" s="2"/>
    </row>
    <row r="319" spans="1:12" ht="16.5" x14ac:dyDescent="0.3">
      <c r="A319" s="36"/>
      <c r="B319" s="5"/>
      <c r="C319" s="6"/>
      <c r="D319" s="14"/>
      <c r="E319" s="78"/>
      <c r="F319" s="36"/>
      <c r="G319" s="2"/>
      <c r="H319" s="2"/>
      <c r="I319" s="2"/>
      <c r="J319" s="54"/>
      <c r="K319" s="36"/>
      <c r="L319" s="2"/>
    </row>
    <row r="320" spans="1:12" x14ac:dyDescent="0.25">
      <c r="A320" s="3" t="s">
        <v>2</v>
      </c>
      <c r="B320" s="5">
        <f>SUM(B312:B319)</f>
        <v>1.1000000000000001</v>
      </c>
      <c r="C320" s="6"/>
      <c r="D320" s="14">
        <f>SUM(D312:D319)</f>
        <v>3.6135479999999998E-2</v>
      </c>
      <c r="E320" s="78"/>
      <c r="F320" s="3" t="s">
        <v>2</v>
      </c>
      <c r="G320" s="5">
        <f>SUM(G312:G319)</f>
        <v>0</v>
      </c>
      <c r="H320" s="6"/>
      <c r="I320" s="14">
        <f t="shared" ref="I320" si="22">SUM(I312:I319)</f>
        <v>0</v>
      </c>
      <c r="J320" s="55"/>
      <c r="K320" s="3" t="s">
        <v>2</v>
      </c>
      <c r="L320" s="5">
        <f>SUM(L312:L319)</f>
        <v>0</v>
      </c>
    </row>
    <row r="323" spans="1:12" x14ac:dyDescent="0.25">
      <c r="A323" s="79" t="s">
        <v>137</v>
      </c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1"/>
    </row>
    <row r="324" spans="1:12" x14ac:dyDescent="0.25">
      <c r="A324" s="77" t="s">
        <v>102</v>
      </c>
      <c r="B324" s="77"/>
      <c r="C324" s="77"/>
      <c r="D324" s="77"/>
      <c r="E324" s="78"/>
      <c r="F324" s="77" t="s">
        <v>103</v>
      </c>
      <c r="G324" s="77"/>
      <c r="H324" s="77"/>
      <c r="I324" s="77"/>
      <c r="J324" s="53"/>
      <c r="K324" s="77" t="s">
        <v>25</v>
      </c>
      <c r="L324" s="77"/>
    </row>
    <row r="325" spans="1:12" x14ac:dyDescent="0.25">
      <c r="A325" s="28" t="s">
        <v>90</v>
      </c>
      <c r="B325" s="3" t="s">
        <v>3</v>
      </c>
      <c r="C325" s="3" t="s">
        <v>0</v>
      </c>
      <c r="D325" s="3" t="s">
        <v>1</v>
      </c>
      <c r="E325" s="78"/>
      <c r="F325" s="28" t="s">
        <v>90</v>
      </c>
      <c r="G325" s="3" t="s">
        <v>105</v>
      </c>
      <c r="H325" s="3" t="s">
        <v>0</v>
      </c>
      <c r="I325" s="3" t="s">
        <v>1</v>
      </c>
      <c r="J325" s="53"/>
      <c r="K325" s="3" t="s">
        <v>90</v>
      </c>
      <c r="L325" s="3" t="s">
        <v>105</v>
      </c>
    </row>
    <row r="326" spans="1:12" x14ac:dyDescent="0.25">
      <c r="A326" s="33">
        <v>46174</v>
      </c>
      <c r="B326" s="34">
        <v>1.19</v>
      </c>
      <c r="C326" s="5">
        <f>B326/D326</f>
        <v>20.279001571026178</v>
      </c>
      <c r="D326" s="50">
        <v>5.868139E-2</v>
      </c>
      <c r="E326" s="78"/>
      <c r="F326" s="33"/>
      <c r="G326" s="6"/>
      <c r="H326" s="5" t="e">
        <f>G326/I326</f>
        <v>#DIV/0!</v>
      </c>
      <c r="I326" s="6"/>
      <c r="J326" s="52"/>
      <c r="K326" s="33"/>
      <c r="L326" s="5"/>
    </row>
    <row r="327" spans="1:12" x14ac:dyDescent="0.25">
      <c r="A327" s="33"/>
      <c r="B327" s="34"/>
      <c r="C327" s="6"/>
      <c r="D327" s="50"/>
      <c r="E327" s="78"/>
      <c r="F327" s="33"/>
      <c r="G327" s="6"/>
      <c r="H327" s="5" t="e">
        <f>G327/I327</f>
        <v>#DIV/0!</v>
      </c>
      <c r="I327" s="6"/>
      <c r="J327" s="52"/>
      <c r="K327" s="33"/>
      <c r="L327" s="5"/>
    </row>
    <row r="328" spans="1:12" x14ac:dyDescent="0.25">
      <c r="A328" s="33"/>
      <c r="B328" s="34"/>
      <c r="C328" s="6"/>
      <c r="D328" s="50"/>
      <c r="E328" s="78"/>
      <c r="F328" s="33"/>
      <c r="G328" s="6"/>
      <c r="H328" s="5"/>
      <c r="I328" s="6"/>
      <c r="J328" s="52"/>
      <c r="K328" s="33"/>
      <c r="L328" s="5"/>
    </row>
    <row r="329" spans="1:12" x14ac:dyDescent="0.25">
      <c r="A329" s="33"/>
      <c r="B329" s="34"/>
      <c r="C329" s="6"/>
      <c r="D329" s="50"/>
      <c r="E329" s="78"/>
      <c r="F329" s="33"/>
      <c r="G329" s="6"/>
      <c r="H329" s="5"/>
      <c r="I329" s="6"/>
      <c r="J329" s="52"/>
      <c r="K329" s="33"/>
      <c r="L329" s="5"/>
    </row>
    <row r="330" spans="1:12" x14ac:dyDescent="0.25">
      <c r="A330" s="33"/>
      <c r="B330" s="5"/>
      <c r="C330" s="6"/>
      <c r="D330" s="50"/>
      <c r="E330" s="78"/>
      <c r="F330" s="33"/>
      <c r="G330" s="2"/>
      <c r="H330" s="2"/>
      <c r="I330" s="2"/>
      <c r="J330" s="54"/>
      <c r="K330" s="33"/>
      <c r="L330" s="2"/>
    </row>
    <row r="331" spans="1:12" x14ac:dyDescent="0.25">
      <c r="A331" s="33"/>
      <c r="B331" s="5"/>
      <c r="C331" s="6"/>
      <c r="D331" s="50"/>
      <c r="E331" s="78"/>
      <c r="F331" s="33"/>
      <c r="G331" s="2"/>
      <c r="H331" s="2"/>
      <c r="I331" s="2"/>
      <c r="J331" s="54"/>
      <c r="K331" s="33"/>
      <c r="L331" s="2"/>
    </row>
    <row r="332" spans="1:12" ht="16.5" x14ac:dyDescent="0.3">
      <c r="A332" s="33"/>
      <c r="B332" s="5"/>
      <c r="C332" s="6"/>
      <c r="D332" s="50"/>
      <c r="E332" s="78"/>
      <c r="F332" s="36"/>
      <c r="G332" s="2"/>
      <c r="H332" s="2"/>
      <c r="I332" s="2"/>
      <c r="J332" s="54"/>
      <c r="K332" s="36"/>
      <c r="L332" s="2"/>
    </row>
    <row r="333" spans="1:12" ht="16.5" x14ac:dyDescent="0.3">
      <c r="A333" s="36"/>
      <c r="B333" s="5"/>
      <c r="C333" s="6"/>
      <c r="D333" s="14"/>
      <c r="E333" s="78"/>
      <c r="F333" s="36"/>
      <c r="G333" s="2"/>
      <c r="H333" s="2"/>
      <c r="I333" s="2"/>
      <c r="J333" s="54"/>
      <c r="K333" s="36"/>
      <c r="L333" s="2"/>
    </row>
    <row r="334" spans="1:12" x14ac:dyDescent="0.25">
      <c r="A334" s="3" t="s">
        <v>2</v>
      </c>
      <c r="B334" s="5">
        <f>SUM(B326:B333)</f>
        <v>1.19</v>
      </c>
      <c r="C334" s="6"/>
      <c r="D334" s="14">
        <f>SUM(D326:D333)</f>
        <v>5.868139E-2</v>
      </c>
      <c r="E334" s="78"/>
      <c r="F334" s="3" t="s">
        <v>2</v>
      </c>
      <c r="G334" s="5">
        <f>SUM(G326:G333)</f>
        <v>0</v>
      </c>
      <c r="H334" s="6"/>
      <c r="I334" s="14">
        <f t="shared" ref="I334" si="23">SUM(I326:I333)</f>
        <v>0</v>
      </c>
      <c r="J334" s="55"/>
      <c r="K334" s="3" t="s">
        <v>2</v>
      </c>
      <c r="L334" s="5">
        <f>SUM(L326:L333)</f>
        <v>0</v>
      </c>
    </row>
    <row r="336" spans="1:12" hidden="1" x14ac:dyDescent="0.25"/>
    <row r="337" spans="1:12" hidden="1" x14ac:dyDescent="0.25">
      <c r="A337" s="82" t="s">
        <v>138</v>
      </c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4"/>
    </row>
    <row r="338" spans="1:12" hidden="1" x14ac:dyDescent="0.25">
      <c r="A338" s="77" t="s">
        <v>102</v>
      </c>
      <c r="B338" s="77"/>
      <c r="C338" s="77"/>
      <c r="D338" s="77"/>
      <c r="E338" s="78"/>
      <c r="F338" s="77" t="s">
        <v>103</v>
      </c>
      <c r="G338" s="77"/>
      <c r="H338" s="77"/>
      <c r="I338" s="77"/>
      <c r="J338" s="53"/>
      <c r="K338" s="77" t="s">
        <v>25</v>
      </c>
      <c r="L338" s="77"/>
    </row>
    <row r="339" spans="1:12" hidden="1" x14ac:dyDescent="0.25">
      <c r="A339" s="28" t="s">
        <v>90</v>
      </c>
      <c r="B339" s="3" t="s">
        <v>3</v>
      </c>
      <c r="C339" s="3" t="s">
        <v>0</v>
      </c>
      <c r="D339" s="3" t="s">
        <v>1</v>
      </c>
      <c r="E339" s="78"/>
      <c r="F339" s="28" t="s">
        <v>90</v>
      </c>
      <c r="G339" s="3" t="s">
        <v>105</v>
      </c>
      <c r="H339" s="3" t="s">
        <v>0</v>
      </c>
      <c r="I339" s="3" t="s">
        <v>1</v>
      </c>
      <c r="J339" s="53"/>
      <c r="K339" s="3" t="s">
        <v>90</v>
      </c>
      <c r="L339" s="3" t="s">
        <v>105</v>
      </c>
    </row>
    <row r="340" spans="1:12" hidden="1" x14ac:dyDescent="0.25">
      <c r="A340" s="33"/>
      <c r="B340" s="34"/>
      <c r="C340" s="5" t="e">
        <f>B340/D340</f>
        <v>#DIV/0!</v>
      </c>
      <c r="D340" s="50"/>
      <c r="E340" s="78"/>
      <c r="F340" s="33"/>
      <c r="G340" s="5"/>
      <c r="H340" s="5" t="e">
        <f>G340/I340</f>
        <v>#DIV/0!</v>
      </c>
      <c r="I340" s="6"/>
      <c r="J340" s="52"/>
      <c r="K340" s="33"/>
      <c r="L340" s="5"/>
    </row>
    <row r="341" spans="1:12" hidden="1" x14ac:dyDescent="0.25">
      <c r="A341" s="33"/>
      <c r="B341" s="34"/>
      <c r="C341" s="5" t="e">
        <f>B341/D341</f>
        <v>#DIV/0!</v>
      </c>
      <c r="D341" s="50"/>
      <c r="E341" s="78"/>
      <c r="F341" s="33"/>
      <c r="G341" s="6"/>
      <c r="H341" s="5"/>
      <c r="I341" s="6"/>
      <c r="J341" s="52"/>
      <c r="K341" s="33"/>
      <c r="L341" s="5"/>
    </row>
    <row r="342" spans="1:12" hidden="1" x14ac:dyDescent="0.25">
      <c r="A342" s="33"/>
      <c r="B342" s="34"/>
      <c r="C342" s="5" t="e">
        <f>B342/D342</f>
        <v>#DIV/0!</v>
      </c>
      <c r="D342" s="50"/>
      <c r="E342" s="78"/>
      <c r="F342" s="33"/>
      <c r="G342" s="6"/>
      <c r="H342" s="5"/>
      <c r="I342" s="6"/>
      <c r="J342" s="52"/>
      <c r="K342" s="33"/>
      <c r="L342" s="5"/>
    </row>
    <row r="343" spans="1:12" hidden="1" x14ac:dyDescent="0.25">
      <c r="A343" s="33"/>
      <c r="B343" s="34"/>
      <c r="C343" s="6"/>
      <c r="D343" s="50"/>
      <c r="E343" s="78"/>
      <c r="F343" s="33"/>
      <c r="G343" s="6"/>
      <c r="H343" s="5"/>
      <c r="I343" s="6"/>
      <c r="J343" s="52"/>
      <c r="K343" s="33"/>
      <c r="L343" s="5"/>
    </row>
    <row r="344" spans="1:12" hidden="1" x14ac:dyDescent="0.25">
      <c r="A344" s="33"/>
      <c r="B344" s="5"/>
      <c r="C344" s="6"/>
      <c r="D344" s="50"/>
      <c r="E344" s="78"/>
      <c r="F344" s="33"/>
      <c r="G344" s="2"/>
      <c r="H344" s="2"/>
      <c r="I344" s="2"/>
      <c r="J344" s="54"/>
      <c r="K344" s="33"/>
      <c r="L344" s="2"/>
    </row>
    <row r="345" spans="1:12" hidden="1" x14ac:dyDescent="0.25">
      <c r="A345" s="33"/>
      <c r="B345" s="5"/>
      <c r="C345" s="6"/>
      <c r="D345" s="50"/>
      <c r="E345" s="78"/>
      <c r="F345" s="33"/>
      <c r="G345" s="2"/>
      <c r="H345" s="2"/>
      <c r="I345" s="2"/>
      <c r="J345" s="54"/>
      <c r="K345" s="33"/>
      <c r="L345" s="2"/>
    </row>
    <row r="346" spans="1:12" ht="16.5" hidden="1" x14ac:dyDescent="0.3">
      <c r="A346" s="33"/>
      <c r="B346" s="5"/>
      <c r="C346" s="6"/>
      <c r="D346" s="50"/>
      <c r="E346" s="78"/>
      <c r="F346" s="36"/>
      <c r="G346" s="2"/>
      <c r="H346" s="2"/>
      <c r="I346" s="2"/>
      <c r="J346" s="54"/>
      <c r="K346" s="36"/>
      <c r="L346" s="2"/>
    </row>
    <row r="347" spans="1:12" ht="16.5" hidden="1" x14ac:dyDescent="0.3">
      <c r="A347" s="36"/>
      <c r="B347" s="5"/>
      <c r="C347" s="6"/>
      <c r="D347" s="14"/>
      <c r="E347" s="78"/>
      <c r="F347" s="36"/>
      <c r="G347" s="2"/>
      <c r="H347" s="2"/>
      <c r="I347" s="2"/>
      <c r="J347" s="54"/>
      <c r="K347" s="36"/>
      <c r="L347" s="2"/>
    </row>
    <row r="348" spans="1:12" hidden="1" x14ac:dyDescent="0.25">
      <c r="A348" s="3" t="s">
        <v>2</v>
      </c>
      <c r="B348" s="5">
        <f>SUM(B340:B347)</f>
        <v>0</v>
      </c>
      <c r="C348" s="6"/>
      <c r="D348" s="14">
        <f>SUM(D340:D347)</f>
        <v>0</v>
      </c>
      <c r="E348" s="78"/>
      <c r="F348" s="3" t="s">
        <v>2</v>
      </c>
      <c r="G348" s="5">
        <f>SUM(G340:G347)</f>
        <v>0</v>
      </c>
      <c r="H348" s="6"/>
      <c r="I348" s="7">
        <f t="shared" ref="I348" si="24">SUM(I340:I347)</f>
        <v>0</v>
      </c>
      <c r="J348" s="55"/>
      <c r="K348" s="3" t="s">
        <v>2</v>
      </c>
      <c r="L348" s="5">
        <f>SUM(L340:L347)</f>
        <v>0</v>
      </c>
    </row>
    <row r="349" spans="1:12" hidden="1" x14ac:dyDescent="0.25"/>
    <row r="351" spans="1:12" x14ac:dyDescent="0.25">
      <c r="A351" s="79" t="s">
        <v>141</v>
      </c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1"/>
    </row>
    <row r="352" spans="1:12" x14ac:dyDescent="0.25">
      <c r="A352" s="77" t="s">
        <v>102</v>
      </c>
      <c r="B352" s="77"/>
      <c r="C352" s="77"/>
      <c r="D352" s="77"/>
      <c r="E352" s="78"/>
      <c r="F352" s="77" t="s">
        <v>103</v>
      </c>
      <c r="G352" s="77"/>
      <c r="H352" s="77"/>
      <c r="I352" s="77"/>
      <c r="J352" s="53"/>
      <c r="K352" s="77" t="s">
        <v>25</v>
      </c>
      <c r="L352" s="77"/>
    </row>
    <row r="353" spans="1:12" x14ac:dyDescent="0.25">
      <c r="A353" s="28" t="s">
        <v>90</v>
      </c>
      <c r="B353" s="3" t="s">
        <v>3</v>
      </c>
      <c r="C353" s="3" t="s">
        <v>0</v>
      </c>
      <c r="D353" s="3" t="s">
        <v>1</v>
      </c>
      <c r="E353" s="78"/>
      <c r="F353" s="28" t="s">
        <v>90</v>
      </c>
      <c r="G353" s="3" t="s">
        <v>105</v>
      </c>
      <c r="H353" s="3" t="s">
        <v>0</v>
      </c>
      <c r="I353" s="3" t="s">
        <v>1</v>
      </c>
      <c r="J353" s="53"/>
      <c r="K353" s="3" t="s">
        <v>90</v>
      </c>
      <c r="L353" s="3" t="s">
        <v>105</v>
      </c>
    </row>
    <row r="354" spans="1:12" x14ac:dyDescent="0.25">
      <c r="A354" s="33">
        <v>46174</v>
      </c>
      <c r="B354" s="34">
        <v>2.57</v>
      </c>
      <c r="C354" s="5">
        <f>B354/D354</f>
        <v>305.09991725500294</v>
      </c>
      <c r="D354" s="50">
        <v>8.4234700000000006E-3</v>
      </c>
      <c r="E354" s="78"/>
      <c r="F354" s="33"/>
      <c r="G354" s="6"/>
      <c r="H354" s="5" t="e">
        <f>G354/I354</f>
        <v>#DIV/0!</v>
      </c>
      <c r="I354" s="6"/>
      <c r="J354" s="52"/>
      <c r="K354" s="33"/>
      <c r="L354" s="5"/>
    </row>
    <row r="355" spans="1:12" x14ac:dyDescent="0.25">
      <c r="A355" s="33"/>
      <c r="B355" s="34"/>
      <c r="C355" s="5"/>
      <c r="D355" s="50"/>
      <c r="E355" s="78"/>
      <c r="F355" s="33"/>
      <c r="G355" s="6"/>
      <c r="H355" s="5"/>
      <c r="I355" s="6"/>
      <c r="J355" s="52"/>
      <c r="K355" s="33"/>
      <c r="L355" s="5"/>
    </row>
    <row r="356" spans="1:12" x14ac:dyDescent="0.25">
      <c r="A356" s="33"/>
      <c r="B356" s="34"/>
      <c r="C356" s="6"/>
      <c r="D356" s="50"/>
      <c r="E356" s="78"/>
      <c r="F356" s="33"/>
      <c r="G356" s="6"/>
      <c r="H356" s="5"/>
      <c r="I356" s="6"/>
      <c r="J356" s="52"/>
      <c r="K356" s="33"/>
      <c r="L356" s="5"/>
    </row>
    <row r="357" spans="1:12" x14ac:dyDescent="0.25">
      <c r="A357" s="33"/>
      <c r="B357" s="34"/>
      <c r="C357" s="6"/>
      <c r="D357" s="50"/>
      <c r="E357" s="78"/>
      <c r="F357" s="33"/>
      <c r="G357" s="6"/>
      <c r="H357" s="5"/>
      <c r="I357" s="6"/>
      <c r="J357" s="52"/>
      <c r="K357" s="33"/>
      <c r="L357" s="5"/>
    </row>
    <row r="358" spans="1:12" x14ac:dyDescent="0.25">
      <c r="A358" s="33"/>
      <c r="B358" s="5"/>
      <c r="C358" s="6"/>
      <c r="D358" s="50"/>
      <c r="E358" s="78"/>
      <c r="F358" s="33"/>
      <c r="G358" s="2"/>
      <c r="H358" s="2"/>
      <c r="I358" s="2"/>
      <c r="J358" s="54"/>
      <c r="K358" s="33"/>
      <c r="L358" s="2"/>
    </row>
    <row r="359" spans="1:12" x14ac:dyDescent="0.25">
      <c r="A359" s="33"/>
      <c r="B359" s="5"/>
      <c r="C359" s="6"/>
      <c r="D359" s="50"/>
      <c r="E359" s="78"/>
      <c r="F359" s="33"/>
      <c r="G359" s="2"/>
      <c r="H359" s="2"/>
      <c r="I359" s="2"/>
      <c r="J359" s="54"/>
      <c r="K359" s="33"/>
      <c r="L359" s="2"/>
    </row>
    <row r="360" spans="1:12" ht="16.5" x14ac:dyDescent="0.3">
      <c r="A360" s="33"/>
      <c r="B360" s="5"/>
      <c r="C360" s="6"/>
      <c r="D360" s="50"/>
      <c r="E360" s="78"/>
      <c r="F360" s="36"/>
      <c r="G360" s="2"/>
      <c r="H360" s="2"/>
      <c r="I360" s="2"/>
      <c r="J360" s="54"/>
      <c r="K360" s="36"/>
      <c r="L360" s="2"/>
    </row>
    <row r="361" spans="1:12" ht="16.5" x14ac:dyDescent="0.3">
      <c r="A361" s="36"/>
      <c r="B361" s="5"/>
      <c r="C361" s="6"/>
      <c r="D361" s="14"/>
      <c r="E361" s="78"/>
      <c r="F361" s="36"/>
      <c r="G361" s="2"/>
      <c r="H361" s="2"/>
      <c r="I361" s="2"/>
      <c r="J361" s="54"/>
      <c r="K361" s="36"/>
      <c r="L361" s="2"/>
    </row>
    <row r="362" spans="1:12" x14ac:dyDescent="0.25">
      <c r="A362" s="3" t="s">
        <v>2</v>
      </c>
      <c r="B362" s="5">
        <f>SUM(B354:B361)</f>
        <v>2.57</v>
      </c>
      <c r="C362" s="6"/>
      <c r="D362" s="14">
        <f>SUM(D354:D361)</f>
        <v>8.4234700000000006E-3</v>
      </c>
      <c r="E362" s="78"/>
      <c r="F362" s="3" t="s">
        <v>2</v>
      </c>
      <c r="G362" s="5">
        <f>SUM(G354:G361)</f>
        <v>0</v>
      </c>
      <c r="H362" s="6"/>
      <c r="I362" s="14">
        <f t="shared" ref="I362" si="25">SUM(I354:I361)</f>
        <v>0</v>
      </c>
      <c r="J362" s="55"/>
      <c r="K362" s="3" t="s">
        <v>2</v>
      </c>
      <c r="L362" s="5">
        <f>SUM(L354:L361)</f>
        <v>0</v>
      </c>
    </row>
    <row r="364" spans="1:12" hidden="1" x14ac:dyDescent="0.25"/>
    <row r="365" spans="1:12" hidden="1" x14ac:dyDescent="0.25">
      <c r="A365" s="82" t="s">
        <v>144</v>
      </c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4"/>
    </row>
    <row r="366" spans="1:12" hidden="1" x14ac:dyDescent="0.25">
      <c r="A366" s="77" t="s">
        <v>102</v>
      </c>
      <c r="B366" s="77"/>
      <c r="C366" s="77"/>
      <c r="D366" s="77"/>
      <c r="E366" s="78"/>
      <c r="F366" s="77" t="s">
        <v>103</v>
      </c>
      <c r="G366" s="77"/>
      <c r="H366" s="77"/>
      <c r="I366" s="77"/>
      <c r="J366" s="53"/>
      <c r="K366" s="77" t="s">
        <v>25</v>
      </c>
      <c r="L366" s="77"/>
    </row>
    <row r="367" spans="1:12" hidden="1" x14ac:dyDescent="0.25">
      <c r="A367" s="28" t="s">
        <v>90</v>
      </c>
      <c r="B367" s="3" t="s">
        <v>3</v>
      </c>
      <c r="C367" s="3" t="s">
        <v>0</v>
      </c>
      <c r="D367" s="3" t="s">
        <v>1</v>
      </c>
      <c r="E367" s="78"/>
      <c r="F367" s="28" t="s">
        <v>90</v>
      </c>
      <c r="G367" s="3" t="s">
        <v>105</v>
      </c>
      <c r="H367" s="3" t="s">
        <v>0</v>
      </c>
      <c r="I367" s="3" t="s">
        <v>1</v>
      </c>
      <c r="J367" s="53"/>
      <c r="K367" s="3" t="s">
        <v>90</v>
      </c>
      <c r="L367" s="3" t="s">
        <v>105</v>
      </c>
    </row>
    <row r="368" spans="1:12" hidden="1" x14ac:dyDescent="0.25">
      <c r="A368" s="33"/>
      <c r="B368" s="34"/>
      <c r="C368" s="5" t="e">
        <f>B368/D368</f>
        <v>#DIV/0!</v>
      </c>
      <c r="D368" s="50"/>
      <c r="E368" s="78"/>
      <c r="F368" s="33"/>
      <c r="G368" s="6"/>
      <c r="H368" s="5" t="e">
        <f>G368/I368</f>
        <v>#DIV/0!</v>
      </c>
      <c r="I368" s="6"/>
      <c r="J368" s="52"/>
      <c r="K368" s="33"/>
      <c r="L368" s="5"/>
    </row>
    <row r="369" spans="1:12" hidden="1" x14ac:dyDescent="0.25">
      <c r="A369" s="33"/>
      <c r="B369" s="34"/>
      <c r="C369" s="5" t="e">
        <f>B369/D369</f>
        <v>#DIV/0!</v>
      </c>
      <c r="D369" s="50"/>
      <c r="E369" s="78"/>
      <c r="F369" s="33"/>
      <c r="G369" s="6"/>
      <c r="H369" s="5"/>
      <c r="I369" s="6"/>
      <c r="J369" s="52"/>
      <c r="K369" s="33"/>
      <c r="L369" s="5"/>
    </row>
    <row r="370" spans="1:12" hidden="1" x14ac:dyDescent="0.25">
      <c r="A370" s="33"/>
      <c r="B370" s="34"/>
      <c r="C370" s="6"/>
      <c r="D370" s="50"/>
      <c r="E370" s="78"/>
      <c r="F370" s="33"/>
      <c r="G370" s="6"/>
      <c r="H370" s="5"/>
      <c r="I370" s="6"/>
      <c r="J370" s="52"/>
      <c r="K370" s="33"/>
      <c r="L370" s="5"/>
    </row>
    <row r="371" spans="1:12" hidden="1" x14ac:dyDescent="0.25">
      <c r="A371" s="33"/>
      <c r="B371" s="34"/>
      <c r="C371" s="6"/>
      <c r="D371" s="50"/>
      <c r="E371" s="78"/>
      <c r="F371" s="33"/>
      <c r="G371" s="6"/>
      <c r="H371" s="5"/>
      <c r="I371" s="6"/>
      <c r="J371" s="52"/>
      <c r="K371" s="33"/>
      <c r="L371" s="5"/>
    </row>
    <row r="372" spans="1:12" hidden="1" x14ac:dyDescent="0.25">
      <c r="A372" s="33"/>
      <c r="B372" s="5"/>
      <c r="C372" s="6"/>
      <c r="D372" s="50"/>
      <c r="E372" s="78"/>
      <c r="F372" s="33"/>
      <c r="G372" s="2"/>
      <c r="H372" s="2"/>
      <c r="I372" s="2"/>
      <c r="J372" s="54"/>
      <c r="K372" s="33"/>
      <c r="L372" s="2"/>
    </row>
    <row r="373" spans="1:12" hidden="1" x14ac:dyDescent="0.25">
      <c r="A373" s="33"/>
      <c r="B373" s="5"/>
      <c r="C373" s="6"/>
      <c r="D373" s="50"/>
      <c r="E373" s="78"/>
      <c r="F373" s="33"/>
      <c r="G373" s="2"/>
      <c r="H373" s="2"/>
      <c r="I373" s="2"/>
      <c r="J373" s="54"/>
      <c r="K373" s="33"/>
      <c r="L373" s="2"/>
    </row>
    <row r="374" spans="1:12" ht="16.5" hidden="1" x14ac:dyDescent="0.3">
      <c r="A374" s="33"/>
      <c r="B374" s="5"/>
      <c r="C374" s="6"/>
      <c r="D374" s="50"/>
      <c r="E374" s="78"/>
      <c r="F374" s="36"/>
      <c r="G374" s="2"/>
      <c r="H374" s="2"/>
      <c r="I374" s="2"/>
      <c r="J374" s="54"/>
      <c r="K374" s="36"/>
      <c r="L374" s="2"/>
    </row>
    <row r="375" spans="1:12" ht="16.5" hidden="1" x14ac:dyDescent="0.3">
      <c r="A375" s="36"/>
      <c r="B375" s="5"/>
      <c r="C375" s="6"/>
      <c r="D375" s="14"/>
      <c r="E375" s="78"/>
      <c r="F375" s="36"/>
      <c r="G375" s="2"/>
      <c r="H375" s="2"/>
      <c r="I375" s="2"/>
      <c r="J375" s="54"/>
      <c r="K375" s="36"/>
      <c r="L375" s="2"/>
    </row>
    <row r="376" spans="1:12" hidden="1" x14ac:dyDescent="0.25">
      <c r="A376" s="3" t="s">
        <v>2</v>
      </c>
      <c r="B376" s="5">
        <f>SUM(B368:B375)</f>
        <v>0</v>
      </c>
      <c r="C376" s="6"/>
      <c r="D376" s="14">
        <f>SUM(D368:D375)</f>
        <v>0</v>
      </c>
      <c r="E376" s="78"/>
      <c r="F376" s="3" t="s">
        <v>2</v>
      </c>
      <c r="G376" s="5">
        <f>SUM(G368:G375)</f>
        <v>0</v>
      </c>
      <c r="H376" s="6"/>
      <c r="I376" s="14">
        <f t="shared" ref="I376" si="26">SUM(I368:I375)</f>
        <v>0</v>
      </c>
      <c r="J376" s="55"/>
      <c r="K376" s="3" t="s">
        <v>2</v>
      </c>
      <c r="L376" s="5">
        <f>SUM(L368:L375)</f>
        <v>0</v>
      </c>
    </row>
    <row r="377" spans="1:12" hidden="1" x14ac:dyDescent="0.25"/>
    <row r="378" spans="1:12" hidden="1" x14ac:dyDescent="0.25"/>
    <row r="379" spans="1:12" hidden="1" x14ac:dyDescent="0.25">
      <c r="A379" s="82" t="s">
        <v>145</v>
      </c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4"/>
    </row>
    <row r="380" spans="1:12" hidden="1" x14ac:dyDescent="0.25">
      <c r="A380" s="77" t="s">
        <v>102</v>
      </c>
      <c r="B380" s="77"/>
      <c r="C380" s="77"/>
      <c r="D380" s="77"/>
      <c r="E380" s="78"/>
      <c r="F380" s="77" t="s">
        <v>103</v>
      </c>
      <c r="G380" s="77"/>
      <c r="H380" s="77"/>
      <c r="I380" s="77"/>
      <c r="J380" s="53"/>
      <c r="K380" s="77" t="s">
        <v>25</v>
      </c>
      <c r="L380" s="77"/>
    </row>
    <row r="381" spans="1:12" hidden="1" x14ac:dyDescent="0.25">
      <c r="A381" s="28" t="s">
        <v>90</v>
      </c>
      <c r="B381" s="3" t="s">
        <v>3</v>
      </c>
      <c r="C381" s="3" t="s">
        <v>0</v>
      </c>
      <c r="D381" s="3" t="s">
        <v>1</v>
      </c>
      <c r="E381" s="78"/>
      <c r="F381" s="28" t="s">
        <v>90</v>
      </c>
      <c r="G381" s="3" t="s">
        <v>105</v>
      </c>
      <c r="H381" s="3" t="s">
        <v>0</v>
      </c>
      <c r="I381" s="3" t="s">
        <v>1</v>
      </c>
      <c r="J381" s="53"/>
      <c r="K381" s="3" t="s">
        <v>90</v>
      </c>
      <c r="L381" s="3" t="s">
        <v>105</v>
      </c>
    </row>
    <row r="382" spans="1:12" hidden="1" x14ac:dyDescent="0.25">
      <c r="A382" s="33"/>
      <c r="B382" s="34"/>
      <c r="C382" s="5" t="e">
        <f>B382/D382</f>
        <v>#DIV/0!</v>
      </c>
      <c r="D382" s="50"/>
      <c r="E382" s="78"/>
      <c r="F382" s="33"/>
      <c r="G382" s="6"/>
      <c r="H382" s="5" t="e">
        <f>G382/I382</f>
        <v>#DIV/0!</v>
      </c>
      <c r="I382" s="6"/>
      <c r="J382" s="52"/>
      <c r="K382" s="33"/>
      <c r="L382" s="5"/>
    </row>
    <row r="383" spans="1:12" hidden="1" x14ac:dyDescent="0.25">
      <c r="A383" s="33"/>
      <c r="B383" s="34"/>
      <c r="C383" s="5" t="e">
        <f>B383/D383</f>
        <v>#DIV/0!</v>
      </c>
      <c r="D383" s="50"/>
      <c r="E383" s="78"/>
      <c r="F383" s="33"/>
      <c r="G383" s="6"/>
      <c r="H383" s="5"/>
      <c r="I383" s="6"/>
      <c r="J383" s="52"/>
      <c r="K383" s="33"/>
      <c r="L383" s="5"/>
    </row>
    <row r="384" spans="1:12" hidden="1" x14ac:dyDescent="0.25">
      <c r="A384" s="33"/>
      <c r="B384" s="34"/>
      <c r="C384" s="6"/>
      <c r="D384" s="50"/>
      <c r="E384" s="78"/>
      <c r="F384" s="33"/>
      <c r="G384" s="6"/>
      <c r="H384" s="5"/>
      <c r="I384" s="6"/>
      <c r="J384" s="52"/>
      <c r="K384" s="33"/>
      <c r="L384" s="5"/>
    </row>
    <row r="385" spans="1:12" hidden="1" x14ac:dyDescent="0.25">
      <c r="A385" s="33"/>
      <c r="B385" s="34"/>
      <c r="C385" s="6"/>
      <c r="D385" s="50"/>
      <c r="E385" s="78"/>
      <c r="F385" s="33"/>
      <c r="G385" s="6"/>
      <c r="H385" s="5"/>
      <c r="I385" s="6"/>
      <c r="J385" s="52"/>
      <c r="K385" s="33"/>
      <c r="L385" s="5"/>
    </row>
    <row r="386" spans="1:12" hidden="1" x14ac:dyDescent="0.25">
      <c r="A386" s="33"/>
      <c r="B386" s="5"/>
      <c r="C386" s="6"/>
      <c r="D386" s="50"/>
      <c r="E386" s="78"/>
      <c r="F386" s="33"/>
      <c r="G386" s="2"/>
      <c r="H386" s="2"/>
      <c r="I386" s="2"/>
      <c r="J386" s="54"/>
      <c r="K386" s="33"/>
      <c r="L386" s="2"/>
    </row>
    <row r="387" spans="1:12" hidden="1" x14ac:dyDescent="0.25">
      <c r="A387" s="33"/>
      <c r="B387" s="5"/>
      <c r="C387" s="6"/>
      <c r="D387" s="50"/>
      <c r="E387" s="78"/>
      <c r="F387" s="33"/>
      <c r="G387" s="2"/>
      <c r="H387" s="2"/>
      <c r="I387" s="2"/>
      <c r="J387" s="54"/>
      <c r="K387" s="33"/>
      <c r="L387" s="2"/>
    </row>
    <row r="388" spans="1:12" ht="16.5" hidden="1" x14ac:dyDescent="0.3">
      <c r="A388" s="33"/>
      <c r="B388" s="5"/>
      <c r="C388" s="6"/>
      <c r="D388" s="50"/>
      <c r="E388" s="78"/>
      <c r="F388" s="36"/>
      <c r="G388" s="2"/>
      <c r="H388" s="2"/>
      <c r="I388" s="2"/>
      <c r="J388" s="54"/>
      <c r="K388" s="36"/>
      <c r="L388" s="2"/>
    </row>
    <row r="389" spans="1:12" ht="16.5" hidden="1" x14ac:dyDescent="0.3">
      <c r="A389" s="36"/>
      <c r="B389" s="5"/>
      <c r="C389" s="6"/>
      <c r="D389" s="14"/>
      <c r="E389" s="78"/>
      <c r="F389" s="36"/>
      <c r="G389" s="2"/>
      <c r="H389" s="2"/>
      <c r="I389" s="2"/>
      <c r="J389" s="54"/>
      <c r="K389" s="36"/>
      <c r="L389" s="2"/>
    </row>
    <row r="390" spans="1:12" hidden="1" x14ac:dyDescent="0.25">
      <c r="A390" s="3" t="s">
        <v>2</v>
      </c>
      <c r="B390" s="5">
        <f>SUM(B382:B389)</f>
        <v>0</v>
      </c>
      <c r="C390" s="6"/>
      <c r="D390" s="14">
        <f>SUM(D382:D389)</f>
        <v>0</v>
      </c>
      <c r="E390" s="78"/>
      <c r="F390" s="3" t="s">
        <v>2</v>
      </c>
      <c r="G390" s="5">
        <f>SUM(G382:G389)</f>
        <v>0</v>
      </c>
      <c r="H390" s="6"/>
      <c r="I390" s="14">
        <f t="shared" ref="I390" si="27">SUM(I382:I389)</f>
        <v>0</v>
      </c>
      <c r="J390" s="55"/>
      <c r="K390" s="3" t="s">
        <v>2</v>
      </c>
      <c r="L390" s="5">
        <f>SUM(L382:L389)</f>
        <v>0</v>
      </c>
    </row>
    <row r="391" spans="1:12" hidden="1" x14ac:dyDescent="0.25"/>
    <row r="393" spans="1:12" x14ac:dyDescent="0.25">
      <c r="A393" s="79" t="s">
        <v>149</v>
      </c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1"/>
    </row>
    <row r="394" spans="1:12" x14ac:dyDescent="0.25">
      <c r="A394" s="77" t="s">
        <v>102</v>
      </c>
      <c r="B394" s="77"/>
      <c r="C394" s="77"/>
      <c r="D394" s="77"/>
      <c r="E394" s="78"/>
      <c r="F394" s="77" t="s">
        <v>103</v>
      </c>
      <c r="G394" s="77"/>
      <c r="H394" s="77"/>
      <c r="I394" s="77"/>
      <c r="J394" s="53"/>
      <c r="K394" s="77" t="s">
        <v>25</v>
      </c>
      <c r="L394" s="77"/>
    </row>
    <row r="395" spans="1:12" x14ac:dyDescent="0.25">
      <c r="A395" s="28" t="s">
        <v>90</v>
      </c>
      <c r="B395" s="3" t="s">
        <v>3</v>
      </c>
      <c r="C395" s="3" t="s">
        <v>0</v>
      </c>
      <c r="D395" s="3" t="s">
        <v>1</v>
      </c>
      <c r="E395" s="78"/>
      <c r="F395" s="28" t="s">
        <v>90</v>
      </c>
      <c r="G395" s="3" t="s">
        <v>105</v>
      </c>
      <c r="H395" s="3" t="s">
        <v>0</v>
      </c>
      <c r="I395" s="3" t="s">
        <v>1</v>
      </c>
      <c r="J395" s="53"/>
      <c r="K395" s="3" t="s">
        <v>90</v>
      </c>
      <c r="L395" s="3" t="s">
        <v>105</v>
      </c>
    </row>
    <row r="396" spans="1:12" x14ac:dyDescent="0.25">
      <c r="A396" s="33"/>
      <c r="B396" s="34"/>
      <c r="C396" s="5" t="e">
        <f>B396/D396</f>
        <v>#DIV/0!</v>
      </c>
      <c r="D396" s="50"/>
      <c r="E396" s="78"/>
      <c r="F396" s="33"/>
      <c r="G396" s="6"/>
      <c r="H396" s="5" t="e">
        <f>G396/I396</f>
        <v>#DIV/0!</v>
      </c>
      <c r="I396" s="6"/>
      <c r="J396" s="52"/>
      <c r="K396" s="33"/>
      <c r="L396" s="5"/>
    </row>
    <row r="397" spans="1:12" x14ac:dyDescent="0.25">
      <c r="A397" s="33"/>
      <c r="B397" s="34"/>
      <c r="C397" s="5" t="e">
        <f>B397/D397</f>
        <v>#DIV/0!</v>
      </c>
      <c r="D397" s="50"/>
      <c r="E397" s="78"/>
      <c r="F397" s="33"/>
      <c r="G397" s="6"/>
      <c r="H397" s="5"/>
      <c r="I397" s="6"/>
      <c r="J397" s="52"/>
      <c r="K397" s="33"/>
      <c r="L397" s="5"/>
    </row>
    <row r="398" spans="1:12" x14ac:dyDescent="0.25">
      <c r="A398" s="33"/>
      <c r="B398" s="34"/>
      <c r="C398" s="6"/>
      <c r="D398" s="50"/>
      <c r="E398" s="78"/>
      <c r="F398" s="33"/>
      <c r="G398" s="6"/>
      <c r="H398" s="5"/>
      <c r="I398" s="6"/>
      <c r="J398" s="52"/>
      <c r="K398" s="33"/>
      <c r="L398" s="5"/>
    </row>
    <row r="399" spans="1:12" x14ac:dyDescent="0.25">
      <c r="A399" s="33"/>
      <c r="B399" s="34"/>
      <c r="C399" s="6"/>
      <c r="D399" s="50"/>
      <c r="E399" s="78"/>
      <c r="F399" s="33"/>
      <c r="G399" s="6"/>
      <c r="H399" s="5"/>
      <c r="I399" s="6"/>
      <c r="J399" s="52"/>
      <c r="K399" s="33"/>
      <c r="L399" s="5"/>
    </row>
    <row r="400" spans="1:12" x14ac:dyDescent="0.25">
      <c r="A400" s="33"/>
      <c r="B400" s="5"/>
      <c r="C400" s="6"/>
      <c r="D400" s="50"/>
      <c r="E400" s="78"/>
      <c r="F400" s="33"/>
      <c r="G400" s="2"/>
      <c r="H400" s="2"/>
      <c r="I400" s="2"/>
      <c r="J400" s="54"/>
      <c r="K400" s="33"/>
      <c r="L400" s="2"/>
    </row>
    <row r="401" spans="1:12" x14ac:dyDescent="0.25">
      <c r="A401" s="33"/>
      <c r="B401" s="5"/>
      <c r="C401" s="6"/>
      <c r="D401" s="50"/>
      <c r="E401" s="78"/>
      <c r="F401" s="33"/>
      <c r="G401" s="2"/>
      <c r="H401" s="2"/>
      <c r="I401" s="2"/>
      <c r="J401" s="54"/>
      <c r="K401" s="33"/>
      <c r="L401" s="2"/>
    </row>
    <row r="402" spans="1:12" ht="16.5" x14ac:dyDescent="0.3">
      <c r="A402" s="33"/>
      <c r="B402" s="5"/>
      <c r="C402" s="6"/>
      <c r="D402" s="50"/>
      <c r="E402" s="78"/>
      <c r="F402" s="36"/>
      <c r="G402" s="2"/>
      <c r="H402" s="2"/>
      <c r="I402" s="2"/>
      <c r="J402" s="54"/>
      <c r="K402" s="36"/>
      <c r="L402" s="2"/>
    </row>
    <row r="403" spans="1:12" ht="16.5" x14ac:dyDescent="0.3">
      <c r="A403" s="36"/>
      <c r="B403" s="5"/>
      <c r="C403" s="6"/>
      <c r="D403" s="14"/>
      <c r="E403" s="78"/>
      <c r="F403" s="36"/>
      <c r="G403" s="2"/>
      <c r="H403" s="2"/>
      <c r="I403" s="2"/>
      <c r="J403" s="54"/>
      <c r="K403" s="36"/>
      <c r="L403" s="2"/>
    </row>
    <row r="404" spans="1:12" x14ac:dyDescent="0.25">
      <c r="A404" s="3" t="s">
        <v>2</v>
      </c>
      <c r="B404" s="5">
        <f>SUM(B396:B403)</f>
        <v>0</v>
      </c>
      <c r="C404" s="6"/>
      <c r="D404" s="14">
        <f>SUM(D396:D403)</f>
        <v>0</v>
      </c>
      <c r="E404" s="78"/>
      <c r="F404" s="3" t="s">
        <v>2</v>
      </c>
      <c r="G404" s="5">
        <f>SUM(G396:G403)</f>
        <v>0</v>
      </c>
      <c r="H404" s="6"/>
      <c r="I404" s="14">
        <f t="shared" ref="I404" si="28">SUM(I396:I403)</f>
        <v>0</v>
      </c>
      <c r="J404" s="55"/>
      <c r="K404" s="3" t="s">
        <v>2</v>
      </c>
      <c r="L404" s="5">
        <f>SUM(L396:L403)</f>
        <v>0</v>
      </c>
    </row>
    <row r="407" spans="1:12" x14ac:dyDescent="0.25">
      <c r="A407" s="79" t="s">
        <v>150</v>
      </c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1"/>
    </row>
    <row r="408" spans="1:12" x14ac:dyDescent="0.25">
      <c r="A408" s="77" t="s">
        <v>102</v>
      </c>
      <c r="B408" s="77"/>
      <c r="C408" s="77"/>
      <c r="D408" s="77"/>
      <c r="E408" s="78"/>
      <c r="F408" s="77" t="s">
        <v>103</v>
      </c>
      <c r="G408" s="77"/>
      <c r="H408" s="77"/>
      <c r="I408" s="77"/>
      <c r="J408" s="53"/>
      <c r="K408" s="77" t="s">
        <v>25</v>
      </c>
      <c r="L408" s="77"/>
    </row>
    <row r="409" spans="1:12" x14ac:dyDescent="0.25">
      <c r="A409" s="28" t="s">
        <v>90</v>
      </c>
      <c r="B409" s="3" t="s">
        <v>3</v>
      </c>
      <c r="C409" s="3" t="s">
        <v>0</v>
      </c>
      <c r="D409" s="3" t="s">
        <v>1</v>
      </c>
      <c r="E409" s="78"/>
      <c r="F409" s="28" t="s">
        <v>90</v>
      </c>
      <c r="G409" s="3" t="s">
        <v>105</v>
      </c>
      <c r="H409" s="3" t="s">
        <v>0</v>
      </c>
      <c r="I409" s="3" t="s">
        <v>1</v>
      </c>
      <c r="J409" s="53"/>
      <c r="K409" s="3" t="s">
        <v>90</v>
      </c>
      <c r="L409" s="3" t="s">
        <v>105</v>
      </c>
    </row>
    <row r="410" spans="1:12" x14ac:dyDescent="0.25">
      <c r="A410" s="33">
        <v>46174</v>
      </c>
      <c r="B410" s="34">
        <v>0.28999999999999998</v>
      </c>
      <c r="C410" s="5">
        <f>B410/D410</f>
        <v>36.909996881741641</v>
      </c>
      <c r="D410" s="50">
        <v>7.8569499999999997E-3</v>
      </c>
      <c r="E410" s="78"/>
      <c r="F410" s="33"/>
      <c r="G410" s="6"/>
      <c r="H410" s="5" t="e">
        <f>G410/I410</f>
        <v>#DIV/0!</v>
      </c>
      <c r="I410" s="6"/>
      <c r="J410" s="52"/>
      <c r="K410" s="33"/>
      <c r="L410" s="5"/>
    </row>
    <row r="411" spans="1:12" x14ac:dyDescent="0.25">
      <c r="A411" s="33"/>
      <c r="B411" s="34"/>
      <c r="C411" s="5" t="e">
        <f>B411/D411</f>
        <v>#DIV/0!</v>
      </c>
      <c r="D411" s="50"/>
      <c r="E411" s="78"/>
      <c r="F411" s="33"/>
      <c r="G411" s="6"/>
      <c r="H411" s="5"/>
      <c r="I411" s="6"/>
      <c r="J411" s="52"/>
      <c r="K411" s="33"/>
      <c r="L411" s="5"/>
    </row>
    <row r="412" spans="1:12" x14ac:dyDescent="0.25">
      <c r="A412" s="33"/>
      <c r="B412" s="34"/>
      <c r="C412" s="6"/>
      <c r="D412" s="50"/>
      <c r="E412" s="78"/>
      <c r="F412" s="33"/>
      <c r="G412" s="6"/>
      <c r="H412" s="5"/>
      <c r="I412" s="6"/>
      <c r="J412" s="52"/>
      <c r="K412" s="33"/>
      <c r="L412" s="5"/>
    </row>
    <row r="413" spans="1:12" x14ac:dyDescent="0.25">
      <c r="A413" s="33"/>
      <c r="B413" s="34"/>
      <c r="C413" s="6"/>
      <c r="D413" s="50"/>
      <c r="E413" s="78"/>
      <c r="F413" s="33"/>
      <c r="G413" s="6"/>
      <c r="H413" s="5"/>
      <c r="I413" s="6"/>
      <c r="J413" s="52"/>
      <c r="K413" s="33"/>
      <c r="L413" s="5"/>
    </row>
    <row r="414" spans="1:12" x14ac:dyDescent="0.25">
      <c r="A414" s="33"/>
      <c r="B414" s="5"/>
      <c r="C414" s="6"/>
      <c r="D414" s="50"/>
      <c r="E414" s="78"/>
      <c r="F414" s="33"/>
      <c r="G414" s="2"/>
      <c r="H414" s="2"/>
      <c r="I414" s="2"/>
      <c r="J414" s="54"/>
      <c r="K414" s="33"/>
      <c r="L414" s="2"/>
    </row>
    <row r="415" spans="1:12" x14ac:dyDescent="0.25">
      <c r="A415" s="33"/>
      <c r="B415" s="5"/>
      <c r="C415" s="6"/>
      <c r="D415" s="50"/>
      <c r="E415" s="78"/>
      <c r="F415" s="33"/>
      <c r="G415" s="2"/>
      <c r="H415" s="2"/>
      <c r="I415" s="2"/>
      <c r="J415" s="54"/>
      <c r="K415" s="33"/>
      <c r="L415" s="2"/>
    </row>
    <row r="416" spans="1:12" ht="16.5" x14ac:dyDescent="0.3">
      <c r="A416" s="33"/>
      <c r="B416" s="5"/>
      <c r="C416" s="6"/>
      <c r="D416" s="50"/>
      <c r="E416" s="78"/>
      <c r="F416" s="36"/>
      <c r="G416" s="2"/>
      <c r="H416" s="2"/>
      <c r="I416" s="2"/>
      <c r="J416" s="54"/>
      <c r="K416" s="36"/>
      <c r="L416" s="2"/>
    </row>
    <row r="417" spans="1:12" ht="16.5" x14ac:dyDescent="0.3">
      <c r="A417" s="36"/>
      <c r="B417" s="5"/>
      <c r="C417" s="6"/>
      <c r="D417" s="14"/>
      <c r="E417" s="78"/>
      <c r="F417" s="36"/>
      <c r="G417" s="2"/>
      <c r="H417" s="2"/>
      <c r="I417" s="2"/>
      <c r="J417" s="54"/>
      <c r="K417" s="36"/>
      <c r="L417" s="2"/>
    </row>
    <row r="418" spans="1:12" x14ac:dyDescent="0.25">
      <c r="A418" s="3" t="s">
        <v>2</v>
      </c>
      <c r="B418" s="5">
        <f>SUM(B410:B417)</f>
        <v>0.28999999999999998</v>
      </c>
      <c r="C418" s="6"/>
      <c r="D418" s="14">
        <f>SUM(D410:D417)</f>
        <v>7.8569499999999997E-3</v>
      </c>
      <c r="E418" s="78"/>
      <c r="F418" s="3" t="s">
        <v>2</v>
      </c>
      <c r="G418" s="5">
        <f>SUM(G410:G417)</f>
        <v>0</v>
      </c>
      <c r="H418" s="6"/>
      <c r="I418" s="14">
        <f t="shared" ref="I418" si="29">SUM(I410:I417)</f>
        <v>0</v>
      </c>
      <c r="J418" s="55"/>
      <c r="K418" s="3" t="s">
        <v>2</v>
      </c>
      <c r="L418" s="5">
        <f>SUM(L410:L417)</f>
        <v>0</v>
      </c>
    </row>
  </sheetData>
  <mergeCells count="152">
    <mergeCell ref="A15:L15"/>
    <mergeCell ref="A16:D16"/>
    <mergeCell ref="E16:E26"/>
    <mergeCell ref="F16:I16"/>
    <mergeCell ref="K16:L16"/>
    <mergeCell ref="A29:L29"/>
    <mergeCell ref="A2:L2"/>
    <mergeCell ref="N2:T2"/>
    <mergeCell ref="A3:D3"/>
    <mergeCell ref="E3:E13"/>
    <mergeCell ref="F3:I3"/>
    <mergeCell ref="K3:L3"/>
    <mergeCell ref="N3:T3"/>
    <mergeCell ref="A57:L57"/>
    <mergeCell ref="A58:D58"/>
    <mergeCell ref="E58:E68"/>
    <mergeCell ref="F58:I58"/>
    <mergeCell ref="K58:L58"/>
    <mergeCell ref="A71:L71"/>
    <mergeCell ref="A30:D30"/>
    <mergeCell ref="E30:E40"/>
    <mergeCell ref="F30:I30"/>
    <mergeCell ref="K30:L30"/>
    <mergeCell ref="A43:L43"/>
    <mergeCell ref="A44:D44"/>
    <mergeCell ref="E44:E54"/>
    <mergeCell ref="F44:I44"/>
    <mergeCell ref="K44:L44"/>
    <mergeCell ref="A99:L99"/>
    <mergeCell ref="A100:D100"/>
    <mergeCell ref="E100:E110"/>
    <mergeCell ref="F100:I100"/>
    <mergeCell ref="K100:L100"/>
    <mergeCell ref="A113:L113"/>
    <mergeCell ref="A72:D72"/>
    <mergeCell ref="E72:E82"/>
    <mergeCell ref="F72:I72"/>
    <mergeCell ref="K72:L72"/>
    <mergeCell ref="A85:L85"/>
    <mergeCell ref="A86:D86"/>
    <mergeCell ref="E86:E96"/>
    <mergeCell ref="F86:I86"/>
    <mergeCell ref="K86:L86"/>
    <mergeCell ref="A141:L141"/>
    <mergeCell ref="A142:D142"/>
    <mergeCell ref="E142:E152"/>
    <mergeCell ref="F142:I142"/>
    <mergeCell ref="K142:L142"/>
    <mergeCell ref="A155:L155"/>
    <mergeCell ref="A114:D114"/>
    <mergeCell ref="E114:E124"/>
    <mergeCell ref="F114:I114"/>
    <mergeCell ref="K114:L114"/>
    <mergeCell ref="A127:L127"/>
    <mergeCell ref="A128:D128"/>
    <mergeCell ref="E128:E138"/>
    <mergeCell ref="F128:I128"/>
    <mergeCell ref="K128:L128"/>
    <mergeCell ref="A183:L183"/>
    <mergeCell ref="A184:D184"/>
    <mergeCell ref="E184:E194"/>
    <mergeCell ref="F184:I184"/>
    <mergeCell ref="K184:L184"/>
    <mergeCell ref="A197:L197"/>
    <mergeCell ref="A156:D156"/>
    <mergeCell ref="E156:E166"/>
    <mergeCell ref="F156:I156"/>
    <mergeCell ref="K156:L156"/>
    <mergeCell ref="A169:L169"/>
    <mergeCell ref="A170:D170"/>
    <mergeCell ref="E170:E180"/>
    <mergeCell ref="F170:I170"/>
    <mergeCell ref="K170:L170"/>
    <mergeCell ref="A225:L225"/>
    <mergeCell ref="A226:D226"/>
    <mergeCell ref="E226:E236"/>
    <mergeCell ref="F226:I226"/>
    <mergeCell ref="K226:L226"/>
    <mergeCell ref="A239:L239"/>
    <mergeCell ref="A198:D198"/>
    <mergeCell ref="E198:E208"/>
    <mergeCell ref="F198:I198"/>
    <mergeCell ref="K198:L198"/>
    <mergeCell ref="A211:L211"/>
    <mergeCell ref="A212:D212"/>
    <mergeCell ref="E212:E222"/>
    <mergeCell ref="F212:I212"/>
    <mergeCell ref="K212:L212"/>
    <mergeCell ref="A267:L267"/>
    <mergeCell ref="A268:D268"/>
    <mergeCell ref="E268:E278"/>
    <mergeCell ref="F268:I268"/>
    <mergeCell ref="K268:L268"/>
    <mergeCell ref="A281:L281"/>
    <mergeCell ref="A240:D240"/>
    <mergeCell ref="E240:E250"/>
    <mergeCell ref="F240:I240"/>
    <mergeCell ref="K240:L240"/>
    <mergeCell ref="A253:L253"/>
    <mergeCell ref="A254:D254"/>
    <mergeCell ref="E254:E264"/>
    <mergeCell ref="F254:I254"/>
    <mergeCell ref="K254:L254"/>
    <mergeCell ref="A309:L309"/>
    <mergeCell ref="A310:D310"/>
    <mergeCell ref="E310:E320"/>
    <mergeCell ref="F310:I310"/>
    <mergeCell ref="K310:L310"/>
    <mergeCell ref="A323:L323"/>
    <mergeCell ref="A282:D282"/>
    <mergeCell ref="E282:E292"/>
    <mergeCell ref="F282:I282"/>
    <mergeCell ref="K282:L282"/>
    <mergeCell ref="A295:L295"/>
    <mergeCell ref="A296:D296"/>
    <mergeCell ref="E296:E306"/>
    <mergeCell ref="F296:I296"/>
    <mergeCell ref="K296:L296"/>
    <mergeCell ref="A351:L351"/>
    <mergeCell ref="A352:D352"/>
    <mergeCell ref="E352:E362"/>
    <mergeCell ref="F352:I352"/>
    <mergeCell ref="K352:L352"/>
    <mergeCell ref="A365:L365"/>
    <mergeCell ref="A324:D324"/>
    <mergeCell ref="E324:E334"/>
    <mergeCell ref="F324:I324"/>
    <mergeCell ref="K324:L324"/>
    <mergeCell ref="A337:L337"/>
    <mergeCell ref="A338:D338"/>
    <mergeCell ref="E338:E348"/>
    <mergeCell ref="F338:I338"/>
    <mergeCell ref="K338:L338"/>
    <mergeCell ref="A366:D366"/>
    <mergeCell ref="E366:E376"/>
    <mergeCell ref="F366:I366"/>
    <mergeCell ref="K366:L366"/>
    <mergeCell ref="A379:L379"/>
    <mergeCell ref="A380:D380"/>
    <mergeCell ref="E380:E390"/>
    <mergeCell ref="F380:I380"/>
    <mergeCell ref="K380:L380"/>
    <mergeCell ref="A408:D408"/>
    <mergeCell ref="E408:E418"/>
    <mergeCell ref="F408:I408"/>
    <mergeCell ref="K408:L408"/>
    <mergeCell ref="A393:L393"/>
    <mergeCell ref="A394:D394"/>
    <mergeCell ref="E394:E404"/>
    <mergeCell ref="F394:I394"/>
    <mergeCell ref="K394:L394"/>
    <mergeCell ref="A407:L407"/>
  </mergeCells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EA24-F833-464D-9855-8DB8F8EBC202}">
  <dimension ref="A2:T418"/>
  <sheetViews>
    <sheetView workbookViewId="0">
      <pane ySplit="14" topLeftCell="A399" activePane="bottomLeft" state="frozen"/>
      <selection pane="bottomLeft"/>
    </sheetView>
  </sheetViews>
  <sheetFormatPr defaultRowHeight="15" x14ac:dyDescent="0.25"/>
  <cols>
    <col min="1" max="3" width="10.7109375" customWidth="1"/>
    <col min="4" max="4" width="15.7109375" customWidth="1"/>
    <col min="5" max="5" width="2.7109375" customWidth="1"/>
    <col min="6" max="8" width="10.7109375" customWidth="1"/>
    <col min="9" max="9" width="15.7109375" customWidth="1"/>
    <col min="10" max="10" width="2.7109375" customWidth="1"/>
    <col min="11" max="12" width="10.7109375" customWidth="1"/>
    <col min="14" max="20" width="10.7109375" customWidth="1"/>
  </cols>
  <sheetData>
    <row r="2" spans="1:20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N2" s="92" t="s">
        <v>148</v>
      </c>
      <c r="O2" s="80"/>
      <c r="P2" s="80"/>
      <c r="Q2" s="80"/>
      <c r="R2" s="80"/>
      <c r="S2" s="80"/>
      <c r="T2" s="81"/>
    </row>
    <row r="3" spans="1:20" x14ac:dyDescent="0.25">
      <c r="A3" s="93"/>
      <c r="B3" s="93"/>
      <c r="C3" s="93"/>
      <c r="D3" s="93"/>
      <c r="E3" s="94"/>
      <c r="F3" s="93"/>
      <c r="G3" s="93"/>
      <c r="H3" s="93"/>
      <c r="I3" s="93"/>
      <c r="J3" s="38"/>
      <c r="K3" s="93"/>
      <c r="L3" s="93"/>
      <c r="N3" s="79" t="s">
        <v>8</v>
      </c>
      <c r="O3" s="80"/>
      <c r="P3" s="80"/>
      <c r="Q3" s="80"/>
      <c r="R3" s="80"/>
      <c r="S3" s="80"/>
      <c r="T3" s="81"/>
    </row>
    <row r="4" spans="1:20" x14ac:dyDescent="0.25">
      <c r="A4" s="39"/>
      <c r="B4" s="38"/>
      <c r="C4" s="38"/>
      <c r="D4" s="38"/>
      <c r="E4" s="94"/>
      <c r="F4" s="39"/>
      <c r="G4" s="38"/>
      <c r="H4" s="38"/>
      <c r="I4" s="38"/>
      <c r="J4" s="38"/>
      <c r="K4" s="38"/>
      <c r="L4" s="38"/>
      <c r="N4" s="28" t="s">
        <v>90</v>
      </c>
      <c r="O4" s="3" t="s">
        <v>3</v>
      </c>
      <c r="P4" s="3" t="s">
        <v>104</v>
      </c>
      <c r="Q4" s="3" t="s">
        <v>107</v>
      </c>
      <c r="R4" s="3" t="s">
        <v>23</v>
      </c>
      <c r="S4" s="3" t="s">
        <v>25</v>
      </c>
      <c r="T4" s="3" t="s">
        <v>11</v>
      </c>
    </row>
    <row r="5" spans="1:20" x14ac:dyDescent="0.25">
      <c r="A5" s="40"/>
      <c r="B5" s="41"/>
      <c r="C5" s="1"/>
      <c r="D5" s="42"/>
      <c r="E5" s="94"/>
      <c r="F5" s="40"/>
      <c r="G5" s="1"/>
      <c r="H5" s="9"/>
      <c r="I5" s="1"/>
      <c r="J5" s="1"/>
      <c r="K5" s="40"/>
      <c r="L5" s="9"/>
      <c r="N5" s="47">
        <v>46144</v>
      </c>
      <c r="O5" s="5">
        <v>15</v>
      </c>
      <c r="P5" s="5">
        <f>B26+B40+B54+B68+B82+B96+B110+B124+B138+B152+B166+B180+B194+B208+B222+B236+B250+B264+B278+B292+B306+B320+B334+B348+B362+B376+B390+B404+B418</f>
        <v>67.180000000000007</v>
      </c>
      <c r="Q5" s="5">
        <f>G26+G40+G54+G68+G82+G96+G110+G124+G138+G152+G166+G180+G194+G208+G222+G236+G250+G264+G278+G292+G306+G320+G334+G348+G362+G376+G390+G404+G418</f>
        <v>52.92</v>
      </c>
      <c r="R5" s="5">
        <f>O5-P5+Q5+S5</f>
        <v>0.73999999999999488</v>
      </c>
      <c r="S5" s="5">
        <f>L26+L40+L54+L68+L82+L96+L110+L124+L138+L152+L166+L180+L194+L208+L222+L236+L250+L264+L278+L292+L306+L320+L334+L348+L362+L376+L390+L404+L418</f>
        <v>0</v>
      </c>
      <c r="T5" s="6">
        <v>0.23</v>
      </c>
    </row>
    <row r="6" spans="1:20" x14ac:dyDescent="0.25">
      <c r="A6" s="40"/>
      <c r="B6" s="41"/>
      <c r="C6" s="1"/>
      <c r="D6" s="42"/>
      <c r="E6" s="94"/>
      <c r="F6" s="40"/>
      <c r="G6" s="1"/>
      <c r="H6" s="9"/>
      <c r="I6" s="1"/>
      <c r="J6" s="1"/>
      <c r="K6" s="40"/>
      <c r="L6" s="9"/>
      <c r="N6" s="48"/>
      <c r="O6" s="5"/>
      <c r="P6" s="5"/>
      <c r="Q6" s="5"/>
      <c r="R6" s="5"/>
      <c r="S6" s="6"/>
      <c r="T6" s="5"/>
    </row>
    <row r="7" spans="1:20" x14ac:dyDescent="0.25">
      <c r="A7" s="40"/>
      <c r="B7" s="41"/>
      <c r="C7" s="1"/>
      <c r="D7" s="42"/>
      <c r="E7" s="94"/>
      <c r="F7" s="40"/>
      <c r="G7" s="1"/>
      <c r="H7" s="9"/>
      <c r="I7" s="1"/>
      <c r="J7" s="1"/>
      <c r="K7" s="40"/>
      <c r="L7" s="9"/>
      <c r="N7" s="48"/>
      <c r="O7" s="5"/>
      <c r="P7" s="5"/>
      <c r="Q7" s="5"/>
      <c r="R7" s="5"/>
      <c r="S7" s="6"/>
      <c r="T7" s="5"/>
    </row>
    <row r="8" spans="1:20" x14ac:dyDescent="0.25">
      <c r="A8" s="40"/>
      <c r="B8" s="41"/>
      <c r="C8" s="1"/>
      <c r="D8" s="42"/>
      <c r="E8" s="94"/>
      <c r="F8" s="40"/>
      <c r="G8" s="1"/>
      <c r="H8" s="9"/>
      <c r="I8" s="1"/>
      <c r="J8" s="1"/>
      <c r="K8" s="40"/>
      <c r="L8" s="9"/>
      <c r="N8" s="48"/>
      <c r="O8" s="5"/>
      <c r="P8" s="5"/>
      <c r="Q8" s="5"/>
      <c r="R8" s="5"/>
      <c r="S8" s="6"/>
      <c r="T8" s="5"/>
    </row>
    <row r="9" spans="1:20" x14ac:dyDescent="0.25">
      <c r="A9" s="40"/>
      <c r="B9" s="9"/>
      <c r="C9" s="1"/>
      <c r="D9" s="43"/>
      <c r="E9" s="94"/>
      <c r="F9" s="40"/>
      <c r="K9" s="40"/>
      <c r="N9" s="48"/>
      <c r="O9" s="5"/>
      <c r="P9" s="5"/>
      <c r="Q9" s="5"/>
      <c r="R9" s="5"/>
      <c r="S9" s="6"/>
      <c r="T9" s="5"/>
    </row>
    <row r="10" spans="1:20" ht="15" customHeight="1" x14ac:dyDescent="0.3">
      <c r="A10" s="40"/>
      <c r="B10" s="9"/>
      <c r="C10" s="1"/>
      <c r="D10" s="43"/>
      <c r="E10" s="94"/>
      <c r="F10" s="44"/>
      <c r="K10" s="44"/>
      <c r="N10" s="48"/>
      <c r="O10" s="5"/>
      <c r="P10" s="5"/>
      <c r="Q10" s="5"/>
      <c r="R10" s="5"/>
      <c r="S10" s="6"/>
      <c r="T10" s="2"/>
    </row>
    <row r="11" spans="1:20" ht="15" customHeight="1" x14ac:dyDescent="0.3">
      <c r="A11" s="40"/>
      <c r="B11" s="9"/>
      <c r="C11" s="1"/>
      <c r="D11" s="43"/>
      <c r="E11" s="94"/>
      <c r="F11" s="44"/>
      <c r="K11" s="44"/>
      <c r="N11" s="48"/>
      <c r="O11" s="5"/>
      <c r="P11" s="5"/>
      <c r="Q11" s="5"/>
      <c r="R11" s="5"/>
      <c r="S11" s="6"/>
      <c r="T11" s="2"/>
    </row>
    <row r="12" spans="1:20" ht="15" customHeight="1" x14ac:dyDescent="0.3">
      <c r="A12" s="44"/>
      <c r="B12" s="9"/>
      <c r="C12" s="1"/>
      <c r="D12" s="45"/>
      <c r="E12" s="94"/>
      <c r="F12" s="44"/>
      <c r="K12" s="44"/>
      <c r="N12" s="48"/>
      <c r="O12" s="5"/>
      <c r="P12" s="5"/>
      <c r="Q12" s="5"/>
      <c r="R12" s="5"/>
      <c r="S12" s="67"/>
      <c r="T12" s="2"/>
    </row>
    <row r="13" spans="1:20" ht="15" customHeight="1" x14ac:dyDescent="0.25">
      <c r="A13" s="38"/>
      <c r="B13" s="9"/>
      <c r="C13" s="1"/>
      <c r="D13" s="12"/>
      <c r="E13" s="94"/>
      <c r="F13" s="38"/>
      <c r="G13" s="9"/>
      <c r="H13" s="1"/>
      <c r="I13" s="12"/>
      <c r="J13" s="46"/>
      <c r="K13" s="38"/>
      <c r="L13" s="9"/>
      <c r="N13" s="3" t="s">
        <v>2</v>
      </c>
      <c r="O13" s="5">
        <f>SUM(O5:O12)</f>
        <v>15</v>
      </c>
      <c r="P13" s="5">
        <f t="shared" ref="P13:T13" si="0">SUM(P5:P12)</f>
        <v>67.180000000000007</v>
      </c>
      <c r="Q13" s="5">
        <f t="shared" si="0"/>
        <v>52.92</v>
      </c>
      <c r="R13" s="5">
        <f t="shared" si="0"/>
        <v>0.73999999999999488</v>
      </c>
      <c r="S13" s="5">
        <f t="shared" si="0"/>
        <v>0</v>
      </c>
      <c r="T13" s="5">
        <f t="shared" si="0"/>
        <v>0.23</v>
      </c>
    </row>
    <row r="14" spans="1:20" ht="15" customHeight="1" x14ac:dyDescent="0.25">
      <c r="A14" s="38"/>
      <c r="B14" s="9"/>
      <c r="C14" s="1"/>
      <c r="D14" s="12"/>
      <c r="E14" s="1"/>
      <c r="F14" s="38"/>
      <c r="G14" s="9"/>
      <c r="H14" s="1"/>
      <c r="I14" s="12"/>
      <c r="J14" s="46"/>
      <c r="K14" s="38"/>
      <c r="L14" s="9"/>
      <c r="N14" s="38"/>
      <c r="O14" s="9"/>
      <c r="P14" s="9"/>
      <c r="Q14" s="9"/>
      <c r="R14" s="9"/>
      <c r="S14" s="38"/>
      <c r="T14" s="9"/>
    </row>
    <row r="15" spans="1:20" ht="15" customHeight="1" x14ac:dyDescent="0.25">
      <c r="A15" s="82" t="s">
        <v>14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4"/>
      <c r="N15" s="38"/>
      <c r="O15" s="9"/>
      <c r="P15" s="9"/>
      <c r="Q15" s="9"/>
      <c r="R15" s="9"/>
      <c r="S15" s="38"/>
      <c r="T15" s="9"/>
    </row>
    <row r="16" spans="1:20" x14ac:dyDescent="0.25">
      <c r="A16" s="71" t="s">
        <v>102</v>
      </c>
      <c r="B16" s="76"/>
      <c r="C16" s="76"/>
      <c r="D16" s="72"/>
      <c r="E16" s="85"/>
      <c r="F16" s="88" t="s">
        <v>103</v>
      </c>
      <c r="G16" s="89"/>
      <c r="H16" s="89"/>
      <c r="I16" s="90"/>
      <c r="J16" s="30"/>
      <c r="K16" s="71" t="s">
        <v>25</v>
      </c>
      <c r="L16" s="72"/>
      <c r="N16" s="38"/>
      <c r="O16" s="9"/>
      <c r="P16" s="9"/>
      <c r="Q16" s="9"/>
      <c r="R16" s="9"/>
      <c r="S16" s="38"/>
      <c r="T16" s="9"/>
    </row>
    <row r="17" spans="1:20" x14ac:dyDescent="0.25">
      <c r="A17" s="28" t="s">
        <v>90</v>
      </c>
      <c r="B17" s="3" t="s">
        <v>3</v>
      </c>
      <c r="C17" s="3" t="s">
        <v>0</v>
      </c>
      <c r="D17" s="3" t="s">
        <v>1</v>
      </c>
      <c r="E17" s="86"/>
      <c r="F17" s="28" t="s">
        <v>90</v>
      </c>
      <c r="G17" s="3" t="s">
        <v>105</v>
      </c>
      <c r="H17" s="3" t="s">
        <v>0</v>
      </c>
      <c r="I17" s="3" t="s">
        <v>1</v>
      </c>
      <c r="J17" s="32"/>
      <c r="K17" s="29" t="s">
        <v>90</v>
      </c>
      <c r="L17" s="3" t="s">
        <v>105</v>
      </c>
      <c r="N17" s="38"/>
      <c r="O17" s="9"/>
      <c r="P17" s="9"/>
      <c r="Q17" s="9"/>
      <c r="R17" s="9"/>
      <c r="S17" s="38"/>
      <c r="T17" s="9"/>
    </row>
    <row r="18" spans="1:20" x14ac:dyDescent="0.25">
      <c r="A18" s="33"/>
      <c r="B18" s="34"/>
      <c r="C18" s="5" t="e">
        <f>B18/D18</f>
        <v>#DIV/0!</v>
      </c>
      <c r="D18" s="50"/>
      <c r="E18" s="86"/>
      <c r="F18" s="33"/>
      <c r="G18" s="6"/>
      <c r="H18" s="5" t="e">
        <f>G18/I18</f>
        <v>#DIV/0!</v>
      </c>
      <c r="I18" s="6"/>
      <c r="J18" s="31"/>
      <c r="K18" s="33"/>
      <c r="L18" s="5"/>
    </row>
    <row r="19" spans="1:20" x14ac:dyDescent="0.25">
      <c r="A19" s="33"/>
      <c r="B19" s="34"/>
      <c r="C19" s="6"/>
      <c r="D19" s="50"/>
      <c r="E19" s="86"/>
      <c r="F19" s="33"/>
      <c r="G19" s="6"/>
      <c r="H19" s="5"/>
      <c r="I19" s="6"/>
      <c r="J19" s="31"/>
      <c r="K19" s="33"/>
      <c r="L19" s="5"/>
    </row>
    <row r="20" spans="1:20" x14ac:dyDescent="0.25">
      <c r="A20" s="33"/>
      <c r="B20" s="34"/>
      <c r="C20" s="6"/>
      <c r="D20" s="50"/>
      <c r="E20" s="86"/>
      <c r="F20" s="33"/>
      <c r="G20" s="6"/>
      <c r="H20" s="5"/>
      <c r="I20" s="6"/>
      <c r="J20" s="31"/>
      <c r="K20" s="33"/>
      <c r="L20" s="5"/>
    </row>
    <row r="21" spans="1:20" x14ac:dyDescent="0.25">
      <c r="A21" s="33"/>
      <c r="B21" s="34"/>
      <c r="C21" s="6"/>
      <c r="D21" s="50"/>
      <c r="E21" s="86"/>
      <c r="F21" s="33"/>
      <c r="G21" s="6"/>
      <c r="H21" s="5"/>
      <c r="I21" s="6"/>
      <c r="J21" s="31"/>
      <c r="K21" s="33"/>
      <c r="L21" s="5"/>
    </row>
    <row r="22" spans="1:20" x14ac:dyDescent="0.25">
      <c r="A22" s="33"/>
      <c r="B22" s="5"/>
      <c r="C22" s="6"/>
      <c r="D22" s="50"/>
      <c r="E22" s="86"/>
      <c r="F22" s="33"/>
      <c r="G22" s="2"/>
      <c r="H22" s="2"/>
      <c r="I22" s="2"/>
      <c r="J22" s="35"/>
      <c r="K22" s="33"/>
      <c r="L22" s="2"/>
    </row>
    <row r="23" spans="1:20" x14ac:dyDescent="0.25">
      <c r="A23" s="33"/>
      <c r="B23" s="5"/>
      <c r="C23" s="6"/>
      <c r="D23" s="50"/>
      <c r="E23" s="86"/>
      <c r="F23" s="33"/>
      <c r="G23" s="2"/>
      <c r="H23" s="2"/>
      <c r="I23" s="2"/>
      <c r="J23" s="35"/>
      <c r="K23" s="33"/>
      <c r="L23" s="2"/>
    </row>
    <row r="24" spans="1:20" ht="16.5" x14ac:dyDescent="0.3">
      <c r="A24" s="33"/>
      <c r="B24" s="5"/>
      <c r="C24" s="6"/>
      <c r="D24" s="50"/>
      <c r="E24" s="86"/>
      <c r="F24" s="36"/>
      <c r="G24" s="2"/>
      <c r="H24" s="2"/>
      <c r="I24" s="2"/>
      <c r="J24" s="35"/>
      <c r="K24" s="36"/>
      <c r="L24" s="2"/>
    </row>
    <row r="25" spans="1:20" ht="16.5" x14ac:dyDescent="0.3">
      <c r="A25" s="36"/>
      <c r="B25" s="5"/>
      <c r="C25" s="6"/>
      <c r="D25" s="14"/>
      <c r="E25" s="86"/>
      <c r="F25" s="36"/>
      <c r="G25" s="2"/>
      <c r="H25" s="2"/>
      <c r="I25" s="2"/>
      <c r="J25" s="35"/>
      <c r="K25" s="36"/>
      <c r="L25" s="2"/>
    </row>
    <row r="26" spans="1:20" x14ac:dyDescent="0.25">
      <c r="A26" s="3" t="s">
        <v>2</v>
      </c>
      <c r="B26" s="5">
        <f>SUM(B18:B25)</f>
        <v>0</v>
      </c>
      <c r="C26" s="6"/>
      <c r="D26" s="14">
        <f>SUM(D18:D25)</f>
        <v>0</v>
      </c>
      <c r="E26" s="87"/>
      <c r="F26" s="3" t="s">
        <v>2</v>
      </c>
      <c r="G26" s="5">
        <f>SUM(G18:G25)</f>
        <v>0</v>
      </c>
      <c r="H26" s="6"/>
      <c r="I26" s="7">
        <f t="shared" ref="I26" si="1">SUM(I18:I25)</f>
        <v>0</v>
      </c>
      <c r="J26" s="37"/>
      <c r="K26" s="3" t="s">
        <v>2</v>
      </c>
      <c r="L26" s="5">
        <f>SUM(L18:L25)</f>
        <v>0</v>
      </c>
    </row>
    <row r="27" spans="1:20" x14ac:dyDescent="0.25">
      <c r="A27" s="38"/>
      <c r="B27" s="9"/>
      <c r="C27" s="1"/>
      <c r="D27" s="12"/>
      <c r="E27" s="1"/>
      <c r="F27" s="38"/>
      <c r="G27" s="9"/>
      <c r="H27" s="1"/>
      <c r="I27" s="12"/>
      <c r="J27" s="46"/>
      <c r="K27" s="38"/>
      <c r="L27" s="9"/>
    </row>
    <row r="28" spans="1:20" x14ac:dyDescent="0.25">
      <c r="B28" s="1"/>
    </row>
    <row r="29" spans="1:20" ht="15" customHeight="1" x14ac:dyDescent="0.25">
      <c r="A29" s="82" t="s">
        <v>15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4"/>
      <c r="N29" s="38"/>
      <c r="O29" s="9"/>
      <c r="P29" s="9"/>
      <c r="Q29" s="9"/>
      <c r="R29" s="9"/>
      <c r="S29" s="38"/>
      <c r="T29" s="9"/>
    </row>
    <row r="30" spans="1:20" x14ac:dyDescent="0.25">
      <c r="A30" s="77" t="s">
        <v>102</v>
      </c>
      <c r="B30" s="77"/>
      <c r="C30" s="77"/>
      <c r="D30" s="77"/>
      <c r="E30" s="78"/>
      <c r="F30" s="77" t="s">
        <v>103</v>
      </c>
      <c r="G30" s="77"/>
      <c r="H30" s="77"/>
      <c r="I30" s="77"/>
      <c r="J30" s="53"/>
      <c r="K30" s="77" t="s">
        <v>25</v>
      </c>
      <c r="L30" s="77"/>
      <c r="N30" s="38"/>
      <c r="O30" s="9"/>
      <c r="P30" s="9"/>
      <c r="Q30" s="9"/>
      <c r="R30" s="9"/>
      <c r="S30" s="38"/>
      <c r="T30" s="9"/>
    </row>
    <row r="31" spans="1:20" x14ac:dyDescent="0.25">
      <c r="A31" s="28" t="s">
        <v>90</v>
      </c>
      <c r="B31" s="3" t="s">
        <v>3</v>
      </c>
      <c r="C31" s="3" t="s">
        <v>0</v>
      </c>
      <c r="D31" s="3" t="s">
        <v>1</v>
      </c>
      <c r="E31" s="78"/>
      <c r="F31" s="28" t="s">
        <v>90</v>
      </c>
      <c r="G31" s="3" t="s">
        <v>105</v>
      </c>
      <c r="H31" s="3" t="s">
        <v>0</v>
      </c>
      <c r="I31" s="3" t="s">
        <v>1</v>
      </c>
      <c r="J31" s="53"/>
      <c r="K31" s="3" t="s">
        <v>90</v>
      </c>
      <c r="L31" s="3" t="s">
        <v>105</v>
      </c>
      <c r="N31" s="38"/>
      <c r="O31" s="9"/>
      <c r="P31" s="9"/>
      <c r="Q31" s="9"/>
      <c r="R31" s="9"/>
      <c r="S31" s="38"/>
      <c r="T31" s="9"/>
    </row>
    <row r="32" spans="1:20" x14ac:dyDescent="0.25">
      <c r="A32" s="33"/>
      <c r="B32" s="34"/>
      <c r="C32" s="5" t="e">
        <f>B32/D32</f>
        <v>#DIV/0!</v>
      </c>
      <c r="D32" s="50"/>
      <c r="E32" s="78"/>
      <c r="F32" s="33"/>
      <c r="G32" s="5"/>
      <c r="H32" s="5" t="e">
        <f>G32/I32</f>
        <v>#DIV/0!</v>
      </c>
      <c r="I32" s="6"/>
      <c r="J32" s="52"/>
      <c r="K32" s="33"/>
      <c r="L32" s="5"/>
    </row>
    <row r="33" spans="1:20" x14ac:dyDescent="0.25">
      <c r="A33" s="33"/>
      <c r="B33" s="34"/>
      <c r="C33" s="6"/>
      <c r="D33" s="50"/>
      <c r="E33" s="78"/>
      <c r="F33" s="33"/>
      <c r="G33" s="6"/>
      <c r="H33" s="5"/>
      <c r="I33" s="6"/>
      <c r="J33" s="52"/>
      <c r="K33" s="33"/>
      <c r="L33" s="5"/>
    </row>
    <row r="34" spans="1:20" x14ac:dyDescent="0.25">
      <c r="A34" s="33"/>
      <c r="B34" s="34"/>
      <c r="C34" s="6"/>
      <c r="D34" s="50"/>
      <c r="E34" s="78"/>
      <c r="F34" s="33"/>
      <c r="G34" s="6"/>
      <c r="H34" s="5"/>
      <c r="I34" s="6"/>
      <c r="J34" s="52"/>
      <c r="K34" s="33"/>
      <c r="L34" s="5"/>
    </row>
    <row r="35" spans="1:20" x14ac:dyDescent="0.25">
      <c r="A35" s="33"/>
      <c r="B35" s="34"/>
      <c r="C35" s="6"/>
      <c r="D35" s="50"/>
      <c r="E35" s="78"/>
      <c r="F35" s="33"/>
      <c r="G35" s="6"/>
      <c r="H35" s="5"/>
      <c r="I35" s="6"/>
      <c r="J35" s="52"/>
      <c r="K35" s="33"/>
      <c r="L35" s="5"/>
    </row>
    <row r="36" spans="1:20" x14ac:dyDescent="0.25">
      <c r="A36" s="33"/>
      <c r="B36" s="5"/>
      <c r="C36" s="6"/>
      <c r="D36" s="50"/>
      <c r="E36" s="78"/>
      <c r="F36" s="33"/>
      <c r="G36" s="2"/>
      <c r="H36" s="2"/>
      <c r="I36" s="2"/>
      <c r="J36" s="54"/>
      <c r="K36" s="33"/>
      <c r="L36" s="2"/>
    </row>
    <row r="37" spans="1:20" x14ac:dyDescent="0.25">
      <c r="A37" s="33"/>
      <c r="B37" s="5"/>
      <c r="C37" s="6"/>
      <c r="D37" s="50"/>
      <c r="E37" s="78"/>
      <c r="F37" s="33"/>
      <c r="G37" s="2"/>
      <c r="H37" s="2"/>
      <c r="I37" s="2"/>
      <c r="J37" s="54"/>
      <c r="K37" s="33"/>
      <c r="L37" s="2"/>
    </row>
    <row r="38" spans="1:20" ht="16.5" x14ac:dyDescent="0.3">
      <c r="A38" s="33"/>
      <c r="B38" s="5"/>
      <c r="C38" s="6"/>
      <c r="D38" s="50"/>
      <c r="E38" s="78"/>
      <c r="F38" s="36"/>
      <c r="G38" s="2"/>
      <c r="H38" s="2"/>
      <c r="I38" s="2"/>
      <c r="J38" s="54"/>
      <c r="K38" s="36"/>
      <c r="L38" s="2"/>
    </row>
    <row r="39" spans="1:20" ht="16.5" x14ac:dyDescent="0.3">
      <c r="A39" s="36"/>
      <c r="B39" s="5"/>
      <c r="C39" s="6"/>
      <c r="D39" s="14"/>
      <c r="E39" s="78"/>
      <c r="F39" s="36"/>
      <c r="G39" s="2"/>
      <c r="H39" s="2"/>
      <c r="I39" s="2"/>
      <c r="J39" s="54"/>
      <c r="K39" s="36"/>
      <c r="L39" s="2"/>
    </row>
    <row r="40" spans="1:20" x14ac:dyDescent="0.25">
      <c r="A40" s="3" t="s">
        <v>2</v>
      </c>
      <c r="B40" s="5">
        <f>SUM(B32:B39)</f>
        <v>0</v>
      </c>
      <c r="C40" s="6"/>
      <c r="D40" s="14">
        <f>SUM(D32:D39)</f>
        <v>0</v>
      </c>
      <c r="E40" s="78"/>
      <c r="F40" s="3" t="s">
        <v>2</v>
      </c>
      <c r="G40" s="5">
        <f>SUM(G32:G39)</f>
        <v>0</v>
      </c>
      <c r="H40" s="6"/>
      <c r="I40" s="7">
        <f t="shared" ref="I40" si="2">SUM(I32:I39)</f>
        <v>0</v>
      </c>
      <c r="J40" s="55"/>
      <c r="K40" s="3" t="s">
        <v>2</v>
      </c>
      <c r="L40" s="5">
        <f>SUM(L32:L39)</f>
        <v>0</v>
      </c>
    </row>
    <row r="41" spans="1:20" x14ac:dyDescent="0.25">
      <c r="A41" s="38"/>
      <c r="B41" s="9"/>
      <c r="C41" s="1"/>
      <c r="D41" s="46"/>
      <c r="E41" s="1"/>
      <c r="F41" s="38"/>
      <c r="G41" s="9"/>
      <c r="H41" s="1"/>
      <c r="I41" s="12"/>
      <c r="J41" s="46"/>
      <c r="K41" s="38"/>
      <c r="L41" s="9"/>
    </row>
    <row r="42" spans="1:20" x14ac:dyDescent="0.25">
      <c r="A42" s="38"/>
      <c r="B42" s="9"/>
      <c r="C42" s="1"/>
      <c r="D42" s="46"/>
      <c r="E42" s="1"/>
      <c r="F42" s="38"/>
      <c r="G42" s="9"/>
      <c r="H42" s="1"/>
      <c r="I42" s="12"/>
      <c r="J42" s="46"/>
      <c r="K42" s="38"/>
      <c r="L42" s="9"/>
    </row>
    <row r="43" spans="1:20" ht="15" customHeight="1" x14ac:dyDescent="0.25">
      <c r="A43" s="82" t="s">
        <v>16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4"/>
      <c r="N43" s="38"/>
      <c r="O43" s="9"/>
      <c r="P43" s="9"/>
      <c r="Q43" s="9"/>
      <c r="R43" s="9"/>
      <c r="S43" s="38"/>
      <c r="T43" s="9"/>
    </row>
    <row r="44" spans="1:20" x14ac:dyDescent="0.25">
      <c r="A44" s="77" t="s">
        <v>102</v>
      </c>
      <c r="B44" s="77"/>
      <c r="C44" s="77"/>
      <c r="D44" s="77"/>
      <c r="E44" s="78"/>
      <c r="F44" s="77" t="s">
        <v>103</v>
      </c>
      <c r="G44" s="77"/>
      <c r="H44" s="77"/>
      <c r="I44" s="77"/>
      <c r="J44" s="53"/>
      <c r="K44" s="77" t="s">
        <v>25</v>
      </c>
      <c r="L44" s="77"/>
      <c r="N44" s="38"/>
      <c r="O44" s="9"/>
      <c r="P44" s="9"/>
      <c r="Q44" s="9"/>
      <c r="R44" s="9"/>
      <c r="S44" s="38"/>
      <c r="T44" s="9"/>
    </row>
    <row r="45" spans="1:20" x14ac:dyDescent="0.25">
      <c r="A45" s="28" t="s">
        <v>90</v>
      </c>
      <c r="B45" s="3" t="s">
        <v>3</v>
      </c>
      <c r="C45" s="3" t="s">
        <v>0</v>
      </c>
      <c r="D45" s="3" t="s">
        <v>1</v>
      </c>
      <c r="E45" s="78"/>
      <c r="F45" s="28" t="s">
        <v>90</v>
      </c>
      <c r="G45" s="3" t="s">
        <v>105</v>
      </c>
      <c r="H45" s="3" t="s">
        <v>0</v>
      </c>
      <c r="I45" s="3" t="s">
        <v>1</v>
      </c>
      <c r="J45" s="53"/>
      <c r="K45" s="3" t="s">
        <v>90</v>
      </c>
      <c r="L45" s="3" t="s">
        <v>105</v>
      </c>
      <c r="N45" s="38"/>
      <c r="O45" s="9"/>
      <c r="P45" s="9"/>
      <c r="Q45" s="9"/>
      <c r="R45" s="9"/>
      <c r="S45" s="38"/>
      <c r="T45" s="9"/>
    </row>
    <row r="46" spans="1:20" x14ac:dyDescent="0.25">
      <c r="A46" s="33"/>
      <c r="B46" s="34"/>
      <c r="C46" s="5" t="e">
        <f>B46/D46</f>
        <v>#DIV/0!</v>
      </c>
      <c r="D46" s="50"/>
      <c r="E46" s="78"/>
      <c r="F46" s="33"/>
      <c r="G46" s="6"/>
      <c r="H46" s="5" t="e">
        <f>G46/I46</f>
        <v>#DIV/0!</v>
      </c>
      <c r="I46" s="6"/>
      <c r="J46" s="52"/>
      <c r="K46" s="33"/>
      <c r="L46" s="5"/>
    </row>
    <row r="47" spans="1:20" x14ac:dyDescent="0.25">
      <c r="A47" s="33"/>
      <c r="B47" s="34"/>
      <c r="C47" s="6"/>
      <c r="D47" s="50"/>
      <c r="E47" s="78"/>
      <c r="F47" s="33"/>
      <c r="G47" s="6"/>
      <c r="H47" s="5"/>
      <c r="I47" s="6"/>
      <c r="J47" s="52"/>
      <c r="K47" s="33"/>
      <c r="L47" s="5"/>
    </row>
    <row r="48" spans="1:20" x14ac:dyDescent="0.25">
      <c r="A48" s="33"/>
      <c r="B48" s="34"/>
      <c r="C48" s="6"/>
      <c r="D48" s="50"/>
      <c r="E48" s="78"/>
      <c r="F48" s="33"/>
      <c r="G48" s="6"/>
      <c r="H48" s="5"/>
      <c r="I48" s="6"/>
      <c r="J48" s="52"/>
      <c r="K48" s="33"/>
      <c r="L48" s="5"/>
    </row>
    <row r="49" spans="1:20" x14ac:dyDescent="0.25">
      <c r="A49" s="33"/>
      <c r="B49" s="34"/>
      <c r="C49" s="6"/>
      <c r="D49" s="50"/>
      <c r="E49" s="78"/>
      <c r="F49" s="33"/>
      <c r="G49" s="6"/>
      <c r="H49" s="5"/>
      <c r="I49" s="6"/>
      <c r="J49" s="52"/>
      <c r="K49" s="33"/>
      <c r="L49" s="5"/>
    </row>
    <row r="50" spans="1:20" x14ac:dyDescent="0.25">
      <c r="A50" s="33"/>
      <c r="B50" s="5"/>
      <c r="C50" s="6"/>
      <c r="D50" s="50"/>
      <c r="E50" s="78"/>
      <c r="F50" s="33"/>
      <c r="G50" s="2"/>
      <c r="H50" s="2"/>
      <c r="I50" s="2"/>
      <c r="J50" s="54"/>
      <c r="K50" s="33"/>
      <c r="L50" s="2"/>
    </row>
    <row r="51" spans="1:20" x14ac:dyDescent="0.25">
      <c r="A51" s="33"/>
      <c r="B51" s="5"/>
      <c r="C51" s="6"/>
      <c r="D51" s="50"/>
      <c r="E51" s="78"/>
      <c r="F51" s="33"/>
      <c r="G51" s="2"/>
      <c r="H51" s="2"/>
      <c r="I51" s="2"/>
      <c r="J51" s="54"/>
      <c r="K51" s="33"/>
      <c r="L51" s="2"/>
    </row>
    <row r="52" spans="1:20" ht="16.5" x14ac:dyDescent="0.3">
      <c r="A52" s="33"/>
      <c r="B52" s="5"/>
      <c r="C52" s="6"/>
      <c r="D52" s="50"/>
      <c r="E52" s="78"/>
      <c r="F52" s="36"/>
      <c r="G52" s="2"/>
      <c r="H52" s="2"/>
      <c r="I52" s="2"/>
      <c r="J52" s="54"/>
      <c r="K52" s="36"/>
      <c r="L52" s="2"/>
    </row>
    <row r="53" spans="1:20" ht="16.5" x14ac:dyDescent="0.3">
      <c r="A53" s="36"/>
      <c r="B53" s="5"/>
      <c r="C53" s="6"/>
      <c r="D53" s="14"/>
      <c r="E53" s="78"/>
      <c r="F53" s="36"/>
      <c r="G53" s="2"/>
      <c r="H53" s="2"/>
      <c r="I53" s="2"/>
      <c r="J53" s="54"/>
      <c r="K53" s="36"/>
      <c r="L53" s="2"/>
    </row>
    <row r="54" spans="1:20" x14ac:dyDescent="0.25">
      <c r="A54" s="3" t="s">
        <v>2</v>
      </c>
      <c r="B54" s="5">
        <f>SUM(B46:B53)</f>
        <v>0</v>
      </c>
      <c r="C54" s="6"/>
      <c r="D54" s="14">
        <f>SUM(D46:D53)</f>
        <v>0</v>
      </c>
      <c r="E54" s="78"/>
      <c r="F54" s="3" t="s">
        <v>2</v>
      </c>
      <c r="G54" s="5">
        <f>SUM(G46:G53)</f>
        <v>0</v>
      </c>
      <c r="H54" s="6"/>
      <c r="I54" s="7">
        <f t="shared" ref="I54" si="3">SUM(I46:I53)</f>
        <v>0</v>
      </c>
      <c r="J54" s="55"/>
      <c r="K54" s="3" t="s">
        <v>2</v>
      </c>
      <c r="L54" s="5">
        <f>SUM(L46:L53)</f>
        <v>0</v>
      </c>
    </row>
    <row r="57" spans="1:20" ht="15" customHeight="1" x14ac:dyDescent="0.25">
      <c r="A57" s="82" t="s">
        <v>17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4"/>
      <c r="N57" s="38"/>
      <c r="O57" s="9"/>
      <c r="P57" s="9"/>
      <c r="Q57" s="9"/>
      <c r="R57" s="9"/>
      <c r="S57" s="38"/>
      <c r="T57" s="9"/>
    </row>
    <row r="58" spans="1:20" x14ac:dyDescent="0.25">
      <c r="A58" s="77" t="s">
        <v>102</v>
      </c>
      <c r="B58" s="77"/>
      <c r="C58" s="77"/>
      <c r="D58" s="77"/>
      <c r="E58" s="78"/>
      <c r="F58" s="77" t="s">
        <v>103</v>
      </c>
      <c r="G58" s="77"/>
      <c r="H58" s="77"/>
      <c r="I58" s="77"/>
      <c r="J58" s="53"/>
      <c r="K58" s="77" t="s">
        <v>25</v>
      </c>
      <c r="L58" s="77"/>
      <c r="N58" s="38"/>
      <c r="O58" s="9"/>
      <c r="P58" s="9"/>
      <c r="Q58" s="9"/>
      <c r="R58" s="9"/>
      <c r="S58" s="38"/>
      <c r="T58" s="9"/>
    </row>
    <row r="59" spans="1:20" x14ac:dyDescent="0.25">
      <c r="A59" s="28" t="s">
        <v>90</v>
      </c>
      <c r="B59" s="3" t="s">
        <v>3</v>
      </c>
      <c r="C59" s="3" t="s">
        <v>0</v>
      </c>
      <c r="D59" s="3" t="s">
        <v>1</v>
      </c>
      <c r="E59" s="78"/>
      <c r="F59" s="28" t="s">
        <v>90</v>
      </c>
      <c r="G59" s="3" t="s">
        <v>105</v>
      </c>
      <c r="H59" s="3" t="s">
        <v>0</v>
      </c>
      <c r="I59" s="3" t="s">
        <v>1</v>
      </c>
      <c r="J59" s="53"/>
      <c r="K59" s="3" t="s">
        <v>90</v>
      </c>
      <c r="L59" s="3" t="s">
        <v>105</v>
      </c>
      <c r="N59" s="38"/>
      <c r="O59" s="9"/>
      <c r="P59" s="9"/>
      <c r="Q59" s="9"/>
      <c r="R59" s="9"/>
      <c r="S59" s="38"/>
      <c r="T59" s="9"/>
    </row>
    <row r="60" spans="1:20" x14ac:dyDescent="0.25">
      <c r="A60" s="33"/>
      <c r="B60" s="34"/>
      <c r="C60" s="5" t="e">
        <f>B60/D60</f>
        <v>#DIV/0!</v>
      </c>
      <c r="D60" s="50"/>
      <c r="E60" s="78"/>
      <c r="F60" s="33"/>
      <c r="G60" s="6"/>
      <c r="H60" s="5" t="e">
        <f>G60/I60</f>
        <v>#DIV/0!</v>
      </c>
      <c r="I60" s="6"/>
      <c r="J60" s="52"/>
      <c r="K60" s="33"/>
      <c r="L60" s="5"/>
    </row>
    <row r="61" spans="1:20" x14ac:dyDescent="0.25">
      <c r="A61" s="33"/>
      <c r="B61" s="34"/>
      <c r="C61" s="6"/>
      <c r="D61" s="50"/>
      <c r="E61" s="78"/>
      <c r="F61" s="33"/>
      <c r="G61" s="6"/>
      <c r="H61" s="5"/>
      <c r="I61" s="6"/>
      <c r="J61" s="52"/>
      <c r="K61" s="33"/>
      <c r="L61" s="5"/>
    </row>
    <row r="62" spans="1:20" x14ac:dyDescent="0.25">
      <c r="A62" s="33"/>
      <c r="B62" s="34"/>
      <c r="C62" s="6"/>
      <c r="D62" s="50"/>
      <c r="E62" s="78"/>
      <c r="F62" s="33"/>
      <c r="G62" s="6"/>
      <c r="H62" s="5"/>
      <c r="I62" s="6"/>
      <c r="J62" s="52"/>
      <c r="K62" s="33"/>
      <c r="L62" s="5"/>
    </row>
    <row r="63" spans="1:20" x14ac:dyDescent="0.25">
      <c r="A63" s="33"/>
      <c r="B63" s="34"/>
      <c r="C63" s="6"/>
      <c r="D63" s="50"/>
      <c r="E63" s="78"/>
      <c r="F63" s="33"/>
      <c r="G63" s="6"/>
      <c r="H63" s="5"/>
      <c r="I63" s="6"/>
      <c r="J63" s="52"/>
      <c r="K63" s="33"/>
      <c r="L63" s="5"/>
    </row>
    <row r="64" spans="1:20" x14ac:dyDescent="0.25">
      <c r="A64" s="33"/>
      <c r="B64" s="5"/>
      <c r="C64" s="6"/>
      <c r="D64" s="50"/>
      <c r="E64" s="78"/>
      <c r="F64" s="33"/>
      <c r="G64" s="2"/>
      <c r="H64" s="2"/>
      <c r="I64" s="2"/>
      <c r="J64" s="54"/>
      <c r="K64" s="33"/>
      <c r="L64" s="2"/>
    </row>
    <row r="65" spans="1:20" x14ac:dyDescent="0.25">
      <c r="A65" s="33"/>
      <c r="B65" s="5"/>
      <c r="C65" s="6"/>
      <c r="D65" s="50"/>
      <c r="E65" s="78"/>
      <c r="F65" s="33"/>
      <c r="G65" s="2"/>
      <c r="H65" s="2"/>
      <c r="I65" s="2"/>
      <c r="J65" s="54"/>
      <c r="K65" s="33"/>
      <c r="L65" s="2"/>
    </row>
    <row r="66" spans="1:20" ht="16.5" x14ac:dyDescent="0.3">
      <c r="A66" s="33"/>
      <c r="B66" s="5"/>
      <c r="C66" s="6"/>
      <c r="D66" s="50"/>
      <c r="E66" s="78"/>
      <c r="F66" s="36"/>
      <c r="G66" s="2"/>
      <c r="H66" s="2"/>
      <c r="I66" s="2"/>
      <c r="J66" s="54"/>
      <c r="K66" s="36"/>
      <c r="L66" s="2"/>
    </row>
    <row r="67" spans="1:20" ht="16.5" x14ac:dyDescent="0.3">
      <c r="A67" s="36"/>
      <c r="B67" s="5"/>
      <c r="C67" s="6"/>
      <c r="D67" s="14"/>
      <c r="E67" s="78"/>
      <c r="F67" s="36"/>
      <c r="G67" s="2"/>
      <c r="H67" s="2"/>
      <c r="I67" s="2"/>
      <c r="J67" s="54"/>
      <c r="K67" s="36"/>
      <c r="L67" s="2"/>
    </row>
    <row r="68" spans="1:20" x14ac:dyDescent="0.25">
      <c r="A68" s="3" t="s">
        <v>2</v>
      </c>
      <c r="B68" s="5">
        <f>SUM(B60:B67)</f>
        <v>0</v>
      </c>
      <c r="C68" s="6"/>
      <c r="D68" s="14">
        <f>SUM(D60:D67)</f>
        <v>0</v>
      </c>
      <c r="E68" s="78"/>
      <c r="F68" s="3" t="s">
        <v>2</v>
      </c>
      <c r="G68" s="5">
        <f>SUM(G60:G67)</f>
        <v>0</v>
      </c>
      <c r="H68" s="6"/>
      <c r="I68" s="7">
        <f t="shared" ref="I68" si="4">SUM(I60:I67)</f>
        <v>0</v>
      </c>
      <c r="J68" s="55"/>
      <c r="K68" s="3" t="s">
        <v>2</v>
      </c>
      <c r="L68" s="5">
        <f>SUM(L60:L67)</f>
        <v>0</v>
      </c>
    </row>
    <row r="71" spans="1:20" ht="15" customHeight="1" x14ac:dyDescent="0.25">
      <c r="A71" s="82" t="s">
        <v>18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4"/>
      <c r="N71" s="38"/>
      <c r="O71" s="9"/>
      <c r="P71" s="9"/>
      <c r="Q71" s="9"/>
      <c r="R71" s="9"/>
      <c r="S71" s="38"/>
      <c r="T71" s="9"/>
    </row>
    <row r="72" spans="1:20" x14ac:dyDescent="0.25">
      <c r="A72" s="77" t="s">
        <v>102</v>
      </c>
      <c r="B72" s="77"/>
      <c r="C72" s="77"/>
      <c r="D72" s="77"/>
      <c r="E72" s="78"/>
      <c r="F72" s="77" t="s">
        <v>103</v>
      </c>
      <c r="G72" s="77"/>
      <c r="H72" s="77"/>
      <c r="I72" s="77"/>
      <c r="J72" s="53"/>
      <c r="K72" s="77" t="s">
        <v>25</v>
      </c>
      <c r="L72" s="77"/>
      <c r="N72" s="38"/>
      <c r="O72" s="9"/>
      <c r="P72" s="9"/>
      <c r="Q72" s="9"/>
      <c r="R72" s="9"/>
      <c r="S72" s="38"/>
      <c r="T72" s="9"/>
    </row>
    <row r="73" spans="1:20" x14ac:dyDescent="0.25">
      <c r="A73" s="28" t="s">
        <v>90</v>
      </c>
      <c r="B73" s="3" t="s">
        <v>3</v>
      </c>
      <c r="C73" s="3" t="s">
        <v>0</v>
      </c>
      <c r="D73" s="3" t="s">
        <v>1</v>
      </c>
      <c r="E73" s="78"/>
      <c r="F73" s="28" t="s">
        <v>90</v>
      </c>
      <c r="G73" s="3" t="s">
        <v>105</v>
      </c>
      <c r="H73" s="3" t="s">
        <v>0</v>
      </c>
      <c r="I73" s="3" t="s">
        <v>1</v>
      </c>
      <c r="J73" s="53"/>
      <c r="K73" s="3" t="s">
        <v>90</v>
      </c>
      <c r="L73" s="3" t="s">
        <v>105</v>
      </c>
      <c r="N73" s="38"/>
      <c r="O73" s="9"/>
      <c r="P73" s="9"/>
      <c r="Q73" s="9"/>
      <c r="R73" s="9"/>
      <c r="S73" s="38"/>
      <c r="T73" s="9"/>
    </row>
    <row r="74" spans="1:20" x14ac:dyDescent="0.25">
      <c r="A74" s="33"/>
      <c r="B74" s="34"/>
      <c r="C74" s="5" t="e">
        <f>B74/D74</f>
        <v>#DIV/0!</v>
      </c>
      <c r="D74" s="50"/>
      <c r="E74" s="78"/>
      <c r="F74" s="33"/>
      <c r="G74" s="6"/>
      <c r="H74" s="5" t="e">
        <f>G74/I74</f>
        <v>#DIV/0!</v>
      </c>
      <c r="I74" s="6"/>
      <c r="J74" s="52"/>
      <c r="K74" s="33"/>
      <c r="L74" s="5"/>
    </row>
    <row r="75" spans="1:20" x14ac:dyDescent="0.25">
      <c r="A75" s="33"/>
      <c r="B75" s="34"/>
      <c r="C75" s="6"/>
      <c r="D75" s="50"/>
      <c r="E75" s="78"/>
      <c r="F75" s="33"/>
      <c r="G75" s="6"/>
      <c r="H75" s="5"/>
      <c r="I75" s="6"/>
      <c r="J75" s="52"/>
      <c r="K75" s="33"/>
      <c r="L75" s="5"/>
    </row>
    <row r="76" spans="1:20" x14ac:dyDescent="0.25">
      <c r="A76" s="33"/>
      <c r="B76" s="34"/>
      <c r="C76" s="6"/>
      <c r="D76" s="50"/>
      <c r="E76" s="78"/>
      <c r="F76" s="33"/>
      <c r="G76" s="6"/>
      <c r="H76" s="5"/>
      <c r="I76" s="6"/>
      <c r="J76" s="52"/>
      <c r="K76" s="33"/>
      <c r="L76" s="5"/>
    </row>
    <row r="77" spans="1:20" x14ac:dyDescent="0.25">
      <c r="A77" s="33"/>
      <c r="B77" s="34"/>
      <c r="C77" s="6"/>
      <c r="D77" s="50"/>
      <c r="E77" s="78"/>
      <c r="F77" s="33"/>
      <c r="G77" s="6"/>
      <c r="H77" s="5"/>
      <c r="I77" s="6"/>
      <c r="J77" s="52"/>
      <c r="K77" s="33"/>
      <c r="L77" s="5"/>
    </row>
    <row r="78" spans="1:20" x14ac:dyDescent="0.25">
      <c r="A78" s="33"/>
      <c r="B78" s="5"/>
      <c r="C78" s="6"/>
      <c r="D78" s="50"/>
      <c r="E78" s="78"/>
      <c r="F78" s="33"/>
      <c r="G78" s="2"/>
      <c r="H78" s="2"/>
      <c r="I78" s="2"/>
      <c r="J78" s="54"/>
      <c r="K78" s="33"/>
      <c r="L78" s="2"/>
    </row>
    <row r="79" spans="1:20" x14ac:dyDescent="0.25">
      <c r="A79" s="33"/>
      <c r="B79" s="5"/>
      <c r="C79" s="6"/>
      <c r="D79" s="50"/>
      <c r="E79" s="78"/>
      <c r="F79" s="33"/>
      <c r="G79" s="2"/>
      <c r="H79" s="2"/>
      <c r="I79" s="2"/>
      <c r="J79" s="54"/>
      <c r="K79" s="33"/>
      <c r="L79" s="2"/>
    </row>
    <row r="80" spans="1:20" ht="16.5" x14ac:dyDescent="0.3">
      <c r="A80" s="33"/>
      <c r="B80" s="5"/>
      <c r="C80" s="6"/>
      <c r="D80" s="50"/>
      <c r="E80" s="78"/>
      <c r="F80" s="36"/>
      <c r="G80" s="2"/>
      <c r="H80" s="2"/>
      <c r="I80" s="2"/>
      <c r="J80" s="54"/>
      <c r="K80" s="36"/>
      <c r="L80" s="2"/>
    </row>
    <row r="81" spans="1:20" ht="16.5" x14ac:dyDescent="0.3">
      <c r="A81" s="36"/>
      <c r="B81" s="5"/>
      <c r="C81" s="6"/>
      <c r="D81" s="14"/>
      <c r="E81" s="78"/>
      <c r="F81" s="36"/>
      <c r="G81" s="2"/>
      <c r="H81" s="2"/>
      <c r="I81" s="2"/>
      <c r="J81" s="54"/>
      <c r="K81" s="36"/>
      <c r="L81" s="2"/>
    </row>
    <row r="82" spans="1:20" x14ac:dyDescent="0.25">
      <c r="A82" s="3" t="s">
        <v>2</v>
      </c>
      <c r="B82" s="5">
        <f>SUM(B74:B81)</f>
        <v>0</v>
      </c>
      <c r="C82" s="6"/>
      <c r="D82" s="14">
        <f>SUM(D74:D81)</f>
        <v>0</v>
      </c>
      <c r="E82" s="78"/>
      <c r="F82" s="3" t="s">
        <v>2</v>
      </c>
      <c r="G82" s="5">
        <f>SUM(G74:G81)</f>
        <v>0</v>
      </c>
      <c r="H82" s="6"/>
      <c r="I82" s="7">
        <f t="shared" ref="I82" si="5">SUM(I74:I81)</f>
        <v>0</v>
      </c>
      <c r="J82" s="55"/>
      <c r="K82" s="3" t="s">
        <v>2</v>
      </c>
      <c r="L82" s="5">
        <f>SUM(L74:L81)</f>
        <v>0</v>
      </c>
    </row>
    <row r="85" spans="1:20" ht="15" customHeight="1" x14ac:dyDescent="0.25">
      <c r="A85" s="82" t="s">
        <v>19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4"/>
      <c r="N85" s="38"/>
      <c r="O85" s="9"/>
      <c r="P85" s="9"/>
      <c r="Q85" s="9"/>
      <c r="R85" s="9"/>
      <c r="S85" s="38"/>
      <c r="T85" s="9"/>
    </row>
    <row r="86" spans="1:20" x14ac:dyDescent="0.25">
      <c r="A86" s="77" t="s">
        <v>102</v>
      </c>
      <c r="B86" s="77"/>
      <c r="C86" s="77"/>
      <c r="D86" s="77"/>
      <c r="E86" s="78"/>
      <c r="F86" s="77" t="s">
        <v>103</v>
      </c>
      <c r="G86" s="77"/>
      <c r="H86" s="77"/>
      <c r="I86" s="77"/>
      <c r="J86" s="53"/>
      <c r="K86" s="77" t="s">
        <v>25</v>
      </c>
      <c r="L86" s="77"/>
      <c r="N86" s="38"/>
      <c r="O86" s="9"/>
      <c r="P86" s="9"/>
      <c r="Q86" s="9"/>
      <c r="R86" s="9"/>
      <c r="S86" s="38"/>
      <c r="T86" s="9"/>
    </row>
    <row r="87" spans="1:20" x14ac:dyDescent="0.25">
      <c r="A87" s="28" t="s">
        <v>90</v>
      </c>
      <c r="B87" s="3" t="s">
        <v>3</v>
      </c>
      <c r="C87" s="3" t="s">
        <v>0</v>
      </c>
      <c r="D87" s="3" t="s">
        <v>1</v>
      </c>
      <c r="E87" s="78"/>
      <c r="F87" s="28" t="s">
        <v>90</v>
      </c>
      <c r="G87" s="3" t="s">
        <v>105</v>
      </c>
      <c r="H87" s="3" t="s">
        <v>0</v>
      </c>
      <c r="I87" s="3" t="s">
        <v>1</v>
      </c>
      <c r="J87" s="53"/>
      <c r="K87" s="3" t="s">
        <v>90</v>
      </c>
      <c r="L87" s="3" t="s">
        <v>105</v>
      </c>
      <c r="N87" s="38"/>
      <c r="O87" s="9"/>
      <c r="P87" s="9"/>
      <c r="Q87" s="9"/>
      <c r="R87" s="9"/>
      <c r="S87" s="38"/>
      <c r="T87" s="9"/>
    </row>
    <row r="88" spans="1:20" x14ac:dyDescent="0.25">
      <c r="A88" s="33"/>
      <c r="B88" s="34"/>
      <c r="C88" s="5" t="e">
        <f>B88/D88</f>
        <v>#DIV/0!</v>
      </c>
      <c r="D88" s="50"/>
      <c r="E88" s="78"/>
      <c r="F88" s="33"/>
      <c r="G88" s="6"/>
      <c r="H88" s="5" t="e">
        <f>G88/I88</f>
        <v>#DIV/0!</v>
      </c>
      <c r="I88" s="6"/>
      <c r="J88" s="52"/>
      <c r="K88" s="33"/>
      <c r="L88" s="5"/>
    </row>
    <row r="89" spans="1:20" x14ac:dyDescent="0.25">
      <c r="A89" s="33"/>
      <c r="B89" s="34"/>
      <c r="C89" s="6"/>
      <c r="D89" s="50"/>
      <c r="E89" s="78"/>
      <c r="F89" s="33"/>
      <c r="G89" s="6"/>
      <c r="H89" s="5"/>
      <c r="I89" s="6"/>
      <c r="J89" s="52"/>
      <c r="K89" s="33"/>
      <c r="L89" s="5"/>
    </row>
    <row r="90" spans="1:20" x14ac:dyDescent="0.25">
      <c r="A90" s="33"/>
      <c r="B90" s="34"/>
      <c r="C90" s="6"/>
      <c r="D90" s="50"/>
      <c r="E90" s="78"/>
      <c r="F90" s="33"/>
      <c r="G90" s="6"/>
      <c r="H90" s="5"/>
      <c r="I90" s="6"/>
      <c r="J90" s="52"/>
      <c r="K90" s="33"/>
      <c r="L90" s="5"/>
    </row>
    <row r="91" spans="1:20" x14ac:dyDescent="0.25">
      <c r="A91" s="33"/>
      <c r="B91" s="34"/>
      <c r="C91" s="6"/>
      <c r="D91" s="50"/>
      <c r="E91" s="78"/>
      <c r="F91" s="33"/>
      <c r="G91" s="6"/>
      <c r="H91" s="5"/>
      <c r="I91" s="6"/>
      <c r="J91" s="52"/>
      <c r="K91" s="33"/>
      <c r="L91" s="5"/>
    </row>
    <row r="92" spans="1:20" x14ac:dyDescent="0.25">
      <c r="A92" s="33"/>
      <c r="B92" s="5"/>
      <c r="C92" s="6"/>
      <c r="D92" s="50"/>
      <c r="E92" s="78"/>
      <c r="F92" s="33"/>
      <c r="G92" s="2"/>
      <c r="H92" s="2"/>
      <c r="I92" s="2"/>
      <c r="J92" s="54"/>
      <c r="K92" s="33"/>
      <c r="L92" s="2"/>
    </row>
    <row r="93" spans="1:20" x14ac:dyDescent="0.25">
      <c r="A93" s="33"/>
      <c r="B93" s="5"/>
      <c r="C93" s="6"/>
      <c r="D93" s="50"/>
      <c r="E93" s="78"/>
      <c r="F93" s="33"/>
      <c r="G93" s="2"/>
      <c r="H93" s="2"/>
      <c r="I93" s="2"/>
      <c r="J93" s="54"/>
      <c r="K93" s="33"/>
      <c r="L93" s="2"/>
    </row>
    <row r="94" spans="1:20" ht="16.5" x14ac:dyDescent="0.3">
      <c r="A94" s="33"/>
      <c r="B94" s="5"/>
      <c r="C94" s="6"/>
      <c r="D94" s="50"/>
      <c r="E94" s="78"/>
      <c r="F94" s="36"/>
      <c r="G94" s="2"/>
      <c r="H94" s="2"/>
      <c r="I94" s="2"/>
      <c r="J94" s="54"/>
      <c r="K94" s="36"/>
      <c r="L94" s="2"/>
    </row>
    <row r="95" spans="1:20" ht="16.5" x14ac:dyDescent="0.3">
      <c r="A95" s="36"/>
      <c r="B95" s="5"/>
      <c r="C95" s="6"/>
      <c r="D95" s="14"/>
      <c r="E95" s="78"/>
      <c r="F95" s="36"/>
      <c r="G95" s="2"/>
      <c r="H95" s="2"/>
      <c r="I95" s="2"/>
      <c r="J95" s="54"/>
      <c r="K95" s="36"/>
      <c r="L95" s="2"/>
    </row>
    <row r="96" spans="1:20" x14ac:dyDescent="0.25">
      <c r="A96" s="3" t="s">
        <v>2</v>
      </c>
      <c r="B96" s="5">
        <f>SUM(B88:B95)</f>
        <v>0</v>
      </c>
      <c r="C96" s="6"/>
      <c r="D96" s="14">
        <f>SUM(D88:D95)</f>
        <v>0</v>
      </c>
      <c r="E96" s="78"/>
      <c r="F96" s="3" t="s">
        <v>2</v>
      </c>
      <c r="G96" s="5">
        <f>SUM(G88:G95)</f>
        <v>0</v>
      </c>
      <c r="H96" s="6"/>
      <c r="I96" s="7">
        <f t="shared" ref="I96" si="6">SUM(I88:I95)</f>
        <v>0</v>
      </c>
      <c r="J96" s="55"/>
      <c r="K96" s="3" t="s">
        <v>2</v>
      </c>
      <c r="L96" s="5">
        <f>SUM(L88:L95)</f>
        <v>0</v>
      </c>
    </row>
    <row r="99" spans="1:20" ht="15" customHeight="1" x14ac:dyDescent="0.25">
      <c r="A99" s="82" t="s">
        <v>20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4"/>
      <c r="N99" s="38"/>
      <c r="O99" s="9"/>
      <c r="P99" s="9"/>
      <c r="Q99" s="9"/>
      <c r="R99" s="9"/>
      <c r="S99" s="38"/>
      <c r="T99" s="9"/>
    </row>
    <row r="100" spans="1:20" x14ac:dyDescent="0.25">
      <c r="A100" s="77" t="s">
        <v>102</v>
      </c>
      <c r="B100" s="77"/>
      <c r="C100" s="77"/>
      <c r="D100" s="77"/>
      <c r="E100" s="78"/>
      <c r="F100" s="77" t="s">
        <v>103</v>
      </c>
      <c r="G100" s="77"/>
      <c r="H100" s="77"/>
      <c r="I100" s="77"/>
      <c r="J100" s="53"/>
      <c r="K100" s="77" t="s">
        <v>25</v>
      </c>
      <c r="L100" s="77"/>
      <c r="N100" s="38"/>
      <c r="O100" s="9"/>
      <c r="P100" s="9"/>
      <c r="Q100" s="9"/>
      <c r="R100" s="9"/>
      <c r="S100" s="38"/>
      <c r="T100" s="9"/>
    </row>
    <row r="101" spans="1:20" x14ac:dyDescent="0.25">
      <c r="A101" s="28" t="s">
        <v>90</v>
      </c>
      <c r="B101" s="3" t="s">
        <v>3</v>
      </c>
      <c r="C101" s="3" t="s">
        <v>0</v>
      </c>
      <c r="D101" s="3" t="s">
        <v>1</v>
      </c>
      <c r="E101" s="78"/>
      <c r="F101" s="28" t="s">
        <v>90</v>
      </c>
      <c r="G101" s="3" t="s">
        <v>105</v>
      </c>
      <c r="H101" s="3" t="s">
        <v>0</v>
      </c>
      <c r="I101" s="3" t="s">
        <v>1</v>
      </c>
      <c r="J101" s="53"/>
      <c r="K101" s="3" t="s">
        <v>90</v>
      </c>
      <c r="L101" s="3" t="s">
        <v>105</v>
      </c>
      <c r="N101" s="38"/>
      <c r="O101" s="9"/>
      <c r="P101" s="9"/>
      <c r="Q101" s="9"/>
      <c r="R101" s="9"/>
      <c r="S101" s="38"/>
      <c r="T101" s="9"/>
    </row>
    <row r="102" spans="1:20" x14ac:dyDescent="0.25">
      <c r="A102" s="33"/>
      <c r="B102" s="34"/>
      <c r="C102" s="5" t="e">
        <f>B102/D102</f>
        <v>#DIV/0!</v>
      </c>
      <c r="D102" s="50"/>
      <c r="E102" s="78"/>
      <c r="F102" s="33"/>
      <c r="G102" s="6"/>
      <c r="H102" s="5" t="e">
        <f>G102/I102</f>
        <v>#DIV/0!</v>
      </c>
      <c r="I102" s="6"/>
      <c r="J102" s="52"/>
      <c r="K102" s="33"/>
      <c r="L102" s="5"/>
    </row>
    <row r="103" spans="1:20" x14ac:dyDescent="0.25">
      <c r="A103" s="33"/>
      <c r="B103" s="34"/>
      <c r="C103" s="6"/>
      <c r="D103" s="50"/>
      <c r="E103" s="78"/>
      <c r="F103" s="33"/>
      <c r="G103" s="6"/>
      <c r="H103" s="5"/>
      <c r="I103" s="6"/>
      <c r="J103" s="52"/>
      <c r="K103" s="33"/>
      <c r="L103" s="5"/>
    </row>
    <row r="104" spans="1:20" x14ac:dyDescent="0.25">
      <c r="A104" s="33"/>
      <c r="B104" s="34"/>
      <c r="C104" s="6"/>
      <c r="D104" s="50"/>
      <c r="E104" s="78"/>
      <c r="F104" s="33"/>
      <c r="G104" s="6"/>
      <c r="H104" s="5"/>
      <c r="I104" s="6"/>
      <c r="J104" s="52"/>
      <c r="K104" s="33"/>
      <c r="L104" s="5"/>
    </row>
    <row r="105" spans="1:20" x14ac:dyDescent="0.25">
      <c r="A105" s="33"/>
      <c r="B105" s="34"/>
      <c r="C105" s="6"/>
      <c r="D105" s="50"/>
      <c r="E105" s="78"/>
      <c r="F105" s="33"/>
      <c r="G105" s="6"/>
      <c r="H105" s="5"/>
      <c r="I105" s="6"/>
      <c r="J105" s="52"/>
      <c r="K105" s="33"/>
      <c r="L105" s="5"/>
    </row>
    <row r="106" spans="1:20" x14ac:dyDescent="0.25">
      <c r="A106" s="33"/>
      <c r="B106" s="5"/>
      <c r="C106" s="6"/>
      <c r="D106" s="50"/>
      <c r="E106" s="78"/>
      <c r="F106" s="33"/>
      <c r="G106" s="2"/>
      <c r="H106" s="2"/>
      <c r="I106" s="2"/>
      <c r="J106" s="54"/>
      <c r="K106" s="33"/>
      <c r="L106" s="2"/>
    </row>
    <row r="107" spans="1:20" x14ac:dyDescent="0.25">
      <c r="A107" s="33"/>
      <c r="B107" s="5"/>
      <c r="C107" s="6"/>
      <c r="D107" s="50"/>
      <c r="E107" s="78"/>
      <c r="F107" s="33"/>
      <c r="G107" s="2"/>
      <c r="H107" s="2"/>
      <c r="I107" s="2"/>
      <c r="J107" s="54"/>
      <c r="K107" s="33"/>
      <c r="L107" s="2"/>
    </row>
    <row r="108" spans="1:20" ht="16.5" x14ac:dyDescent="0.3">
      <c r="A108" s="33"/>
      <c r="B108" s="5"/>
      <c r="C108" s="6"/>
      <c r="D108" s="50"/>
      <c r="E108" s="78"/>
      <c r="F108" s="36"/>
      <c r="G108" s="2"/>
      <c r="H108" s="2"/>
      <c r="I108" s="2"/>
      <c r="J108" s="54"/>
      <c r="K108" s="36"/>
      <c r="L108" s="2"/>
    </row>
    <row r="109" spans="1:20" ht="16.5" x14ac:dyDescent="0.3">
      <c r="A109" s="36"/>
      <c r="B109" s="5"/>
      <c r="C109" s="6"/>
      <c r="D109" s="14"/>
      <c r="E109" s="78"/>
      <c r="F109" s="36"/>
      <c r="G109" s="2"/>
      <c r="H109" s="2"/>
      <c r="I109" s="2"/>
      <c r="J109" s="54"/>
      <c r="K109" s="36"/>
      <c r="L109" s="2"/>
    </row>
    <row r="110" spans="1:20" x14ac:dyDescent="0.25">
      <c r="A110" s="3" t="s">
        <v>2</v>
      </c>
      <c r="B110" s="5">
        <f>SUM(B102:B109)</f>
        <v>0</v>
      </c>
      <c r="C110" s="6"/>
      <c r="D110" s="14">
        <f>SUM(D102:D109)</f>
        <v>0</v>
      </c>
      <c r="E110" s="78"/>
      <c r="F110" s="3" t="s">
        <v>2</v>
      </c>
      <c r="G110" s="5">
        <f>SUM(G102:G109)</f>
        <v>0</v>
      </c>
      <c r="H110" s="6"/>
      <c r="I110" s="7">
        <f t="shared" ref="I110" si="7">SUM(I102:I109)</f>
        <v>0</v>
      </c>
      <c r="J110" s="55"/>
      <c r="K110" s="3" t="s">
        <v>2</v>
      </c>
      <c r="L110" s="5">
        <f>SUM(L102:L109)</f>
        <v>0</v>
      </c>
    </row>
    <row r="113" spans="1:20" ht="15" customHeight="1" x14ac:dyDescent="0.25">
      <c r="A113" s="82" t="s">
        <v>20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4"/>
      <c r="N113" s="38"/>
      <c r="O113" s="9"/>
      <c r="P113" s="9"/>
      <c r="Q113" s="9"/>
      <c r="R113" s="9"/>
      <c r="S113" s="38"/>
      <c r="T113" s="9"/>
    </row>
    <row r="114" spans="1:20" x14ac:dyDescent="0.25">
      <c r="A114" s="77" t="s">
        <v>102</v>
      </c>
      <c r="B114" s="77"/>
      <c r="C114" s="77"/>
      <c r="D114" s="77"/>
      <c r="E114" s="78"/>
      <c r="F114" s="77" t="s">
        <v>103</v>
      </c>
      <c r="G114" s="77"/>
      <c r="H114" s="77"/>
      <c r="I114" s="77"/>
      <c r="J114" s="53"/>
      <c r="K114" s="77" t="s">
        <v>25</v>
      </c>
      <c r="L114" s="77"/>
      <c r="N114" s="38"/>
      <c r="O114" s="9"/>
      <c r="P114" s="9"/>
      <c r="Q114" s="9"/>
      <c r="R114" s="9"/>
      <c r="S114" s="38"/>
      <c r="T114" s="9"/>
    </row>
    <row r="115" spans="1:20" x14ac:dyDescent="0.25">
      <c r="A115" s="28" t="s">
        <v>90</v>
      </c>
      <c r="B115" s="3" t="s">
        <v>3</v>
      </c>
      <c r="C115" s="3" t="s">
        <v>0</v>
      </c>
      <c r="D115" s="3" t="s">
        <v>1</v>
      </c>
      <c r="E115" s="78"/>
      <c r="F115" s="28" t="s">
        <v>90</v>
      </c>
      <c r="G115" s="3" t="s">
        <v>105</v>
      </c>
      <c r="H115" s="3" t="s">
        <v>0</v>
      </c>
      <c r="I115" s="3" t="s">
        <v>1</v>
      </c>
      <c r="J115" s="53"/>
      <c r="K115" s="3" t="s">
        <v>90</v>
      </c>
      <c r="L115" s="3" t="s">
        <v>105</v>
      </c>
      <c r="N115" s="38"/>
      <c r="O115" s="9"/>
      <c r="P115" s="9"/>
      <c r="Q115" s="9"/>
      <c r="R115" s="9"/>
      <c r="S115" s="38"/>
      <c r="T115" s="9"/>
    </row>
    <row r="116" spans="1:20" x14ac:dyDescent="0.25">
      <c r="A116" s="33"/>
      <c r="B116" s="34"/>
      <c r="C116" s="5" t="e">
        <f>B116/D116</f>
        <v>#DIV/0!</v>
      </c>
      <c r="D116" s="50"/>
      <c r="E116" s="78"/>
      <c r="F116" s="33"/>
      <c r="G116" s="6"/>
      <c r="H116" s="5" t="e">
        <f>G116/I116</f>
        <v>#DIV/0!</v>
      </c>
      <c r="I116" s="6"/>
      <c r="J116" s="52"/>
      <c r="K116" s="33"/>
      <c r="L116" s="5"/>
    </row>
    <row r="117" spans="1:20" x14ac:dyDescent="0.25">
      <c r="A117" s="33"/>
      <c r="B117" s="34"/>
      <c r="C117" s="6"/>
      <c r="D117" s="50"/>
      <c r="E117" s="78"/>
      <c r="F117" s="33"/>
      <c r="G117" s="6"/>
      <c r="H117" s="5"/>
      <c r="I117" s="6"/>
      <c r="J117" s="52"/>
      <c r="K117" s="33"/>
      <c r="L117" s="5"/>
    </row>
    <row r="118" spans="1:20" x14ac:dyDescent="0.25">
      <c r="A118" s="33"/>
      <c r="B118" s="34"/>
      <c r="C118" s="6"/>
      <c r="D118" s="50"/>
      <c r="E118" s="78"/>
      <c r="F118" s="33"/>
      <c r="G118" s="6"/>
      <c r="H118" s="5"/>
      <c r="I118" s="6"/>
      <c r="J118" s="52"/>
      <c r="K118" s="33"/>
      <c r="L118" s="5"/>
    </row>
    <row r="119" spans="1:20" x14ac:dyDescent="0.25">
      <c r="A119" s="33"/>
      <c r="B119" s="34"/>
      <c r="C119" s="6"/>
      <c r="D119" s="50"/>
      <c r="E119" s="78"/>
      <c r="F119" s="33"/>
      <c r="G119" s="6"/>
      <c r="H119" s="5"/>
      <c r="I119" s="6"/>
      <c r="J119" s="52"/>
      <c r="K119" s="33"/>
      <c r="L119" s="5"/>
    </row>
    <row r="120" spans="1:20" x14ac:dyDescent="0.25">
      <c r="A120" s="33"/>
      <c r="B120" s="5"/>
      <c r="C120" s="6"/>
      <c r="D120" s="50"/>
      <c r="E120" s="78"/>
      <c r="F120" s="33"/>
      <c r="G120" s="2"/>
      <c r="H120" s="2"/>
      <c r="I120" s="2"/>
      <c r="J120" s="54"/>
      <c r="K120" s="33"/>
      <c r="L120" s="2"/>
    </row>
    <row r="121" spans="1:20" x14ac:dyDescent="0.25">
      <c r="A121" s="33"/>
      <c r="B121" s="5"/>
      <c r="C121" s="6"/>
      <c r="D121" s="50"/>
      <c r="E121" s="78"/>
      <c r="F121" s="33"/>
      <c r="G121" s="2"/>
      <c r="H121" s="2"/>
      <c r="I121" s="2"/>
      <c r="J121" s="54"/>
      <c r="K121" s="33"/>
      <c r="L121" s="2"/>
    </row>
    <row r="122" spans="1:20" ht="16.5" x14ac:dyDescent="0.3">
      <c r="A122" s="33"/>
      <c r="B122" s="5"/>
      <c r="C122" s="6"/>
      <c r="D122" s="50"/>
      <c r="E122" s="78"/>
      <c r="F122" s="36"/>
      <c r="G122" s="2"/>
      <c r="H122" s="2"/>
      <c r="I122" s="2"/>
      <c r="J122" s="54"/>
      <c r="K122" s="36"/>
      <c r="L122" s="2"/>
    </row>
    <row r="123" spans="1:20" ht="16.5" x14ac:dyDescent="0.3">
      <c r="A123" s="36"/>
      <c r="B123" s="5"/>
      <c r="C123" s="6"/>
      <c r="D123" s="14"/>
      <c r="E123" s="78"/>
      <c r="F123" s="36"/>
      <c r="G123" s="2"/>
      <c r="H123" s="2"/>
      <c r="I123" s="2"/>
      <c r="J123" s="54"/>
      <c r="K123" s="36"/>
      <c r="L123" s="2"/>
    </row>
    <row r="124" spans="1:20" x14ac:dyDescent="0.25">
      <c r="A124" s="3" t="s">
        <v>2</v>
      </c>
      <c r="B124" s="5">
        <f>SUM(B116:B123)</f>
        <v>0</v>
      </c>
      <c r="C124" s="6"/>
      <c r="D124" s="14">
        <f>SUM(D116:D123)</f>
        <v>0</v>
      </c>
      <c r="E124" s="78"/>
      <c r="F124" s="3" t="s">
        <v>2</v>
      </c>
      <c r="G124" s="5">
        <f>SUM(G116:G123)</f>
        <v>0</v>
      </c>
      <c r="H124" s="6"/>
      <c r="I124" s="7">
        <f t="shared" ref="I124" si="8">SUM(I116:I123)</f>
        <v>0</v>
      </c>
      <c r="J124" s="55"/>
      <c r="K124" s="3" t="s">
        <v>2</v>
      </c>
      <c r="L124" s="5">
        <f>SUM(L116:L123)</f>
        <v>0</v>
      </c>
    </row>
    <row r="127" spans="1:20" x14ac:dyDescent="0.25">
      <c r="A127" s="79" t="s">
        <v>110</v>
      </c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1"/>
    </row>
    <row r="128" spans="1:20" x14ac:dyDescent="0.25">
      <c r="A128" s="77" t="s">
        <v>102</v>
      </c>
      <c r="B128" s="77"/>
      <c r="C128" s="77"/>
      <c r="D128" s="77"/>
      <c r="E128" s="78"/>
      <c r="F128" s="77" t="s">
        <v>103</v>
      </c>
      <c r="G128" s="77"/>
      <c r="H128" s="77"/>
      <c r="I128" s="77"/>
      <c r="J128" s="53"/>
      <c r="K128" s="77" t="s">
        <v>25</v>
      </c>
      <c r="L128" s="77"/>
    </row>
    <row r="129" spans="1:12" x14ac:dyDescent="0.25">
      <c r="A129" s="28" t="s">
        <v>90</v>
      </c>
      <c r="B129" s="3" t="s">
        <v>3</v>
      </c>
      <c r="C129" s="3" t="s">
        <v>0</v>
      </c>
      <c r="D129" s="3" t="s">
        <v>1</v>
      </c>
      <c r="E129" s="78"/>
      <c r="F129" s="28" t="s">
        <v>90</v>
      </c>
      <c r="G129" s="3" t="s">
        <v>105</v>
      </c>
      <c r="H129" s="3" t="s">
        <v>0</v>
      </c>
      <c r="I129" s="3" t="s">
        <v>1</v>
      </c>
      <c r="J129" s="53"/>
      <c r="K129" s="3" t="s">
        <v>90</v>
      </c>
      <c r="L129" s="3" t="s">
        <v>105</v>
      </c>
    </row>
    <row r="130" spans="1:12" x14ac:dyDescent="0.25">
      <c r="A130" s="33">
        <v>46170</v>
      </c>
      <c r="B130" s="34">
        <v>4.1100000000000003</v>
      </c>
      <c r="C130" s="5">
        <f>B130/D130</f>
        <v>73.910002792755108</v>
      </c>
      <c r="D130" s="50">
        <v>5.5608169999999998E-2</v>
      </c>
      <c r="E130" s="78"/>
      <c r="F130" s="33"/>
      <c r="G130" s="6"/>
      <c r="H130" s="5" t="e">
        <f>G130/I130</f>
        <v>#DIV/0!</v>
      </c>
      <c r="I130" s="6"/>
      <c r="J130" s="52"/>
      <c r="K130" s="33"/>
      <c r="L130" s="5"/>
    </row>
    <row r="131" spans="1:12" x14ac:dyDescent="0.25">
      <c r="A131" s="33"/>
      <c r="B131" s="34"/>
      <c r="C131" s="5" t="e">
        <f>B131/D131</f>
        <v>#DIV/0!</v>
      </c>
      <c r="D131" s="50"/>
      <c r="E131" s="78"/>
      <c r="F131" s="33"/>
      <c r="G131" s="6"/>
      <c r="H131" s="5"/>
      <c r="I131" s="6"/>
      <c r="J131" s="52"/>
      <c r="K131" s="33"/>
      <c r="L131" s="5"/>
    </row>
    <row r="132" spans="1:12" x14ac:dyDescent="0.25">
      <c r="A132" s="33"/>
      <c r="B132" s="34"/>
      <c r="C132" s="6"/>
      <c r="D132" s="50"/>
      <c r="E132" s="78"/>
      <c r="F132" s="33"/>
      <c r="G132" s="6"/>
      <c r="H132" s="5"/>
      <c r="I132" s="6"/>
      <c r="J132" s="52"/>
      <c r="K132" s="33"/>
      <c r="L132" s="5"/>
    </row>
    <row r="133" spans="1:12" x14ac:dyDescent="0.25">
      <c r="A133" s="33"/>
      <c r="B133" s="34"/>
      <c r="C133" s="6"/>
      <c r="D133" s="50"/>
      <c r="E133" s="78"/>
      <c r="F133" s="33"/>
      <c r="G133" s="6"/>
      <c r="H133" s="5"/>
      <c r="I133" s="6"/>
      <c r="J133" s="52"/>
      <c r="K133" s="33"/>
      <c r="L133" s="5"/>
    </row>
    <row r="134" spans="1:12" x14ac:dyDescent="0.25">
      <c r="A134" s="33"/>
      <c r="B134" s="5"/>
      <c r="C134" s="6"/>
      <c r="D134" s="50"/>
      <c r="E134" s="78"/>
      <c r="F134" s="33"/>
      <c r="G134" s="2"/>
      <c r="H134" s="2"/>
      <c r="I134" s="2"/>
      <c r="J134" s="54"/>
      <c r="K134" s="33"/>
      <c r="L134" s="2"/>
    </row>
    <row r="135" spans="1:12" x14ac:dyDescent="0.25">
      <c r="A135" s="33"/>
      <c r="B135" s="5"/>
      <c r="C135" s="6"/>
      <c r="D135" s="50"/>
      <c r="E135" s="78"/>
      <c r="F135" s="33"/>
      <c r="G135" s="2"/>
      <c r="H135" s="2"/>
      <c r="I135" s="2"/>
      <c r="J135" s="54"/>
      <c r="K135" s="33"/>
      <c r="L135" s="2"/>
    </row>
    <row r="136" spans="1:12" ht="16.5" x14ac:dyDescent="0.3">
      <c r="A136" s="33"/>
      <c r="B136" s="5"/>
      <c r="C136" s="6"/>
      <c r="D136" s="50"/>
      <c r="E136" s="78"/>
      <c r="F136" s="36"/>
      <c r="G136" s="2"/>
      <c r="H136" s="2"/>
      <c r="I136" s="2"/>
      <c r="J136" s="54"/>
      <c r="K136" s="36"/>
      <c r="L136" s="2"/>
    </row>
    <row r="137" spans="1:12" ht="16.5" x14ac:dyDescent="0.3">
      <c r="A137" s="36"/>
      <c r="B137" s="5"/>
      <c r="C137" s="6"/>
      <c r="D137" s="14"/>
      <c r="E137" s="78"/>
      <c r="F137" s="36"/>
      <c r="G137" s="2"/>
      <c r="H137" s="2"/>
      <c r="I137" s="2"/>
      <c r="J137" s="54"/>
      <c r="K137" s="36"/>
      <c r="L137" s="2"/>
    </row>
    <row r="138" spans="1:12" x14ac:dyDescent="0.25">
      <c r="A138" s="3" t="s">
        <v>2</v>
      </c>
      <c r="B138" s="5">
        <f>SUM(B130:B137)</f>
        <v>4.1100000000000003</v>
      </c>
      <c r="C138" s="6"/>
      <c r="D138" s="14">
        <f>SUM(D130:D137)</f>
        <v>5.5608169999999998E-2</v>
      </c>
      <c r="E138" s="78"/>
      <c r="F138" s="3" t="s">
        <v>2</v>
      </c>
      <c r="G138" s="5">
        <f>SUM(G130:G137)</f>
        <v>0</v>
      </c>
      <c r="H138" s="6"/>
      <c r="I138" s="14">
        <f t="shared" ref="I138" si="9">SUM(I130:I137)</f>
        <v>0</v>
      </c>
      <c r="J138" s="55"/>
      <c r="K138" s="3" t="s">
        <v>2</v>
      </c>
      <c r="L138" s="5">
        <f>SUM(L130:L137)</f>
        <v>0</v>
      </c>
    </row>
    <row r="141" spans="1:12" x14ac:dyDescent="0.25">
      <c r="A141" s="79" t="s">
        <v>111</v>
      </c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1"/>
    </row>
    <row r="142" spans="1:12" x14ac:dyDescent="0.25">
      <c r="A142" s="77" t="s">
        <v>102</v>
      </c>
      <c r="B142" s="77"/>
      <c r="C142" s="77"/>
      <c r="D142" s="77"/>
      <c r="E142" s="78"/>
      <c r="F142" s="77" t="s">
        <v>103</v>
      </c>
      <c r="G142" s="77"/>
      <c r="H142" s="77"/>
      <c r="I142" s="77"/>
      <c r="J142" s="53"/>
      <c r="K142" s="77" t="s">
        <v>25</v>
      </c>
      <c r="L142" s="77"/>
    </row>
    <row r="143" spans="1:12" x14ac:dyDescent="0.25">
      <c r="A143" s="28" t="s">
        <v>90</v>
      </c>
      <c r="B143" s="3" t="s">
        <v>3</v>
      </c>
      <c r="C143" s="3" t="s">
        <v>0</v>
      </c>
      <c r="D143" s="3" t="s">
        <v>1</v>
      </c>
      <c r="E143" s="78"/>
      <c r="F143" s="28" t="s">
        <v>90</v>
      </c>
      <c r="G143" s="3" t="s">
        <v>105</v>
      </c>
      <c r="H143" s="3" t="s">
        <v>0</v>
      </c>
      <c r="I143" s="3" t="s">
        <v>1</v>
      </c>
      <c r="J143" s="53"/>
      <c r="K143" s="3" t="s">
        <v>90</v>
      </c>
      <c r="L143" s="3" t="s">
        <v>105</v>
      </c>
    </row>
    <row r="144" spans="1:12" x14ac:dyDescent="0.25">
      <c r="A144" s="33">
        <v>46170</v>
      </c>
      <c r="B144" s="34">
        <v>4.05</v>
      </c>
      <c r="C144" s="5">
        <f>B144/D144</f>
        <v>17.98399983516887</v>
      </c>
      <c r="D144" s="50">
        <v>0.22520018</v>
      </c>
      <c r="E144" s="78"/>
      <c r="F144" s="33"/>
      <c r="G144" s="6"/>
      <c r="H144" s="5"/>
      <c r="I144" s="6"/>
      <c r="J144" s="52"/>
      <c r="K144" s="33"/>
      <c r="L144" s="5"/>
    </row>
    <row r="145" spans="1:12" x14ac:dyDescent="0.25">
      <c r="A145" s="33"/>
      <c r="B145" s="34"/>
      <c r="C145" s="5" t="e">
        <f>B145/D145</f>
        <v>#DIV/0!</v>
      </c>
      <c r="D145" s="50"/>
      <c r="E145" s="78"/>
      <c r="F145" s="33"/>
      <c r="G145" s="6"/>
      <c r="H145" s="5"/>
      <c r="I145" s="6"/>
      <c r="J145" s="52"/>
      <c r="K145" s="33"/>
      <c r="L145" s="5"/>
    </row>
    <row r="146" spans="1:12" x14ac:dyDescent="0.25">
      <c r="A146" s="33"/>
      <c r="B146" s="34"/>
      <c r="C146" s="5" t="e">
        <f>B146/D146</f>
        <v>#DIV/0!</v>
      </c>
      <c r="D146" s="50"/>
      <c r="E146" s="78"/>
      <c r="F146" s="33"/>
      <c r="G146" s="6"/>
      <c r="H146" s="5"/>
      <c r="I146" s="6"/>
      <c r="J146" s="52"/>
      <c r="K146" s="33"/>
      <c r="L146" s="5"/>
    </row>
    <row r="147" spans="1:12" x14ac:dyDescent="0.25">
      <c r="A147" s="33"/>
      <c r="B147" s="34"/>
      <c r="C147" s="6"/>
      <c r="D147" s="50"/>
      <c r="E147" s="78"/>
      <c r="F147" s="33"/>
      <c r="G147" s="6"/>
      <c r="H147" s="5"/>
      <c r="I147" s="6"/>
      <c r="J147" s="52"/>
      <c r="K147" s="33"/>
      <c r="L147" s="5"/>
    </row>
    <row r="148" spans="1:12" x14ac:dyDescent="0.25">
      <c r="A148" s="33"/>
      <c r="B148" s="5"/>
      <c r="C148" s="6"/>
      <c r="D148" s="50"/>
      <c r="E148" s="78"/>
      <c r="F148" s="33"/>
      <c r="G148" s="2"/>
      <c r="H148" s="2"/>
      <c r="I148" s="2"/>
      <c r="J148" s="54"/>
      <c r="K148" s="33"/>
      <c r="L148" s="2"/>
    </row>
    <row r="149" spans="1:12" x14ac:dyDescent="0.25">
      <c r="A149" s="33"/>
      <c r="B149" s="5"/>
      <c r="C149" s="6"/>
      <c r="D149" s="50"/>
      <c r="E149" s="78"/>
      <c r="F149" s="33"/>
      <c r="G149" s="2"/>
      <c r="H149" s="2"/>
      <c r="I149" s="2"/>
      <c r="J149" s="54"/>
      <c r="K149" s="33"/>
      <c r="L149" s="2"/>
    </row>
    <row r="150" spans="1:12" ht="16.5" x14ac:dyDescent="0.3">
      <c r="A150" s="33"/>
      <c r="B150" s="5"/>
      <c r="C150" s="6"/>
      <c r="D150" s="50"/>
      <c r="E150" s="78"/>
      <c r="F150" s="36"/>
      <c r="G150" s="2"/>
      <c r="H150" s="2"/>
      <c r="I150" s="2"/>
      <c r="J150" s="54"/>
      <c r="K150" s="36"/>
      <c r="L150" s="2"/>
    </row>
    <row r="151" spans="1:12" ht="16.5" x14ac:dyDescent="0.3">
      <c r="A151" s="36"/>
      <c r="B151" s="5"/>
      <c r="C151" s="6"/>
      <c r="D151" s="14"/>
      <c r="E151" s="78"/>
      <c r="F151" s="36"/>
      <c r="G151" s="2"/>
      <c r="H151" s="2"/>
      <c r="I151" s="2"/>
      <c r="J151" s="54"/>
      <c r="K151" s="36"/>
      <c r="L151" s="2"/>
    </row>
    <row r="152" spans="1:12" x14ac:dyDescent="0.25">
      <c r="A152" s="3" t="s">
        <v>2</v>
      </c>
      <c r="B152" s="5">
        <f>SUM(B144:B151)</f>
        <v>4.05</v>
      </c>
      <c r="C152" s="6"/>
      <c r="D152" s="14">
        <f>SUM(D144:D151)</f>
        <v>0.22520018</v>
      </c>
      <c r="E152" s="78"/>
      <c r="F152" s="3" t="s">
        <v>2</v>
      </c>
      <c r="G152" s="5">
        <f>SUM(G144:G151)</f>
        <v>0</v>
      </c>
      <c r="H152" s="6"/>
      <c r="I152" s="7">
        <f t="shared" ref="I152" si="10">SUM(I144:I151)</f>
        <v>0</v>
      </c>
      <c r="J152" s="55"/>
      <c r="K152" s="3" t="s">
        <v>2</v>
      </c>
      <c r="L152" s="5">
        <f>SUM(L144:L151)</f>
        <v>0</v>
      </c>
    </row>
    <row r="155" spans="1:12" x14ac:dyDescent="0.25">
      <c r="A155" s="79" t="s">
        <v>114</v>
      </c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1"/>
    </row>
    <row r="156" spans="1:12" x14ac:dyDescent="0.25">
      <c r="A156" s="77" t="s">
        <v>102</v>
      </c>
      <c r="B156" s="77"/>
      <c r="C156" s="77"/>
      <c r="D156" s="77"/>
      <c r="E156" s="78"/>
      <c r="F156" s="77" t="s">
        <v>103</v>
      </c>
      <c r="G156" s="77"/>
      <c r="H156" s="77"/>
      <c r="I156" s="77"/>
      <c r="J156" s="53"/>
      <c r="K156" s="77" t="s">
        <v>25</v>
      </c>
      <c r="L156" s="77"/>
    </row>
    <row r="157" spans="1:12" x14ac:dyDescent="0.25">
      <c r="A157" s="28" t="s">
        <v>90</v>
      </c>
      <c r="B157" s="3" t="s">
        <v>3</v>
      </c>
      <c r="C157" s="3" t="s">
        <v>0</v>
      </c>
      <c r="D157" s="3" t="s">
        <v>1</v>
      </c>
      <c r="E157" s="78"/>
      <c r="F157" s="28" t="s">
        <v>90</v>
      </c>
      <c r="G157" s="3" t="s">
        <v>105</v>
      </c>
      <c r="H157" s="3" t="s">
        <v>0</v>
      </c>
      <c r="I157" s="3" t="s">
        <v>1</v>
      </c>
      <c r="J157" s="53"/>
      <c r="K157" s="3" t="s">
        <v>90</v>
      </c>
      <c r="L157" s="3" t="s">
        <v>105</v>
      </c>
    </row>
    <row r="158" spans="1:12" x14ac:dyDescent="0.25">
      <c r="A158" s="33">
        <v>46146</v>
      </c>
      <c r="B158" s="34">
        <v>2.4300000000000002</v>
      </c>
      <c r="C158" s="5">
        <f>B158/D158</f>
        <v>17.93999933998521</v>
      </c>
      <c r="D158" s="50">
        <v>0.13545151</v>
      </c>
      <c r="E158" s="78"/>
      <c r="F158" s="33">
        <v>46170</v>
      </c>
      <c r="G158" s="6">
        <v>11.07</v>
      </c>
      <c r="H158" s="5">
        <f>G158/I158</f>
        <v>18.068499886545492</v>
      </c>
      <c r="I158" s="6">
        <v>0.61266845999999997</v>
      </c>
      <c r="J158" s="52"/>
      <c r="K158" s="33"/>
      <c r="L158" s="5"/>
    </row>
    <row r="159" spans="1:12" x14ac:dyDescent="0.25">
      <c r="A159" s="33"/>
      <c r="B159" s="34"/>
      <c r="C159" s="6"/>
      <c r="D159" s="50"/>
      <c r="E159" s="78"/>
      <c r="F159" s="33"/>
      <c r="G159" s="6"/>
      <c r="H159" s="5" t="e">
        <f>G159/I159</f>
        <v>#DIV/0!</v>
      </c>
      <c r="I159" s="14"/>
      <c r="J159" s="52"/>
      <c r="K159" s="33"/>
      <c r="L159" s="5"/>
    </row>
    <row r="160" spans="1:12" x14ac:dyDescent="0.25">
      <c r="A160" s="33"/>
      <c r="B160" s="34"/>
      <c r="C160" s="6"/>
      <c r="D160" s="50"/>
      <c r="E160" s="78"/>
      <c r="F160" s="33"/>
      <c r="G160" s="6"/>
      <c r="H160" s="5"/>
      <c r="I160" s="6"/>
      <c r="J160" s="52"/>
      <c r="K160" s="33"/>
      <c r="L160" s="5"/>
    </row>
    <row r="161" spans="1:12" x14ac:dyDescent="0.25">
      <c r="A161" s="33"/>
      <c r="B161" s="34"/>
      <c r="C161" s="6"/>
      <c r="D161" s="50"/>
      <c r="E161" s="78"/>
      <c r="F161" s="33"/>
      <c r="G161" s="6"/>
      <c r="H161" s="5"/>
      <c r="I161" s="6"/>
      <c r="J161" s="52"/>
      <c r="K161" s="33"/>
      <c r="L161" s="5"/>
    </row>
    <row r="162" spans="1:12" x14ac:dyDescent="0.25">
      <c r="A162" s="33"/>
      <c r="B162" s="5"/>
      <c r="C162" s="6"/>
      <c r="D162" s="50"/>
      <c r="E162" s="78"/>
      <c r="F162" s="33"/>
      <c r="G162" s="2"/>
      <c r="H162" s="2"/>
      <c r="I162" s="2"/>
      <c r="J162" s="54"/>
      <c r="K162" s="33"/>
      <c r="L162" s="2"/>
    </row>
    <row r="163" spans="1:12" x14ac:dyDescent="0.25">
      <c r="A163" s="33"/>
      <c r="B163" s="5"/>
      <c r="C163" s="6"/>
      <c r="D163" s="50"/>
      <c r="E163" s="78"/>
      <c r="F163" s="33"/>
      <c r="G163" s="2"/>
      <c r="H163" s="2"/>
      <c r="I163" s="2"/>
      <c r="J163" s="54"/>
      <c r="K163" s="33"/>
      <c r="L163" s="2"/>
    </row>
    <row r="164" spans="1:12" ht="16.5" x14ac:dyDescent="0.3">
      <c r="A164" s="33"/>
      <c r="B164" s="5"/>
      <c r="C164" s="6"/>
      <c r="D164" s="50"/>
      <c r="E164" s="78"/>
      <c r="F164" s="36"/>
      <c r="G164" s="2"/>
      <c r="H164" s="2"/>
      <c r="I164" s="2"/>
      <c r="J164" s="54"/>
      <c r="K164" s="36"/>
      <c r="L164" s="2"/>
    </row>
    <row r="165" spans="1:12" ht="16.5" x14ac:dyDescent="0.3">
      <c r="A165" s="36"/>
      <c r="B165" s="5"/>
      <c r="C165" s="6"/>
      <c r="D165" s="14"/>
      <c r="E165" s="78"/>
      <c r="F165" s="36"/>
      <c r="G165" s="2"/>
      <c r="H165" s="2"/>
      <c r="I165" s="2"/>
      <c r="J165" s="54"/>
      <c r="K165" s="36"/>
      <c r="L165" s="2"/>
    </row>
    <row r="166" spans="1:12" x14ac:dyDescent="0.25">
      <c r="A166" s="3" t="s">
        <v>2</v>
      </c>
      <c r="B166" s="5">
        <f>SUM(B158:B165)</f>
        <v>2.4300000000000002</v>
      </c>
      <c r="C166" s="6"/>
      <c r="D166" s="14">
        <f>SUM(D158:D165)</f>
        <v>0.13545151</v>
      </c>
      <c r="E166" s="78"/>
      <c r="F166" s="3" t="s">
        <v>2</v>
      </c>
      <c r="G166" s="5">
        <f>SUM(G158:G165)</f>
        <v>11.07</v>
      </c>
      <c r="H166" s="6"/>
      <c r="I166" s="14">
        <f t="shared" ref="I166" si="11">SUM(I158:I165)</f>
        <v>0.61266845999999997</v>
      </c>
      <c r="J166" s="55"/>
      <c r="K166" s="3" t="s">
        <v>2</v>
      </c>
      <c r="L166" s="5">
        <f>SUM(L158:L165)</f>
        <v>0</v>
      </c>
    </row>
    <row r="169" spans="1:12" x14ac:dyDescent="0.25">
      <c r="A169" s="79" t="s">
        <v>116</v>
      </c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1"/>
    </row>
    <row r="170" spans="1:12" x14ac:dyDescent="0.25">
      <c r="A170" s="77" t="s">
        <v>102</v>
      </c>
      <c r="B170" s="77"/>
      <c r="C170" s="77"/>
      <c r="D170" s="77"/>
      <c r="E170" s="78"/>
      <c r="F170" s="77" t="s">
        <v>103</v>
      </c>
      <c r="G170" s="77"/>
      <c r="H170" s="77"/>
      <c r="I170" s="77"/>
      <c r="J170" s="53"/>
      <c r="K170" s="77" t="s">
        <v>25</v>
      </c>
      <c r="L170" s="77"/>
    </row>
    <row r="171" spans="1:12" x14ac:dyDescent="0.25">
      <c r="A171" s="28" t="s">
        <v>90</v>
      </c>
      <c r="B171" s="3" t="s">
        <v>3</v>
      </c>
      <c r="C171" s="3" t="s">
        <v>0</v>
      </c>
      <c r="D171" s="3" t="s">
        <v>1</v>
      </c>
      <c r="E171" s="78"/>
      <c r="F171" s="28" t="s">
        <v>90</v>
      </c>
      <c r="G171" s="3" t="s">
        <v>105</v>
      </c>
      <c r="H171" s="3" t="s">
        <v>0</v>
      </c>
      <c r="I171" s="3" t="s">
        <v>1</v>
      </c>
      <c r="J171" s="53"/>
      <c r="K171" s="3" t="s">
        <v>90</v>
      </c>
      <c r="L171" s="3" t="s">
        <v>105</v>
      </c>
    </row>
    <row r="172" spans="1:12" x14ac:dyDescent="0.25">
      <c r="A172" s="33">
        <v>46171</v>
      </c>
      <c r="B172" s="34">
        <v>3.03</v>
      </c>
      <c r="C172" s="5">
        <f>B172/D172</f>
        <v>4.9284000255105695</v>
      </c>
      <c r="D172" s="50">
        <v>0.61480398999999997</v>
      </c>
      <c r="E172" s="78"/>
      <c r="F172" s="33"/>
      <c r="G172" s="6"/>
      <c r="H172" s="5" t="e">
        <f>G172/I172</f>
        <v>#DIV/0!</v>
      </c>
      <c r="I172" s="6"/>
      <c r="J172" s="52"/>
      <c r="K172" s="33"/>
      <c r="L172" s="5"/>
    </row>
    <row r="173" spans="1:12" x14ac:dyDescent="0.25">
      <c r="A173" s="33"/>
      <c r="B173" s="34"/>
      <c r="C173" s="5" t="e">
        <f>B173/D173</f>
        <v>#DIV/0!</v>
      </c>
      <c r="D173" s="50"/>
      <c r="E173" s="78"/>
      <c r="F173" s="33"/>
      <c r="G173" s="6"/>
      <c r="H173" s="5"/>
      <c r="I173" s="6"/>
      <c r="J173" s="52"/>
      <c r="K173" s="33"/>
      <c r="L173" s="5"/>
    </row>
    <row r="174" spans="1:12" x14ac:dyDescent="0.25">
      <c r="A174" s="33"/>
      <c r="B174" s="34"/>
      <c r="C174" s="6"/>
      <c r="D174" s="50"/>
      <c r="E174" s="78"/>
      <c r="F174" s="33"/>
      <c r="G174" s="6"/>
      <c r="H174" s="5"/>
      <c r="I174" s="6"/>
      <c r="J174" s="52"/>
      <c r="K174" s="33"/>
      <c r="L174" s="5"/>
    </row>
    <row r="175" spans="1:12" x14ac:dyDescent="0.25">
      <c r="A175" s="33"/>
      <c r="B175" s="34"/>
      <c r="C175" s="6"/>
      <c r="D175" s="50"/>
      <c r="E175" s="78"/>
      <c r="F175" s="33"/>
      <c r="G175" s="6"/>
      <c r="H175" s="5"/>
      <c r="I175" s="6"/>
      <c r="J175" s="52"/>
      <c r="K175" s="33"/>
      <c r="L175" s="5"/>
    </row>
    <row r="176" spans="1:12" x14ac:dyDescent="0.25">
      <c r="A176" s="33"/>
      <c r="B176" s="5"/>
      <c r="C176" s="6"/>
      <c r="D176" s="50"/>
      <c r="E176" s="78"/>
      <c r="F176" s="33"/>
      <c r="G176" s="2"/>
      <c r="H176" s="2"/>
      <c r="I176" s="2"/>
      <c r="J176" s="54"/>
      <c r="K176" s="33"/>
      <c r="L176" s="2"/>
    </row>
    <row r="177" spans="1:12" x14ac:dyDescent="0.25">
      <c r="A177" s="33"/>
      <c r="B177" s="5"/>
      <c r="C177" s="6"/>
      <c r="D177" s="50"/>
      <c r="E177" s="78"/>
      <c r="F177" s="33"/>
      <c r="G177" s="2"/>
      <c r="H177" s="2"/>
      <c r="I177" s="2"/>
      <c r="J177" s="54"/>
      <c r="K177" s="33"/>
      <c r="L177" s="2"/>
    </row>
    <row r="178" spans="1:12" ht="16.5" x14ac:dyDescent="0.3">
      <c r="A178" s="33"/>
      <c r="B178" s="5"/>
      <c r="C178" s="6"/>
      <c r="D178" s="50"/>
      <c r="E178" s="78"/>
      <c r="F178" s="36"/>
      <c r="G178" s="2"/>
      <c r="H178" s="2"/>
      <c r="I178" s="2"/>
      <c r="J178" s="54"/>
      <c r="K178" s="36"/>
      <c r="L178" s="2"/>
    </row>
    <row r="179" spans="1:12" ht="16.5" x14ac:dyDescent="0.3">
      <c r="A179" s="36"/>
      <c r="B179" s="5"/>
      <c r="C179" s="6"/>
      <c r="D179" s="14"/>
      <c r="E179" s="78"/>
      <c r="F179" s="36"/>
      <c r="G179" s="2"/>
      <c r="H179" s="2"/>
      <c r="I179" s="2"/>
      <c r="J179" s="54"/>
      <c r="K179" s="36"/>
      <c r="L179" s="2"/>
    </row>
    <row r="180" spans="1:12" x14ac:dyDescent="0.25">
      <c r="A180" s="3" t="s">
        <v>2</v>
      </c>
      <c r="B180" s="5">
        <f>SUM(B172:B179)</f>
        <v>3.03</v>
      </c>
      <c r="C180" s="6"/>
      <c r="D180" s="14">
        <f>SUM(D172:D179)</f>
        <v>0.61480398999999997</v>
      </c>
      <c r="E180" s="78"/>
      <c r="F180" s="3" t="s">
        <v>2</v>
      </c>
      <c r="G180" s="5">
        <f>SUM(G172:G179)</f>
        <v>0</v>
      </c>
      <c r="H180" s="6"/>
      <c r="I180" s="14">
        <f t="shared" ref="I180" si="12">SUM(I172:I179)</f>
        <v>0</v>
      </c>
      <c r="J180" s="55"/>
      <c r="K180" s="3" t="s">
        <v>2</v>
      </c>
      <c r="L180" s="5">
        <f>SUM(L172:L179)</f>
        <v>0</v>
      </c>
    </row>
    <row r="183" spans="1:12" x14ac:dyDescent="0.25">
      <c r="A183" s="79" t="s">
        <v>118</v>
      </c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1"/>
    </row>
    <row r="184" spans="1:12" x14ac:dyDescent="0.25">
      <c r="A184" s="77" t="s">
        <v>102</v>
      </c>
      <c r="B184" s="77"/>
      <c r="C184" s="77"/>
      <c r="D184" s="77"/>
      <c r="E184" s="78"/>
      <c r="F184" s="77" t="s">
        <v>103</v>
      </c>
      <c r="G184" s="77"/>
      <c r="H184" s="77"/>
      <c r="I184" s="77"/>
      <c r="J184" s="53"/>
      <c r="K184" s="77" t="s">
        <v>25</v>
      </c>
      <c r="L184" s="77"/>
    </row>
    <row r="185" spans="1:12" x14ac:dyDescent="0.25">
      <c r="A185" s="28" t="s">
        <v>90</v>
      </c>
      <c r="B185" s="3" t="s">
        <v>3</v>
      </c>
      <c r="C185" s="3" t="s">
        <v>0</v>
      </c>
      <c r="D185" s="3" t="s">
        <v>1</v>
      </c>
      <c r="E185" s="78"/>
      <c r="F185" s="28" t="s">
        <v>90</v>
      </c>
      <c r="G185" s="3" t="s">
        <v>105</v>
      </c>
      <c r="H185" s="3" t="s">
        <v>0</v>
      </c>
      <c r="I185" s="3" t="s">
        <v>1</v>
      </c>
      <c r="J185" s="53"/>
      <c r="K185" s="3" t="s">
        <v>90</v>
      </c>
      <c r="L185" s="3" t="s">
        <v>105</v>
      </c>
    </row>
    <row r="186" spans="1:12" x14ac:dyDescent="0.25">
      <c r="A186" s="33">
        <v>46146</v>
      </c>
      <c r="B186" s="34">
        <v>1.03</v>
      </c>
      <c r="C186" s="5">
        <f>B186/D186</f>
        <v>21.465000899237658</v>
      </c>
      <c r="D186" s="50">
        <v>4.7985090000000001E-2</v>
      </c>
      <c r="E186" s="78"/>
      <c r="F186" s="33"/>
      <c r="G186" s="5"/>
      <c r="H186" s="5"/>
      <c r="I186" s="6"/>
      <c r="J186" s="52"/>
      <c r="K186" s="33"/>
      <c r="L186" s="5"/>
    </row>
    <row r="187" spans="1:12" x14ac:dyDescent="0.25">
      <c r="A187" s="33">
        <v>46171</v>
      </c>
      <c r="B187" s="34">
        <v>4.0999999999999996</v>
      </c>
      <c r="C187" s="5">
        <f>B187/D187</f>
        <v>20.784999759705123</v>
      </c>
      <c r="D187" s="50">
        <v>0.19725764000000001</v>
      </c>
      <c r="E187" s="78"/>
      <c r="F187" s="33"/>
      <c r="G187" s="6"/>
      <c r="H187" s="5"/>
      <c r="I187" s="6"/>
      <c r="J187" s="52"/>
      <c r="K187" s="33"/>
      <c r="L187" s="5"/>
    </row>
    <row r="188" spans="1:12" x14ac:dyDescent="0.25">
      <c r="A188" s="33"/>
      <c r="B188" s="34"/>
      <c r="C188" s="6"/>
      <c r="D188" s="50"/>
      <c r="E188" s="78"/>
      <c r="F188" s="33"/>
      <c r="G188" s="6"/>
      <c r="H188" s="5"/>
      <c r="I188" s="6"/>
      <c r="J188" s="52"/>
      <c r="K188" s="33"/>
      <c r="L188" s="5"/>
    </row>
    <row r="189" spans="1:12" x14ac:dyDescent="0.25">
      <c r="A189" s="33"/>
      <c r="B189" s="34"/>
      <c r="C189" s="6"/>
      <c r="D189" s="50"/>
      <c r="E189" s="78"/>
      <c r="F189" s="33"/>
      <c r="G189" s="6"/>
      <c r="H189" s="5"/>
      <c r="I189" s="6"/>
      <c r="J189" s="52"/>
      <c r="K189" s="33"/>
      <c r="L189" s="5"/>
    </row>
    <row r="190" spans="1:12" x14ac:dyDescent="0.25">
      <c r="A190" s="33"/>
      <c r="B190" s="5"/>
      <c r="C190" s="6"/>
      <c r="D190" s="50"/>
      <c r="E190" s="78"/>
      <c r="F190" s="33"/>
      <c r="G190" s="2"/>
      <c r="H190" s="2"/>
      <c r="I190" s="2"/>
      <c r="J190" s="54"/>
      <c r="K190" s="33"/>
      <c r="L190" s="2"/>
    </row>
    <row r="191" spans="1:12" x14ac:dyDescent="0.25">
      <c r="A191" s="33"/>
      <c r="B191" s="5"/>
      <c r="C191" s="6"/>
      <c r="D191" s="50"/>
      <c r="E191" s="78"/>
      <c r="F191" s="33"/>
      <c r="G191" s="2"/>
      <c r="H191" s="2"/>
      <c r="I191" s="2"/>
      <c r="J191" s="54"/>
      <c r="K191" s="33"/>
      <c r="L191" s="2"/>
    </row>
    <row r="192" spans="1:12" ht="16.5" x14ac:dyDescent="0.3">
      <c r="A192" s="33"/>
      <c r="B192" s="5"/>
      <c r="C192" s="6"/>
      <c r="D192" s="50"/>
      <c r="E192" s="78"/>
      <c r="F192" s="36"/>
      <c r="G192" s="2"/>
      <c r="H192" s="2"/>
      <c r="I192" s="2"/>
      <c r="J192" s="54"/>
      <c r="K192" s="36"/>
      <c r="L192" s="2"/>
    </row>
    <row r="193" spans="1:12" ht="16.5" x14ac:dyDescent="0.3">
      <c r="A193" s="36"/>
      <c r="B193" s="5"/>
      <c r="C193" s="6"/>
      <c r="D193" s="14"/>
      <c r="E193" s="78"/>
      <c r="F193" s="36"/>
      <c r="G193" s="2"/>
      <c r="H193" s="2"/>
      <c r="I193" s="2"/>
      <c r="J193" s="54"/>
      <c r="K193" s="36"/>
      <c r="L193" s="2"/>
    </row>
    <row r="194" spans="1:12" x14ac:dyDescent="0.25">
      <c r="A194" s="3" t="s">
        <v>2</v>
      </c>
      <c r="B194" s="5">
        <f>SUM(B186:B193)</f>
        <v>5.13</v>
      </c>
      <c r="C194" s="6"/>
      <c r="D194" s="14">
        <f>SUM(D186:D193)</f>
        <v>0.24524273000000002</v>
      </c>
      <c r="E194" s="78"/>
      <c r="F194" s="3" t="s">
        <v>2</v>
      </c>
      <c r="G194" s="5">
        <f>SUM(G186:G193)</f>
        <v>0</v>
      </c>
      <c r="H194" s="6"/>
      <c r="I194" s="14">
        <f t="shared" ref="I194" si="13">SUM(I186:I193)</f>
        <v>0</v>
      </c>
      <c r="J194" s="55"/>
      <c r="K194" s="3" t="s">
        <v>2</v>
      </c>
      <c r="L194" s="5">
        <f>SUM(L186:L193)</f>
        <v>0</v>
      </c>
    </row>
    <row r="197" spans="1:12" x14ac:dyDescent="0.25">
      <c r="A197" s="79" t="s">
        <v>120</v>
      </c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1"/>
    </row>
    <row r="198" spans="1:12" x14ac:dyDescent="0.25">
      <c r="A198" s="77" t="s">
        <v>102</v>
      </c>
      <c r="B198" s="77"/>
      <c r="C198" s="77"/>
      <c r="D198" s="77"/>
      <c r="E198" s="78"/>
      <c r="F198" s="77" t="s">
        <v>103</v>
      </c>
      <c r="G198" s="77"/>
      <c r="H198" s="77"/>
      <c r="I198" s="77"/>
      <c r="J198" s="53"/>
      <c r="K198" s="77" t="s">
        <v>25</v>
      </c>
      <c r="L198" s="77"/>
    </row>
    <row r="199" spans="1:12" x14ac:dyDescent="0.25">
      <c r="A199" s="28" t="s">
        <v>90</v>
      </c>
      <c r="B199" s="3" t="s">
        <v>3</v>
      </c>
      <c r="C199" s="3" t="s">
        <v>0</v>
      </c>
      <c r="D199" s="3" t="s">
        <v>1</v>
      </c>
      <c r="E199" s="78"/>
      <c r="F199" s="28" t="s">
        <v>90</v>
      </c>
      <c r="G199" s="3" t="s">
        <v>105</v>
      </c>
      <c r="H199" s="3" t="s">
        <v>0</v>
      </c>
      <c r="I199" s="3" t="s">
        <v>1</v>
      </c>
      <c r="J199" s="53"/>
      <c r="K199" s="3" t="s">
        <v>90</v>
      </c>
      <c r="L199" s="3" t="s">
        <v>105</v>
      </c>
    </row>
    <row r="200" spans="1:12" x14ac:dyDescent="0.25">
      <c r="A200" s="33">
        <v>46171</v>
      </c>
      <c r="B200" s="34">
        <v>10.1</v>
      </c>
      <c r="C200" s="5">
        <f>B200/D200</f>
        <v>209.34998487912733</v>
      </c>
      <c r="D200" s="50">
        <v>4.8244570000000001E-2</v>
      </c>
      <c r="E200" s="78"/>
      <c r="F200" s="33"/>
      <c r="G200" s="6"/>
      <c r="H200" s="5"/>
      <c r="I200" s="6"/>
      <c r="J200" s="52"/>
      <c r="K200" s="33"/>
      <c r="L200" s="5"/>
    </row>
    <row r="201" spans="1:12" x14ac:dyDescent="0.25">
      <c r="A201" s="33"/>
      <c r="B201" s="34"/>
      <c r="C201" s="5" t="e">
        <f>B201/D201</f>
        <v>#DIV/0!</v>
      </c>
      <c r="D201" s="50"/>
      <c r="E201" s="78"/>
      <c r="F201" s="33"/>
      <c r="G201" s="6"/>
      <c r="H201" s="5"/>
      <c r="I201" s="6"/>
      <c r="J201" s="52"/>
      <c r="K201" s="33"/>
      <c r="L201" s="5"/>
    </row>
    <row r="202" spans="1:12" x14ac:dyDescent="0.25">
      <c r="A202" s="33"/>
      <c r="B202" s="34"/>
      <c r="C202" s="5" t="e">
        <f>B202/D202</f>
        <v>#DIV/0!</v>
      </c>
      <c r="D202" s="50"/>
      <c r="E202" s="78"/>
      <c r="F202" s="33"/>
      <c r="G202" s="6"/>
      <c r="H202" s="5"/>
      <c r="I202" s="6"/>
      <c r="J202" s="52"/>
      <c r="K202" s="33"/>
      <c r="L202" s="5"/>
    </row>
    <row r="203" spans="1:12" x14ac:dyDescent="0.25">
      <c r="A203" s="33"/>
      <c r="B203" s="34"/>
      <c r="C203" s="6"/>
      <c r="D203" s="50"/>
      <c r="E203" s="78"/>
      <c r="F203" s="33"/>
      <c r="G203" s="6"/>
      <c r="H203" s="5"/>
      <c r="I203" s="6"/>
      <c r="J203" s="52"/>
      <c r="K203" s="33"/>
      <c r="L203" s="5"/>
    </row>
    <row r="204" spans="1:12" x14ac:dyDescent="0.25">
      <c r="A204" s="33"/>
      <c r="B204" s="5"/>
      <c r="C204" s="6"/>
      <c r="D204" s="50"/>
      <c r="E204" s="78"/>
      <c r="F204" s="33"/>
      <c r="G204" s="2"/>
      <c r="H204" s="2"/>
      <c r="I204" s="2"/>
      <c r="J204" s="54"/>
      <c r="K204" s="33"/>
      <c r="L204" s="2"/>
    </row>
    <row r="205" spans="1:12" x14ac:dyDescent="0.25">
      <c r="A205" s="33"/>
      <c r="B205" s="5"/>
      <c r="C205" s="6"/>
      <c r="D205" s="50"/>
      <c r="E205" s="78"/>
      <c r="F205" s="33"/>
      <c r="G205" s="2"/>
      <c r="H205" s="2"/>
      <c r="I205" s="2"/>
      <c r="J205" s="54"/>
      <c r="K205" s="33"/>
      <c r="L205" s="2"/>
    </row>
    <row r="206" spans="1:12" ht="16.5" x14ac:dyDescent="0.3">
      <c r="A206" s="33"/>
      <c r="B206" s="5"/>
      <c r="C206" s="6"/>
      <c r="D206" s="50"/>
      <c r="E206" s="78"/>
      <c r="F206" s="36"/>
      <c r="G206" s="2"/>
      <c r="H206" s="2"/>
      <c r="I206" s="2"/>
      <c r="J206" s="54"/>
      <c r="K206" s="36"/>
      <c r="L206" s="2"/>
    </row>
    <row r="207" spans="1:12" ht="16.5" x14ac:dyDescent="0.3">
      <c r="A207" s="36"/>
      <c r="B207" s="5"/>
      <c r="C207" s="6"/>
      <c r="D207" s="14"/>
      <c r="E207" s="78"/>
      <c r="F207" s="36"/>
      <c r="G207" s="2"/>
      <c r="H207" s="2"/>
      <c r="I207" s="2"/>
      <c r="J207" s="54"/>
      <c r="K207" s="36"/>
      <c r="L207" s="2"/>
    </row>
    <row r="208" spans="1:12" x14ac:dyDescent="0.25">
      <c r="A208" s="3" t="s">
        <v>2</v>
      </c>
      <c r="B208" s="5">
        <f>SUM(B200:B207)</f>
        <v>10.1</v>
      </c>
      <c r="C208" s="6"/>
      <c r="D208" s="14">
        <f>SUM(D200:D207)</f>
        <v>4.8244570000000001E-2</v>
      </c>
      <c r="E208" s="78"/>
      <c r="F208" s="3" t="s">
        <v>2</v>
      </c>
      <c r="G208" s="5">
        <f>SUM(G200:G207)</f>
        <v>0</v>
      </c>
      <c r="H208" s="6"/>
      <c r="I208" s="7">
        <f t="shared" ref="I208" si="14">SUM(I200:I207)</f>
        <v>0</v>
      </c>
      <c r="J208" s="55"/>
      <c r="K208" s="3" t="s">
        <v>2</v>
      </c>
      <c r="L208" s="5">
        <f>SUM(L200:L207)</f>
        <v>0</v>
      </c>
    </row>
    <row r="211" spans="1:12" x14ac:dyDescent="0.25">
      <c r="A211" s="79" t="s">
        <v>122</v>
      </c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1"/>
    </row>
    <row r="212" spans="1:12" x14ac:dyDescent="0.25">
      <c r="A212" s="77" t="s">
        <v>102</v>
      </c>
      <c r="B212" s="77"/>
      <c r="C212" s="77"/>
      <c r="D212" s="77"/>
      <c r="E212" s="78"/>
      <c r="F212" s="77" t="s">
        <v>103</v>
      </c>
      <c r="G212" s="77"/>
      <c r="H212" s="77"/>
      <c r="I212" s="77"/>
      <c r="J212" s="53"/>
      <c r="K212" s="77" t="s">
        <v>25</v>
      </c>
      <c r="L212" s="77"/>
    </row>
    <row r="213" spans="1:12" x14ac:dyDescent="0.25">
      <c r="A213" s="28" t="s">
        <v>90</v>
      </c>
      <c r="B213" s="3" t="s">
        <v>3</v>
      </c>
      <c r="C213" s="3" t="s">
        <v>0</v>
      </c>
      <c r="D213" s="3" t="s">
        <v>1</v>
      </c>
      <c r="E213" s="78"/>
      <c r="F213" s="28" t="s">
        <v>90</v>
      </c>
      <c r="G213" s="3" t="s">
        <v>105</v>
      </c>
      <c r="H213" s="3" t="s">
        <v>0</v>
      </c>
      <c r="I213" s="3" t="s">
        <v>1</v>
      </c>
      <c r="J213" s="53"/>
      <c r="K213" s="3" t="s">
        <v>90</v>
      </c>
      <c r="L213" s="3" t="s">
        <v>105</v>
      </c>
    </row>
    <row r="214" spans="1:12" x14ac:dyDescent="0.25">
      <c r="A214" s="33">
        <v>46170</v>
      </c>
      <c r="B214" s="5">
        <v>0.5</v>
      </c>
      <c r="C214" s="5">
        <f>B214/D214</f>
        <v>35.619994500272846</v>
      </c>
      <c r="D214" s="6">
        <v>1.4037060000000001E-2</v>
      </c>
      <c r="E214" s="78"/>
      <c r="F214" s="33"/>
      <c r="G214" s="5"/>
      <c r="H214" s="5" t="e">
        <f>G214/I214</f>
        <v>#DIV/0!</v>
      </c>
      <c r="I214" s="6"/>
      <c r="J214" s="52"/>
      <c r="K214" s="33"/>
      <c r="L214" s="5"/>
    </row>
    <row r="215" spans="1:12" x14ac:dyDescent="0.25">
      <c r="A215" s="33"/>
      <c r="B215" s="34"/>
      <c r="C215" s="5" t="e">
        <f>B215/D215</f>
        <v>#DIV/0!</v>
      </c>
      <c r="D215" s="50"/>
      <c r="E215" s="78"/>
      <c r="F215" s="33"/>
      <c r="G215" s="6"/>
      <c r="H215" s="5"/>
      <c r="I215" s="6"/>
      <c r="J215" s="52"/>
      <c r="K215" s="33"/>
      <c r="L215" s="5"/>
    </row>
    <row r="216" spans="1:12" x14ac:dyDescent="0.25">
      <c r="A216" s="33"/>
      <c r="B216" s="34"/>
      <c r="C216" s="6"/>
      <c r="D216" s="50"/>
      <c r="E216" s="78"/>
      <c r="F216" s="33"/>
      <c r="G216" s="6"/>
      <c r="H216" s="5"/>
      <c r="I216" s="6"/>
      <c r="J216" s="52"/>
      <c r="K216" s="33"/>
      <c r="L216" s="5"/>
    </row>
    <row r="217" spans="1:12" x14ac:dyDescent="0.25">
      <c r="A217" s="33"/>
      <c r="B217" s="34"/>
      <c r="C217" s="6"/>
      <c r="D217" s="50"/>
      <c r="E217" s="78"/>
      <c r="F217" s="33"/>
      <c r="G217" s="6"/>
      <c r="H217" s="5"/>
      <c r="I217" s="6"/>
      <c r="J217" s="52"/>
      <c r="K217" s="33"/>
      <c r="L217" s="5"/>
    </row>
    <row r="218" spans="1:12" x14ac:dyDescent="0.25">
      <c r="A218" s="33"/>
      <c r="B218" s="5"/>
      <c r="C218" s="6"/>
      <c r="D218" s="50"/>
      <c r="E218" s="78"/>
      <c r="F218" s="33"/>
      <c r="G218" s="2"/>
      <c r="H218" s="2"/>
      <c r="I218" s="2"/>
      <c r="J218" s="54"/>
      <c r="K218" s="33"/>
      <c r="L218" s="2"/>
    </row>
    <row r="219" spans="1:12" x14ac:dyDescent="0.25">
      <c r="A219" s="33"/>
      <c r="B219" s="5"/>
      <c r="C219" s="6"/>
      <c r="D219" s="50"/>
      <c r="E219" s="78"/>
      <c r="F219" s="33"/>
      <c r="G219" s="2"/>
      <c r="H219" s="2"/>
      <c r="I219" s="2"/>
      <c r="J219" s="54"/>
      <c r="K219" s="33"/>
      <c r="L219" s="2"/>
    </row>
    <row r="220" spans="1:12" ht="16.5" x14ac:dyDescent="0.3">
      <c r="A220" s="33"/>
      <c r="B220" s="5"/>
      <c r="C220" s="6"/>
      <c r="D220" s="50"/>
      <c r="E220" s="78"/>
      <c r="F220" s="36"/>
      <c r="G220" s="2"/>
      <c r="H220" s="2"/>
      <c r="I220" s="2"/>
      <c r="J220" s="54"/>
      <c r="K220" s="36"/>
      <c r="L220" s="2"/>
    </row>
    <row r="221" spans="1:12" ht="16.5" x14ac:dyDescent="0.3">
      <c r="A221" s="36"/>
      <c r="B221" s="5"/>
      <c r="C221" s="6"/>
      <c r="D221" s="14"/>
      <c r="E221" s="78"/>
      <c r="F221" s="36"/>
      <c r="G221" s="2"/>
      <c r="H221" s="2"/>
      <c r="I221" s="2"/>
      <c r="J221" s="54"/>
      <c r="K221" s="36"/>
      <c r="L221" s="2"/>
    </row>
    <row r="222" spans="1:12" x14ac:dyDescent="0.25">
      <c r="A222" s="3" t="s">
        <v>2</v>
      </c>
      <c r="B222" s="5">
        <f>SUM(B214:B221)</f>
        <v>0.5</v>
      </c>
      <c r="C222" s="6"/>
      <c r="D222" s="14">
        <f>SUM(D214:D221)</f>
        <v>1.4037060000000001E-2</v>
      </c>
      <c r="E222" s="78"/>
      <c r="F222" s="3" t="s">
        <v>2</v>
      </c>
      <c r="G222" s="5">
        <f>SUM(G214:G221)</f>
        <v>0</v>
      </c>
      <c r="H222" s="6"/>
      <c r="I222" s="7">
        <f t="shared" ref="I222" si="15">SUM(I214:I221)</f>
        <v>0</v>
      </c>
      <c r="J222" s="55"/>
      <c r="K222" s="3" t="s">
        <v>2</v>
      </c>
      <c r="L222" s="5">
        <f>SUM(L214:L221)</f>
        <v>0</v>
      </c>
    </row>
    <row r="225" spans="1:12" x14ac:dyDescent="0.25">
      <c r="A225" s="79" t="s">
        <v>123</v>
      </c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1"/>
    </row>
    <row r="226" spans="1:12" x14ac:dyDescent="0.25">
      <c r="A226" s="77" t="s">
        <v>102</v>
      </c>
      <c r="B226" s="77"/>
      <c r="C226" s="77"/>
      <c r="D226" s="77"/>
      <c r="E226" s="78"/>
      <c r="F226" s="77" t="s">
        <v>103</v>
      </c>
      <c r="G226" s="77"/>
      <c r="H226" s="77"/>
      <c r="I226" s="77"/>
      <c r="J226" s="53"/>
      <c r="K226" s="77" t="s">
        <v>25</v>
      </c>
      <c r="L226" s="77"/>
    </row>
    <row r="227" spans="1:12" x14ac:dyDescent="0.25">
      <c r="A227" s="28" t="s">
        <v>90</v>
      </c>
      <c r="B227" s="3" t="s">
        <v>3</v>
      </c>
      <c r="C227" s="3" t="s">
        <v>0</v>
      </c>
      <c r="D227" s="3" t="s">
        <v>1</v>
      </c>
      <c r="E227" s="78"/>
      <c r="F227" s="28" t="s">
        <v>90</v>
      </c>
      <c r="G227" s="3" t="s">
        <v>105</v>
      </c>
      <c r="H227" s="3" t="s">
        <v>0</v>
      </c>
      <c r="I227" s="3" t="s">
        <v>1</v>
      </c>
      <c r="J227" s="53"/>
      <c r="K227" s="3" t="s">
        <v>90</v>
      </c>
      <c r="L227" s="3" t="s">
        <v>105</v>
      </c>
    </row>
    <row r="228" spans="1:12" x14ac:dyDescent="0.25">
      <c r="A228" s="33">
        <v>46171</v>
      </c>
      <c r="B228" s="34">
        <v>2.54</v>
      </c>
      <c r="C228" s="5">
        <f>B228/D228</f>
        <v>75.835994808518592</v>
      </c>
      <c r="D228" s="50">
        <v>3.3493330000000002E-2</v>
      </c>
      <c r="E228" s="78"/>
      <c r="F228" s="33"/>
      <c r="G228" s="6"/>
      <c r="H228" s="5" t="e">
        <f>G228/I228</f>
        <v>#DIV/0!</v>
      </c>
      <c r="I228" s="6"/>
      <c r="J228" s="52"/>
      <c r="K228" s="33"/>
      <c r="L228" s="5"/>
    </row>
    <row r="229" spans="1:12" x14ac:dyDescent="0.25">
      <c r="A229" s="33"/>
      <c r="B229" s="34"/>
      <c r="C229" s="6"/>
      <c r="D229" s="50"/>
      <c r="E229" s="78"/>
      <c r="F229" s="33"/>
      <c r="G229" s="6"/>
      <c r="H229" s="5"/>
      <c r="I229" s="6"/>
      <c r="J229" s="52"/>
      <c r="K229" s="33"/>
      <c r="L229" s="5"/>
    </row>
    <row r="230" spans="1:12" x14ac:dyDescent="0.25">
      <c r="A230" s="33"/>
      <c r="B230" s="34"/>
      <c r="C230" s="6"/>
      <c r="D230" s="50"/>
      <c r="E230" s="78"/>
      <c r="F230" s="33"/>
      <c r="G230" s="6"/>
      <c r="H230" s="5"/>
      <c r="I230" s="6"/>
      <c r="J230" s="52"/>
      <c r="K230" s="33"/>
      <c r="L230" s="5"/>
    </row>
    <row r="231" spans="1:12" x14ac:dyDescent="0.25">
      <c r="A231" s="33"/>
      <c r="B231" s="34"/>
      <c r="C231" s="6"/>
      <c r="D231" s="50"/>
      <c r="E231" s="78"/>
      <c r="F231" s="33"/>
      <c r="G231" s="6"/>
      <c r="H231" s="5"/>
      <c r="I231" s="6"/>
      <c r="J231" s="52"/>
      <c r="K231" s="33"/>
      <c r="L231" s="5"/>
    </row>
    <row r="232" spans="1:12" x14ac:dyDescent="0.25">
      <c r="A232" s="33"/>
      <c r="B232" s="5"/>
      <c r="C232" s="6"/>
      <c r="D232" s="50"/>
      <c r="E232" s="78"/>
      <c r="F232" s="33"/>
      <c r="G232" s="2"/>
      <c r="H232" s="2"/>
      <c r="I232" s="2"/>
      <c r="J232" s="54"/>
      <c r="K232" s="33"/>
      <c r="L232" s="2"/>
    </row>
    <row r="233" spans="1:12" x14ac:dyDescent="0.25">
      <c r="A233" s="33"/>
      <c r="B233" s="5"/>
      <c r="C233" s="6"/>
      <c r="D233" s="50"/>
      <c r="E233" s="78"/>
      <c r="F233" s="33"/>
      <c r="G233" s="2"/>
      <c r="H233" s="2"/>
      <c r="I233" s="2"/>
      <c r="J233" s="54"/>
      <c r="K233" s="33"/>
      <c r="L233" s="2"/>
    </row>
    <row r="234" spans="1:12" ht="16.5" x14ac:dyDescent="0.3">
      <c r="A234" s="33"/>
      <c r="B234" s="5"/>
      <c r="C234" s="6"/>
      <c r="D234" s="50"/>
      <c r="E234" s="78"/>
      <c r="F234" s="36"/>
      <c r="G234" s="2"/>
      <c r="H234" s="2"/>
      <c r="I234" s="2"/>
      <c r="J234" s="54"/>
      <c r="K234" s="36"/>
      <c r="L234" s="2"/>
    </row>
    <row r="235" spans="1:12" ht="16.5" x14ac:dyDescent="0.3">
      <c r="A235" s="36"/>
      <c r="B235" s="5"/>
      <c r="C235" s="6"/>
      <c r="D235" s="14"/>
      <c r="E235" s="78"/>
      <c r="F235" s="36"/>
      <c r="G235" s="2"/>
      <c r="H235" s="2"/>
      <c r="I235" s="2"/>
      <c r="J235" s="54"/>
      <c r="K235" s="36"/>
      <c r="L235" s="2"/>
    </row>
    <row r="236" spans="1:12" x14ac:dyDescent="0.25">
      <c r="A236" s="3" t="s">
        <v>2</v>
      </c>
      <c r="B236" s="5">
        <f>SUM(B228:B235)</f>
        <v>2.54</v>
      </c>
      <c r="C236" s="6"/>
      <c r="D236" s="14">
        <f>SUM(D228:D235)</f>
        <v>3.3493330000000002E-2</v>
      </c>
      <c r="E236" s="78"/>
      <c r="F236" s="3" t="s">
        <v>2</v>
      </c>
      <c r="G236" s="5">
        <f>SUM(G228:G235)</f>
        <v>0</v>
      </c>
      <c r="H236" s="6"/>
      <c r="I236" s="14">
        <f t="shared" ref="I236" si="16">SUM(I228:I235)</f>
        <v>0</v>
      </c>
      <c r="J236" s="55"/>
      <c r="K236" s="3" t="s">
        <v>2</v>
      </c>
      <c r="L236" s="5">
        <f>SUM(L228:L235)</f>
        <v>0</v>
      </c>
    </row>
    <row r="239" spans="1:12" x14ac:dyDescent="0.25">
      <c r="A239" s="79" t="s">
        <v>126</v>
      </c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1"/>
    </row>
    <row r="240" spans="1:12" x14ac:dyDescent="0.25">
      <c r="A240" s="77" t="s">
        <v>102</v>
      </c>
      <c r="B240" s="77"/>
      <c r="C240" s="77"/>
      <c r="D240" s="77"/>
      <c r="E240" s="78"/>
      <c r="F240" s="77" t="s">
        <v>103</v>
      </c>
      <c r="G240" s="77"/>
      <c r="H240" s="77"/>
      <c r="I240" s="77"/>
      <c r="J240" s="53"/>
      <c r="K240" s="77" t="s">
        <v>25</v>
      </c>
      <c r="L240" s="77"/>
    </row>
    <row r="241" spans="1:12" x14ac:dyDescent="0.25">
      <c r="A241" s="28" t="s">
        <v>90</v>
      </c>
      <c r="B241" s="3" t="s">
        <v>3</v>
      </c>
      <c r="C241" s="3" t="s">
        <v>0</v>
      </c>
      <c r="D241" s="3" t="s">
        <v>1</v>
      </c>
      <c r="E241" s="78"/>
      <c r="F241" s="28" t="s">
        <v>90</v>
      </c>
      <c r="G241" s="3" t="s">
        <v>105</v>
      </c>
      <c r="H241" s="3" t="s">
        <v>0</v>
      </c>
      <c r="I241" s="3" t="s">
        <v>1</v>
      </c>
      <c r="J241" s="53"/>
      <c r="K241" s="3" t="s">
        <v>90</v>
      </c>
      <c r="L241" s="3" t="s">
        <v>105</v>
      </c>
    </row>
    <row r="242" spans="1:12" x14ac:dyDescent="0.25">
      <c r="A242" s="33">
        <v>46146</v>
      </c>
      <c r="B242" s="34">
        <v>0.53</v>
      </c>
      <c r="C242" s="5">
        <f>B242/D242</f>
        <v>10.235600344997669</v>
      </c>
      <c r="D242" s="50">
        <v>5.1780060000000003E-2</v>
      </c>
      <c r="E242" s="78"/>
      <c r="F242" s="33"/>
      <c r="G242" s="6"/>
      <c r="H242" s="5"/>
      <c r="I242" s="6"/>
      <c r="J242" s="52"/>
      <c r="K242" s="33"/>
      <c r="L242" s="5"/>
    </row>
    <row r="243" spans="1:12" x14ac:dyDescent="0.25">
      <c r="A243" s="33">
        <v>46171</v>
      </c>
      <c r="B243" s="34">
        <v>2.5</v>
      </c>
      <c r="C243" s="5">
        <f>B243/D243</f>
        <v>10.463499984660508</v>
      </c>
      <c r="D243" s="50">
        <v>0.23892579</v>
      </c>
      <c r="E243" s="78"/>
      <c r="F243" s="33"/>
      <c r="G243" s="6"/>
      <c r="H243" s="5"/>
      <c r="I243" s="6"/>
      <c r="J243" s="52"/>
      <c r="K243" s="33"/>
      <c r="L243" s="5"/>
    </row>
    <row r="244" spans="1:12" x14ac:dyDescent="0.25">
      <c r="A244" s="33"/>
      <c r="B244" s="34"/>
      <c r="C244" s="6"/>
      <c r="D244" s="50"/>
      <c r="E244" s="78"/>
      <c r="F244" s="33"/>
      <c r="G244" s="6"/>
      <c r="H244" s="5"/>
      <c r="I244" s="6"/>
      <c r="J244" s="52"/>
      <c r="K244" s="33"/>
      <c r="L244" s="5"/>
    </row>
    <row r="245" spans="1:12" x14ac:dyDescent="0.25">
      <c r="A245" s="33"/>
      <c r="B245" s="34"/>
      <c r="C245" s="6"/>
      <c r="D245" s="50"/>
      <c r="E245" s="78"/>
      <c r="F245" s="33"/>
      <c r="G245" s="6"/>
      <c r="H245" s="5"/>
      <c r="I245" s="6"/>
      <c r="J245" s="52"/>
      <c r="K245" s="33"/>
      <c r="L245" s="5"/>
    </row>
    <row r="246" spans="1:12" x14ac:dyDescent="0.25">
      <c r="A246" s="33"/>
      <c r="B246" s="5"/>
      <c r="C246" s="6"/>
      <c r="D246" s="50"/>
      <c r="E246" s="78"/>
      <c r="F246" s="33"/>
      <c r="G246" s="2"/>
      <c r="H246" s="2"/>
      <c r="I246" s="2"/>
      <c r="J246" s="54"/>
      <c r="K246" s="33"/>
      <c r="L246" s="2"/>
    </row>
    <row r="247" spans="1:12" x14ac:dyDescent="0.25">
      <c r="A247" s="33"/>
      <c r="B247" s="5"/>
      <c r="C247" s="6"/>
      <c r="D247" s="50"/>
      <c r="E247" s="78"/>
      <c r="F247" s="33"/>
      <c r="G247" s="2"/>
      <c r="H247" s="2"/>
      <c r="I247" s="2"/>
      <c r="J247" s="54"/>
      <c r="K247" s="33"/>
      <c r="L247" s="2"/>
    </row>
    <row r="248" spans="1:12" ht="16.5" x14ac:dyDescent="0.3">
      <c r="A248" s="33"/>
      <c r="B248" s="5"/>
      <c r="C248" s="6"/>
      <c r="D248" s="50"/>
      <c r="E248" s="78"/>
      <c r="F248" s="36"/>
      <c r="G248" s="2"/>
      <c r="H248" s="2"/>
      <c r="I248" s="2"/>
      <c r="J248" s="54"/>
      <c r="K248" s="36"/>
      <c r="L248" s="2"/>
    </row>
    <row r="249" spans="1:12" ht="16.5" x14ac:dyDescent="0.3">
      <c r="A249" s="36"/>
      <c r="B249" s="5"/>
      <c r="C249" s="6"/>
      <c r="D249" s="14"/>
      <c r="E249" s="78"/>
      <c r="F249" s="36"/>
      <c r="G249" s="2"/>
      <c r="H249" s="2"/>
      <c r="I249" s="2"/>
      <c r="J249" s="54"/>
      <c r="K249" s="36"/>
      <c r="L249" s="2"/>
    </row>
    <row r="250" spans="1:12" x14ac:dyDescent="0.25">
      <c r="A250" s="3" t="s">
        <v>2</v>
      </c>
      <c r="B250" s="5">
        <f>SUM(B242:B249)</f>
        <v>3.0300000000000002</v>
      </c>
      <c r="C250" s="6"/>
      <c r="D250" s="14">
        <f>SUM(D242:D249)</f>
        <v>0.29070584999999999</v>
      </c>
      <c r="E250" s="78"/>
      <c r="F250" s="3" t="s">
        <v>2</v>
      </c>
      <c r="G250" s="5">
        <f>SUM(G242:G249)</f>
        <v>0</v>
      </c>
      <c r="H250" s="6"/>
      <c r="I250" s="7">
        <f t="shared" ref="I250" si="17">SUM(I242:I249)</f>
        <v>0</v>
      </c>
      <c r="J250" s="55"/>
      <c r="K250" s="3" t="s">
        <v>2</v>
      </c>
      <c r="L250" s="5">
        <f>SUM(L242:L249)</f>
        <v>0</v>
      </c>
    </row>
    <row r="253" spans="1:12" x14ac:dyDescent="0.25">
      <c r="A253" s="79" t="s">
        <v>128</v>
      </c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1"/>
    </row>
    <row r="254" spans="1:12" x14ac:dyDescent="0.25">
      <c r="A254" s="77" t="s">
        <v>102</v>
      </c>
      <c r="B254" s="77"/>
      <c r="C254" s="77"/>
      <c r="D254" s="77"/>
      <c r="E254" s="78"/>
      <c r="F254" s="77" t="s">
        <v>103</v>
      </c>
      <c r="G254" s="77"/>
      <c r="H254" s="77"/>
      <c r="I254" s="77"/>
      <c r="J254" s="53"/>
      <c r="K254" s="77" t="s">
        <v>25</v>
      </c>
      <c r="L254" s="77"/>
    </row>
    <row r="255" spans="1:12" x14ac:dyDescent="0.25">
      <c r="A255" s="28" t="s">
        <v>90</v>
      </c>
      <c r="B255" s="3" t="s">
        <v>3</v>
      </c>
      <c r="C255" s="3" t="s">
        <v>0</v>
      </c>
      <c r="D255" s="3" t="s">
        <v>1</v>
      </c>
      <c r="E255" s="78"/>
      <c r="F255" s="28" t="s">
        <v>90</v>
      </c>
      <c r="G255" s="3" t="s">
        <v>105</v>
      </c>
      <c r="H255" s="3" t="s">
        <v>0</v>
      </c>
      <c r="I255" s="3" t="s">
        <v>1</v>
      </c>
      <c r="J255" s="53"/>
      <c r="K255" s="3" t="s">
        <v>90</v>
      </c>
      <c r="L255" s="3" t="s">
        <v>105</v>
      </c>
    </row>
    <row r="256" spans="1:12" x14ac:dyDescent="0.25">
      <c r="A256" s="33">
        <v>46146</v>
      </c>
      <c r="B256" s="34">
        <v>1.46</v>
      </c>
      <c r="C256" s="5">
        <f>B256/D256</f>
        <v>65.654006086036418</v>
      </c>
      <c r="D256" s="50">
        <v>2.223779E-2</v>
      </c>
      <c r="E256" s="78"/>
      <c r="F256" s="33"/>
      <c r="G256" s="6"/>
      <c r="H256" s="5" t="e">
        <f>G256/I256</f>
        <v>#DIV/0!</v>
      </c>
      <c r="I256" s="6"/>
      <c r="J256" s="52"/>
      <c r="K256" s="33"/>
      <c r="L256" s="5"/>
    </row>
    <row r="257" spans="1:12" x14ac:dyDescent="0.25">
      <c r="A257" s="33">
        <v>46170</v>
      </c>
      <c r="B257" s="34">
        <v>4.0999999999999996</v>
      </c>
      <c r="C257" s="5">
        <f>B257/D257</f>
        <v>65.879995250213028</v>
      </c>
      <c r="D257" s="50">
        <v>6.2234369999999997E-2</v>
      </c>
      <c r="E257" s="78"/>
      <c r="F257" s="33"/>
      <c r="G257" s="6"/>
      <c r="H257" s="5"/>
      <c r="I257" s="6"/>
      <c r="J257" s="52"/>
      <c r="K257" s="33"/>
      <c r="L257" s="5"/>
    </row>
    <row r="258" spans="1:12" x14ac:dyDescent="0.25">
      <c r="A258" s="33"/>
      <c r="B258" s="34"/>
      <c r="C258" s="6"/>
      <c r="D258" s="50"/>
      <c r="E258" s="78"/>
      <c r="F258" s="33"/>
      <c r="G258" s="6"/>
      <c r="H258" s="5"/>
      <c r="I258" s="6"/>
      <c r="J258" s="52"/>
      <c r="K258" s="33"/>
      <c r="L258" s="5"/>
    </row>
    <row r="259" spans="1:12" x14ac:dyDescent="0.25">
      <c r="A259" s="33"/>
      <c r="B259" s="34"/>
      <c r="C259" s="6"/>
      <c r="D259" s="50"/>
      <c r="E259" s="78"/>
      <c r="F259" s="33"/>
      <c r="G259" s="6"/>
      <c r="H259" s="5"/>
      <c r="I259" s="6"/>
      <c r="J259" s="52"/>
      <c r="K259" s="33"/>
      <c r="L259" s="5"/>
    </row>
    <row r="260" spans="1:12" x14ac:dyDescent="0.25">
      <c r="A260" s="33"/>
      <c r="B260" s="5"/>
      <c r="C260" s="6"/>
      <c r="D260" s="50"/>
      <c r="E260" s="78"/>
      <c r="F260" s="33"/>
      <c r="G260" s="2"/>
      <c r="H260" s="2"/>
      <c r="I260" s="2"/>
      <c r="J260" s="54"/>
      <c r="K260" s="33"/>
      <c r="L260" s="2"/>
    </row>
    <row r="261" spans="1:12" x14ac:dyDescent="0.25">
      <c r="A261" s="33"/>
      <c r="B261" s="5"/>
      <c r="C261" s="6"/>
      <c r="D261" s="50"/>
      <c r="E261" s="78"/>
      <c r="F261" s="33"/>
      <c r="G261" s="2"/>
      <c r="H261" s="2"/>
      <c r="I261" s="2"/>
      <c r="J261" s="54"/>
      <c r="K261" s="33"/>
      <c r="L261" s="2"/>
    </row>
    <row r="262" spans="1:12" ht="16.5" x14ac:dyDescent="0.3">
      <c r="A262" s="33"/>
      <c r="B262" s="5"/>
      <c r="C262" s="6"/>
      <c r="D262" s="50"/>
      <c r="E262" s="78"/>
      <c r="F262" s="36"/>
      <c r="G262" s="2"/>
      <c r="H262" s="2"/>
      <c r="I262" s="2"/>
      <c r="J262" s="54"/>
      <c r="K262" s="36"/>
      <c r="L262" s="2"/>
    </row>
    <row r="263" spans="1:12" ht="16.5" x14ac:dyDescent="0.3">
      <c r="A263" s="36"/>
      <c r="B263" s="5"/>
      <c r="C263" s="6"/>
      <c r="D263" s="14"/>
      <c r="E263" s="78"/>
      <c r="F263" s="36"/>
      <c r="G263" s="2"/>
      <c r="H263" s="2"/>
      <c r="I263" s="2"/>
      <c r="J263" s="54"/>
      <c r="K263" s="36"/>
      <c r="L263" s="2"/>
    </row>
    <row r="264" spans="1:12" x14ac:dyDescent="0.25">
      <c r="A264" s="3" t="s">
        <v>2</v>
      </c>
      <c r="B264" s="5">
        <f>SUM(B256:B263)</f>
        <v>5.56</v>
      </c>
      <c r="C264" s="6"/>
      <c r="D264" s="14">
        <f>SUM(D256:D263)</f>
        <v>8.4472159999999991E-2</v>
      </c>
      <c r="E264" s="78"/>
      <c r="F264" s="3" t="s">
        <v>2</v>
      </c>
      <c r="G264" s="5">
        <f>SUM(G256:G263)</f>
        <v>0</v>
      </c>
      <c r="H264" s="6"/>
      <c r="I264" s="14">
        <f t="shared" ref="I264" si="18">SUM(I256:I263)</f>
        <v>0</v>
      </c>
      <c r="J264" s="55"/>
      <c r="K264" s="3" t="s">
        <v>2</v>
      </c>
      <c r="L264" s="5">
        <f>SUM(L256:L263)</f>
        <v>0</v>
      </c>
    </row>
    <row r="267" spans="1:12" x14ac:dyDescent="0.25">
      <c r="A267" s="79" t="s">
        <v>130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1"/>
    </row>
    <row r="268" spans="1:12" x14ac:dyDescent="0.25">
      <c r="A268" s="77" t="s">
        <v>102</v>
      </c>
      <c r="B268" s="77"/>
      <c r="C268" s="77"/>
      <c r="D268" s="77"/>
      <c r="E268" s="78"/>
      <c r="F268" s="77" t="s">
        <v>103</v>
      </c>
      <c r="G268" s="77"/>
      <c r="H268" s="77"/>
      <c r="I268" s="77"/>
      <c r="J268" s="53"/>
      <c r="K268" s="77" t="s">
        <v>25</v>
      </c>
      <c r="L268" s="77"/>
    </row>
    <row r="269" spans="1:12" x14ac:dyDescent="0.25">
      <c r="A269" s="28" t="s">
        <v>90</v>
      </c>
      <c r="B269" s="3" t="s">
        <v>3</v>
      </c>
      <c r="C269" s="3" t="s">
        <v>0</v>
      </c>
      <c r="D269" s="3" t="s">
        <v>1</v>
      </c>
      <c r="E269" s="78"/>
      <c r="F269" s="28" t="s">
        <v>90</v>
      </c>
      <c r="G269" s="3" t="s">
        <v>105</v>
      </c>
      <c r="H269" s="3" t="s">
        <v>0</v>
      </c>
      <c r="I269" s="3" t="s">
        <v>1</v>
      </c>
      <c r="J269" s="53"/>
      <c r="K269" s="3" t="s">
        <v>90</v>
      </c>
      <c r="L269" s="3" t="s">
        <v>105</v>
      </c>
    </row>
    <row r="270" spans="1:12" x14ac:dyDescent="0.25">
      <c r="A270" s="33">
        <v>46171</v>
      </c>
      <c r="B270" s="34">
        <v>2.0299999999999998</v>
      </c>
      <c r="C270" s="5">
        <f>B270/D270</f>
        <v>20.095000848840552</v>
      </c>
      <c r="D270" s="50">
        <v>0.10102015</v>
      </c>
      <c r="E270" s="78"/>
      <c r="F270" s="33"/>
      <c r="G270" s="6"/>
      <c r="H270" s="5"/>
      <c r="I270" s="6"/>
      <c r="J270" s="52"/>
      <c r="K270" s="33"/>
      <c r="L270" s="5"/>
    </row>
    <row r="271" spans="1:12" x14ac:dyDescent="0.25">
      <c r="A271" s="33"/>
      <c r="B271" s="34"/>
      <c r="C271" s="5" t="e">
        <f>B271/D271</f>
        <v>#DIV/0!</v>
      </c>
      <c r="D271" s="50"/>
      <c r="E271" s="78"/>
      <c r="F271" s="33"/>
      <c r="G271" s="6"/>
      <c r="H271" s="5"/>
      <c r="I271" s="6"/>
      <c r="J271" s="52"/>
      <c r="K271" s="33"/>
      <c r="L271" s="5"/>
    </row>
    <row r="272" spans="1:12" x14ac:dyDescent="0.25">
      <c r="A272" s="33"/>
      <c r="B272" s="34"/>
      <c r="C272" s="5" t="e">
        <f>B272/D272</f>
        <v>#DIV/0!</v>
      </c>
      <c r="D272" s="50"/>
      <c r="E272" s="78"/>
      <c r="F272" s="33"/>
      <c r="G272" s="6"/>
      <c r="H272" s="5"/>
      <c r="I272" s="6"/>
      <c r="J272" s="52"/>
      <c r="K272" s="33"/>
      <c r="L272" s="5"/>
    </row>
    <row r="273" spans="1:12" x14ac:dyDescent="0.25">
      <c r="A273" s="33"/>
      <c r="B273" s="34"/>
      <c r="C273" s="6"/>
      <c r="D273" s="50"/>
      <c r="E273" s="78"/>
      <c r="F273" s="33"/>
      <c r="G273" s="6"/>
      <c r="H273" s="5"/>
      <c r="I273" s="6"/>
      <c r="J273" s="52"/>
      <c r="K273" s="33"/>
      <c r="L273" s="5"/>
    </row>
    <row r="274" spans="1:12" x14ac:dyDescent="0.25">
      <c r="A274" s="33"/>
      <c r="B274" s="5"/>
      <c r="C274" s="6"/>
      <c r="D274" s="50"/>
      <c r="E274" s="78"/>
      <c r="F274" s="33"/>
      <c r="G274" s="2"/>
      <c r="H274" s="2"/>
      <c r="I274" s="2"/>
      <c r="J274" s="54"/>
      <c r="K274" s="33"/>
      <c r="L274" s="2"/>
    </row>
    <row r="275" spans="1:12" x14ac:dyDescent="0.25">
      <c r="A275" s="33"/>
      <c r="B275" s="5"/>
      <c r="C275" s="6"/>
      <c r="D275" s="50"/>
      <c r="E275" s="78"/>
      <c r="F275" s="33"/>
      <c r="G275" s="2"/>
      <c r="H275" s="2"/>
      <c r="I275" s="2"/>
      <c r="J275" s="54"/>
      <c r="K275" s="33"/>
      <c r="L275" s="2"/>
    </row>
    <row r="276" spans="1:12" ht="16.5" x14ac:dyDescent="0.3">
      <c r="A276" s="33"/>
      <c r="B276" s="5"/>
      <c r="C276" s="6"/>
      <c r="D276" s="50"/>
      <c r="E276" s="78"/>
      <c r="F276" s="36"/>
      <c r="G276" s="2"/>
      <c r="H276" s="2"/>
      <c r="I276" s="2"/>
      <c r="J276" s="54"/>
      <c r="K276" s="36"/>
      <c r="L276" s="2"/>
    </row>
    <row r="277" spans="1:12" ht="16.5" x14ac:dyDescent="0.3">
      <c r="A277" s="36"/>
      <c r="B277" s="5"/>
      <c r="C277" s="6"/>
      <c r="D277" s="14"/>
      <c r="E277" s="78"/>
      <c r="F277" s="36"/>
      <c r="G277" s="2"/>
      <c r="H277" s="2"/>
      <c r="I277" s="2"/>
      <c r="J277" s="54"/>
      <c r="K277" s="36"/>
      <c r="L277" s="2"/>
    </row>
    <row r="278" spans="1:12" x14ac:dyDescent="0.25">
      <c r="A278" s="3" t="s">
        <v>2</v>
      </c>
      <c r="B278" s="5">
        <f>SUM(B270:B277)</f>
        <v>2.0299999999999998</v>
      </c>
      <c r="C278" s="6"/>
      <c r="D278" s="14">
        <f>SUM(D270:D277)</f>
        <v>0.10102015</v>
      </c>
      <c r="E278" s="78"/>
      <c r="F278" s="3" t="s">
        <v>2</v>
      </c>
      <c r="G278" s="5">
        <f>SUM(G270:G277)</f>
        <v>0</v>
      </c>
      <c r="H278" s="6"/>
      <c r="I278" s="7">
        <f t="shared" ref="I278" si="19">SUM(I270:I277)</f>
        <v>0</v>
      </c>
      <c r="J278" s="55"/>
      <c r="K278" s="3" t="s">
        <v>2</v>
      </c>
      <c r="L278" s="5">
        <f>SUM(L270:L277)</f>
        <v>0</v>
      </c>
    </row>
    <row r="281" spans="1:12" x14ac:dyDescent="0.25">
      <c r="A281" s="79" t="s">
        <v>131</v>
      </c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1"/>
    </row>
    <row r="282" spans="1:12" x14ac:dyDescent="0.25">
      <c r="A282" s="77" t="s">
        <v>102</v>
      </c>
      <c r="B282" s="77"/>
      <c r="C282" s="77"/>
      <c r="D282" s="77"/>
      <c r="E282" s="78"/>
      <c r="F282" s="77" t="s">
        <v>103</v>
      </c>
      <c r="G282" s="77"/>
      <c r="H282" s="77"/>
      <c r="I282" s="77"/>
      <c r="J282" s="53"/>
      <c r="K282" s="77" t="s">
        <v>25</v>
      </c>
      <c r="L282" s="77"/>
    </row>
    <row r="283" spans="1:12" x14ac:dyDescent="0.25">
      <c r="A283" s="28" t="s">
        <v>90</v>
      </c>
      <c r="B283" s="3" t="s">
        <v>3</v>
      </c>
      <c r="C283" s="3" t="s">
        <v>0</v>
      </c>
      <c r="D283" s="3" t="s">
        <v>1</v>
      </c>
      <c r="E283" s="78"/>
      <c r="F283" s="28" t="s">
        <v>90</v>
      </c>
      <c r="G283" s="3" t="s">
        <v>105</v>
      </c>
      <c r="H283" s="3" t="s">
        <v>0</v>
      </c>
      <c r="I283" s="3" t="s">
        <v>1</v>
      </c>
      <c r="J283" s="53"/>
      <c r="K283" s="3" t="s">
        <v>90</v>
      </c>
      <c r="L283" s="3" t="s">
        <v>105</v>
      </c>
    </row>
    <row r="284" spans="1:12" x14ac:dyDescent="0.25">
      <c r="A284" s="33">
        <v>46171</v>
      </c>
      <c r="B284" s="34">
        <v>2.71</v>
      </c>
      <c r="C284" s="5">
        <f>B284/D284</f>
        <v>105.89999757719562</v>
      </c>
      <c r="D284" s="50">
        <v>2.5590180000000001E-2</v>
      </c>
      <c r="E284" s="78"/>
      <c r="F284" s="33"/>
      <c r="G284" s="6"/>
      <c r="H284" s="5" t="e">
        <f>G284/I284</f>
        <v>#DIV/0!</v>
      </c>
      <c r="I284" s="6"/>
      <c r="J284" s="52"/>
      <c r="K284" s="33"/>
      <c r="L284" s="5"/>
    </row>
    <row r="285" spans="1:12" x14ac:dyDescent="0.25">
      <c r="A285" s="33"/>
      <c r="B285" s="34"/>
      <c r="C285" s="6"/>
      <c r="D285" s="50"/>
      <c r="E285" s="78"/>
      <c r="F285" s="33"/>
      <c r="G285" s="6"/>
      <c r="H285" s="5"/>
      <c r="I285" s="6"/>
      <c r="J285" s="52"/>
      <c r="K285" s="33"/>
      <c r="L285" s="5"/>
    </row>
    <row r="286" spans="1:12" x14ac:dyDescent="0.25">
      <c r="A286" s="33"/>
      <c r="B286" s="34"/>
      <c r="C286" s="6"/>
      <c r="D286" s="50"/>
      <c r="E286" s="78"/>
      <c r="F286" s="33"/>
      <c r="G286" s="6"/>
      <c r="H286" s="5"/>
      <c r="I286" s="6"/>
      <c r="J286" s="52"/>
      <c r="K286" s="33"/>
      <c r="L286" s="5"/>
    </row>
    <row r="287" spans="1:12" x14ac:dyDescent="0.25">
      <c r="A287" s="33"/>
      <c r="B287" s="34"/>
      <c r="C287" s="6"/>
      <c r="D287" s="50"/>
      <c r="E287" s="78"/>
      <c r="F287" s="33"/>
      <c r="G287" s="6"/>
      <c r="H287" s="5"/>
      <c r="I287" s="6"/>
      <c r="J287" s="52"/>
      <c r="K287" s="33"/>
      <c r="L287" s="5"/>
    </row>
    <row r="288" spans="1:12" x14ac:dyDescent="0.25">
      <c r="A288" s="33"/>
      <c r="B288" s="5"/>
      <c r="C288" s="6"/>
      <c r="D288" s="50"/>
      <c r="E288" s="78"/>
      <c r="F288" s="33"/>
      <c r="G288" s="2"/>
      <c r="H288" s="2"/>
      <c r="I288" s="2"/>
      <c r="J288" s="54"/>
      <c r="K288" s="33"/>
      <c r="L288" s="2"/>
    </row>
    <row r="289" spans="1:12" x14ac:dyDescent="0.25">
      <c r="A289" s="33"/>
      <c r="B289" s="5"/>
      <c r="C289" s="6"/>
      <c r="D289" s="50"/>
      <c r="E289" s="78"/>
      <c r="F289" s="33"/>
      <c r="G289" s="2"/>
      <c r="H289" s="2"/>
      <c r="I289" s="2"/>
      <c r="J289" s="54"/>
      <c r="K289" s="33"/>
      <c r="L289" s="2"/>
    </row>
    <row r="290" spans="1:12" ht="16.5" x14ac:dyDescent="0.3">
      <c r="A290" s="33"/>
      <c r="B290" s="5"/>
      <c r="C290" s="6"/>
      <c r="D290" s="50"/>
      <c r="E290" s="78"/>
      <c r="F290" s="36"/>
      <c r="G290" s="2"/>
      <c r="H290" s="2"/>
      <c r="I290" s="2"/>
      <c r="J290" s="54"/>
      <c r="K290" s="36"/>
      <c r="L290" s="2"/>
    </row>
    <row r="291" spans="1:12" ht="16.5" x14ac:dyDescent="0.3">
      <c r="A291" s="36"/>
      <c r="B291" s="5"/>
      <c r="C291" s="6"/>
      <c r="D291" s="14"/>
      <c r="E291" s="78"/>
      <c r="F291" s="36"/>
      <c r="G291" s="2"/>
      <c r="H291" s="2"/>
      <c r="I291" s="2"/>
      <c r="J291" s="54"/>
      <c r="K291" s="36"/>
      <c r="L291" s="2"/>
    </row>
    <row r="292" spans="1:12" x14ac:dyDescent="0.25">
      <c r="A292" s="3" t="s">
        <v>2</v>
      </c>
      <c r="B292" s="5">
        <f>SUM(B284:B291)</f>
        <v>2.71</v>
      </c>
      <c r="C292" s="6"/>
      <c r="D292" s="14">
        <f>SUM(D284:D291)</f>
        <v>2.5590180000000001E-2</v>
      </c>
      <c r="E292" s="78"/>
      <c r="F292" s="3" t="s">
        <v>2</v>
      </c>
      <c r="G292" s="5">
        <f>SUM(G284:G291)</f>
        <v>0</v>
      </c>
      <c r="H292" s="6"/>
      <c r="I292" s="14">
        <f t="shared" ref="I292" si="20">SUM(I284:I291)</f>
        <v>0</v>
      </c>
      <c r="J292" s="55"/>
      <c r="K292" s="3" t="s">
        <v>2</v>
      </c>
      <c r="L292" s="5">
        <f>SUM(L284:L291)</f>
        <v>0</v>
      </c>
    </row>
    <row r="295" spans="1:12" x14ac:dyDescent="0.25">
      <c r="A295" s="79" t="s">
        <v>132</v>
      </c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1"/>
    </row>
    <row r="296" spans="1:12" x14ac:dyDescent="0.25">
      <c r="A296" s="77" t="s">
        <v>102</v>
      </c>
      <c r="B296" s="77"/>
      <c r="C296" s="77"/>
      <c r="D296" s="77"/>
      <c r="E296" s="78"/>
      <c r="F296" s="77" t="s">
        <v>103</v>
      </c>
      <c r="G296" s="77"/>
      <c r="H296" s="77"/>
      <c r="I296" s="77"/>
      <c r="J296" s="53"/>
      <c r="K296" s="77" t="s">
        <v>25</v>
      </c>
      <c r="L296" s="77"/>
    </row>
    <row r="297" spans="1:12" x14ac:dyDescent="0.25">
      <c r="A297" s="28" t="s">
        <v>90</v>
      </c>
      <c r="B297" s="3" t="s">
        <v>3</v>
      </c>
      <c r="C297" s="3" t="s">
        <v>0</v>
      </c>
      <c r="D297" s="3" t="s">
        <v>1</v>
      </c>
      <c r="E297" s="78"/>
      <c r="F297" s="28" t="s">
        <v>90</v>
      </c>
      <c r="G297" s="3" t="s">
        <v>105</v>
      </c>
      <c r="H297" s="3" t="s">
        <v>0</v>
      </c>
      <c r="I297" s="3" t="s">
        <v>1</v>
      </c>
      <c r="J297" s="53"/>
      <c r="K297" s="3" t="s">
        <v>90</v>
      </c>
      <c r="L297" s="3" t="s">
        <v>105</v>
      </c>
    </row>
    <row r="298" spans="1:12" x14ac:dyDescent="0.25">
      <c r="A298" s="33">
        <v>46146</v>
      </c>
      <c r="B298" s="34">
        <v>1.1200000000000001</v>
      </c>
      <c r="C298" s="5">
        <f>B298/D298</f>
        <v>44.094991635731283</v>
      </c>
      <c r="D298" s="50">
        <v>2.5399709999999999E-2</v>
      </c>
      <c r="E298" s="78"/>
      <c r="F298" s="33">
        <v>46170</v>
      </c>
      <c r="G298" s="6">
        <v>6.45</v>
      </c>
      <c r="H298" s="5">
        <f>G298/I298</f>
        <v>41.571104151084214</v>
      </c>
      <c r="I298" s="6">
        <v>0.15515585000000001</v>
      </c>
      <c r="J298" s="52"/>
      <c r="K298" s="33"/>
      <c r="L298" s="5"/>
    </row>
    <row r="299" spans="1:12" x14ac:dyDescent="0.25">
      <c r="A299" s="33"/>
      <c r="B299" s="34"/>
      <c r="C299" s="6"/>
      <c r="D299" s="50"/>
      <c r="E299" s="78"/>
      <c r="F299" s="33"/>
      <c r="G299" s="6"/>
      <c r="H299" s="5"/>
      <c r="I299" s="6"/>
      <c r="J299" s="52"/>
      <c r="K299" s="33"/>
      <c r="L299" s="5"/>
    </row>
    <row r="300" spans="1:12" x14ac:dyDescent="0.25">
      <c r="A300" s="33"/>
      <c r="B300" s="34"/>
      <c r="C300" s="6"/>
      <c r="D300" s="50"/>
      <c r="E300" s="78"/>
      <c r="F300" s="33"/>
      <c r="G300" s="6"/>
      <c r="H300" s="5"/>
      <c r="I300" s="6"/>
      <c r="J300" s="52"/>
      <c r="K300" s="33"/>
      <c r="L300" s="5"/>
    </row>
    <row r="301" spans="1:12" x14ac:dyDescent="0.25">
      <c r="A301" s="33"/>
      <c r="B301" s="34"/>
      <c r="C301" s="6"/>
      <c r="D301" s="50"/>
      <c r="E301" s="78"/>
      <c r="F301" s="33"/>
      <c r="G301" s="6"/>
      <c r="H301" s="5"/>
      <c r="I301" s="6"/>
      <c r="J301" s="52"/>
      <c r="K301" s="33"/>
      <c r="L301" s="5"/>
    </row>
    <row r="302" spans="1:12" x14ac:dyDescent="0.25">
      <c r="A302" s="33"/>
      <c r="B302" s="5"/>
      <c r="C302" s="6"/>
      <c r="D302" s="50"/>
      <c r="E302" s="78"/>
      <c r="F302" s="33"/>
      <c r="G302" s="2"/>
      <c r="H302" s="2"/>
      <c r="I302" s="2"/>
      <c r="J302" s="54"/>
      <c r="K302" s="33"/>
      <c r="L302" s="2"/>
    </row>
    <row r="303" spans="1:12" x14ac:dyDescent="0.25">
      <c r="A303" s="33"/>
      <c r="B303" s="5"/>
      <c r="C303" s="6"/>
      <c r="D303" s="50"/>
      <c r="E303" s="78"/>
      <c r="F303" s="33"/>
      <c r="G303" s="2"/>
      <c r="H303" s="2"/>
      <c r="I303" s="2"/>
      <c r="J303" s="54"/>
      <c r="K303" s="33"/>
      <c r="L303" s="2"/>
    </row>
    <row r="304" spans="1:12" ht="16.5" x14ac:dyDescent="0.3">
      <c r="A304" s="33"/>
      <c r="B304" s="5"/>
      <c r="C304" s="6"/>
      <c r="D304" s="50"/>
      <c r="E304" s="78"/>
      <c r="F304" s="36"/>
      <c r="G304" s="2"/>
      <c r="H304" s="2"/>
      <c r="I304" s="2"/>
      <c r="J304" s="54"/>
      <c r="K304" s="36"/>
      <c r="L304" s="2"/>
    </row>
    <row r="305" spans="1:12" ht="16.5" x14ac:dyDescent="0.3">
      <c r="A305" s="36"/>
      <c r="B305" s="5"/>
      <c r="C305" s="6"/>
      <c r="D305" s="14"/>
      <c r="E305" s="78"/>
      <c r="F305" s="36"/>
      <c r="G305" s="2"/>
      <c r="H305" s="2"/>
      <c r="I305" s="2"/>
      <c r="J305" s="54"/>
      <c r="K305" s="36"/>
      <c r="L305" s="2"/>
    </row>
    <row r="306" spans="1:12" x14ac:dyDescent="0.25">
      <c r="A306" s="3" t="s">
        <v>2</v>
      </c>
      <c r="B306" s="5">
        <f>SUM(B298:B305)</f>
        <v>1.1200000000000001</v>
      </c>
      <c r="C306" s="6"/>
      <c r="D306" s="14">
        <f>SUM(D298:D305)</f>
        <v>2.5399709999999999E-2</v>
      </c>
      <c r="E306" s="78"/>
      <c r="F306" s="3" t="s">
        <v>2</v>
      </c>
      <c r="G306" s="5">
        <f>SUM(G298:G305)</f>
        <v>6.45</v>
      </c>
      <c r="H306" s="6"/>
      <c r="I306" s="14">
        <f t="shared" ref="I306" si="21">SUM(I298:I305)</f>
        <v>0.15515585000000001</v>
      </c>
      <c r="J306" s="55"/>
      <c r="K306" s="3" t="s">
        <v>2</v>
      </c>
      <c r="L306" s="5">
        <f>SUM(L298:L305)</f>
        <v>0</v>
      </c>
    </row>
    <row r="309" spans="1:12" x14ac:dyDescent="0.25">
      <c r="A309" s="79" t="s">
        <v>136</v>
      </c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1"/>
    </row>
    <row r="310" spans="1:12" x14ac:dyDescent="0.25">
      <c r="A310" s="77" t="s">
        <v>102</v>
      </c>
      <c r="B310" s="77"/>
      <c r="C310" s="77"/>
      <c r="D310" s="77"/>
      <c r="E310" s="78"/>
      <c r="F310" s="77" t="s">
        <v>103</v>
      </c>
      <c r="G310" s="77"/>
      <c r="H310" s="77"/>
      <c r="I310" s="77"/>
      <c r="J310" s="53"/>
      <c r="K310" s="77" t="s">
        <v>25</v>
      </c>
      <c r="L310" s="77"/>
    </row>
    <row r="311" spans="1:12" x14ac:dyDescent="0.25">
      <c r="A311" s="28" t="s">
        <v>90</v>
      </c>
      <c r="B311" s="3" t="s">
        <v>3</v>
      </c>
      <c r="C311" s="3" t="s">
        <v>0</v>
      </c>
      <c r="D311" s="3" t="s">
        <v>1</v>
      </c>
      <c r="E311" s="78"/>
      <c r="F311" s="28" t="s">
        <v>90</v>
      </c>
      <c r="G311" s="3" t="s">
        <v>105</v>
      </c>
      <c r="H311" s="3" t="s">
        <v>0</v>
      </c>
      <c r="I311" s="3" t="s">
        <v>1</v>
      </c>
      <c r="J311" s="53"/>
      <c r="K311" s="3" t="s">
        <v>90</v>
      </c>
      <c r="L311" s="3" t="s">
        <v>105</v>
      </c>
    </row>
    <row r="312" spans="1:12" x14ac:dyDescent="0.25">
      <c r="A312" s="33">
        <v>46146</v>
      </c>
      <c r="B312" s="34">
        <v>2.2000000000000002</v>
      </c>
      <c r="C312" s="5">
        <f>B312/D312</f>
        <v>30.595001861427725</v>
      </c>
      <c r="D312" s="50">
        <v>7.1907170000000006E-2</v>
      </c>
      <c r="E312" s="78"/>
      <c r="F312" s="33">
        <v>46170</v>
      </c>
      <c r="G312" s="6">
        <v>4.72</v>
      </c>
      <c r="H312" s="5">
        <f>G312/I312</f>
        <v>30.40100014137753</v>
      </c>
      <c r="I312" s="6">
        <v>0.15525805000000001</v>
      </c>
      <c r="J312" s="52"/>
      <c r="K312" s="33"/>
      <c r="L312" s="5"/>
    </row>
    <row r="313" spans="1:12" x14ac:dyDescent="0.25">
      <c r="A313" s="33"/>
      <c r="B313" s="34"/>
      <c r="C313" s="6"/>
      <c r="D313" s="50"/>
      <c r="E313" s="78"/>
      <c r="F313" s="33"/>
      <c r="G313" s="6"/>
      <c r="H313" s="5" t="e">
        <f>G313/I313</f>
        <v>#DIV/0!</v>
      </c>
      <c r="I313" s="6"/>
      <c r="J313" s="52"/>
      <c r="K313" s="33"/>
      <c r="L313" s="5"/>
    </row>
    <row r="314" spans="1:12" x14ac:dyDescent="0.25">
      <c r="A314" s="33"/>
      <c r="B314" s="34"/>
      <c r="C314" s="6"/>
      <c r="D314" s="50"/>
      <c r="E314" s="78"/>
      <c r="F314" s="33"/>
      <c r="G314" s="6"/>
      <c r="H314" s="5"/>
      <c r="I314" s="6"/>
      <c r="J314" s="52"/>
      <c r="K314" s="33"/>
      <c r="L314" s="5"/>
    </row>
    <row r="315" spans="1:12" x14ac:dyDescent="0.25">
      <c r="A315" s="33"/>
      <c r="B315" s="34"/>
      <c r="C315" s="6"/>
      <c r="D315" s="50"/>
      <c r="E315" s="78"/>
      <c r="F315" s="33"/>
      <c r="G315" s="6"/>
      <c r="H315" s="5"/>
      <c r="I315" s="6"/>
      <c r="J315" s="52"/>
      <c r="K315" s="33"/>
      <c r="L315" s="5"/>
    </row>
    <row r="316" spans="1:12" x14ac:dyDescent="0.25">
      <c r="A316" s="33"/>
      <c r="B316" s="5"/>
      <c r="C316" s="6"/>
      <c r="D316" s="50"/>
      <c r="E316" s="78"/>
      <c r="F316" s="33"/>
      <c r="G316" s="2"/>
      <c r="H316" s="2"/>
      <c r="I316" s="2"/>
      <c r="J316" s="54"/>
      <c r="K316" s="33"/>
      <c r="L316" s="2"/>
    </row>
    <row r="317" spans="1:12" x14ac:dyDescent="0.25">
      <c r="A317" s="33"/>
      <c r="B317" s="5"/>
      <c r="C317" s="6"/>
      <c r="D317" s="50"/>
      <c r="E317" s="78"/>
      <c r="F317" s="33"/>
      <c r="G317" s="2"/>
      <c r="H317" s="2"/>
      <c r="I317" s="2"/>
      <c r="J317" s="54"/>
      <c r="K317" s="33"/>
      <c r="L317" s="2"/>
    </row>
    <row r="318" spans="1:12" ht="16.5" x14ac:dyDescent="0.3">
      <c r="A318" s="33"/>
      <c r="B318" s="5"/>
      <c r="C318" s="6"/>
      <c r="D318" s="50"/>
      <c r="E318" s="78"/>
      <c r="F318" s="36"/>
      <c r="G318" s="2"/>
      <c r="H318" s="2"/>
      <c r="I318" s="2"/>
      <c r="J318" s="54"/>
      <c r="K318" s="36"/>
      <c r="L318" s="2"/>
    </row>
    <row r="319" spans="1:12" ht="16.5" x14ac:dyDescent="0.3">
      <c r="A319" s="36"/>
      <c r="B319" s="5"/>
      <c r="C319" s="6"/>
      <c r="D319" s="14"/>
      <c r="E319" s="78"/>
      <c r="F319" s="36"/>
      <c r="G319" s="2"/>
      <c r="H319" s="2"/>
      <c r="I319" s="2"/>
      <c r="J319" s="54"/>
      <c r="K319" s="36"/>
      <c r="L319" s="2"/>
    </row>
    <row r="320" spans="1:12" x14ac:dyDescent="0.25">
      <c r="A320" s="3" t="s">
        <v>2</v>
      </c>
      <c r="B320" s="5">
        <f>SUM(B312:B319)</f>
        <v>2.2000000000000002</v>
      </c>
      <c r="C320" s="6"/>
      <c r="D320" s="14">
        <f>SUM(D312:D319)</f>
        <v>7.1907170000000006E-2</v>
      </c>
      <c r="E320" s="78"/>
      <c r="F320" s="3" t="s">
        <v>2</v>
      </c>
      <c r="G320" s="5">
        <f>SUM(G312:G319)</f>
        <v>4.72</v>
      </c>
      <c r="H320" s="6"/>
      <c r="I320" s="14">
        <f t="shared" ref="I320" si="22">SUM(I312:I319)</f>
        <v>0.15525805000000001</v>
      </c>
      <c r="J320" s="55"/>
      <c r="K320" s="3" t="s">
        <v>2</v>
      </c>
      <c r="L320" s="5">
        <f>SUM(L312:L319)</f>
        <v>0</v>
      </c>
    </row>
    <row r="323" spans="1:12" x14ac:dyDescent="0.25">
      <c r="A323" s="79" t="s">
        <v>137</v>
      </c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1"/>
    </row>
    <row r="324" spans="1:12" x14ac:dyDescent="0.25">
      <c r="A324" s="77" t="s">
        <v>102</v>
      </c>
      <c r="B324" s="77"/>
      <c r="C324" s="77"/>
      <c r="D324" s="77"/>
      <c r="E324" s="78"/>
      <c r="F324" s="77" t="s">
        <v>103</v>
      </c>
      <c r="G324" s="77"/>
      <c r="H324" s="77"/>
      <c r="I324" s="77"/>
      <c r="J324" s="53"/>
      <c r="K324" s="77" t="s">
        <v>25</v>
      </c>
      <c r="L324" s="77"/>
    </row>
    <row r="325" spans="1:12" x14ac:dyDescent="0.25">
      <c r="A325" s="28" t="s">
        <v>90</v>
      </c>
      <c r="B325" s="3" t="s">
        <v>3</v>
      </c>
      <c r="C325" s="3" t="s">
        <v>0</v>
      </c>
      <c r="D325" s="3" t="s">
        <v>1</v>
      </c>
      <c r="E325" s="78"/>
      <c r="F325" s="28" t="s">
        <v>90</v>
      </c>
      <c r="G325" s="3" t="s">
        <v>105</v>
      </c>
      <c r="H325" s="3" t="s">
        <v>0</v>
      </c>
      <c r="I325" s="3" t="s">
        <v>1</v>
      </c>
      <c r="J325" s="53"/>
      <c r="K325" s="3" t="s">
        <v>90</v>
      </c>
      <c r="L325" s="3" t="s">
        <v>105</v>
      </c>
    </row>
    <row r="326" spans="1:12" x14ac:dyDescent="0.25">
      <c r="A326" s="33">
        <v>46146</v>
      </c>
      <c r="B326" s="34">
        <v>2.27</v>
      </c>
      <c r="C326" s="5">
        <f>B326/D326</f>
        <v>20.102999978657166</v>
      </c>
      <c r="D326" s="50">
        <v>0.11291847000000001</v>
      </c>
      <c r="E326" s="78"/>
      <c r="F326" s="33">
        <v>46170</v>
      </c>
      <c r="G326" s="6">
        <v>6.34</v>
      </c>
      <c r="H326" s="5">
        <f>G326/I326</f>
        <v>20.195067147801929</v>
      </c>
      <c r="I326" s="6">
        <v>0.31393805000000002</v>
      </c>
      <c r="J326" s="52"/>
      <c r="K326" s="33"/>
      <c r="L326" s="5"/>
    </row>
    <row r="327" spans="1:12" x14ac:dyDescent="0.25">
      <c r="A327" s="33"/>
      <c r="B327" s="34"/>
      <c r="C327" s="6"/>
      <c r="D327" s="50"/>
      <c r="E327" s="78"/>
      <c r="F327" s="33"/>
      <c r="G327" s="6"/>
      <c r="H327" s="5" t="e">
        <f>G327/I327</f>
        <v>#DIV/0!</v>
      </c>
      <c r="I327" s="6"/>
      <c r="J327" s="52"/>
      <c r="K327" s="33"/>
      <c r="L327" s="5"/>
    </row>
    <row r="328" spans="1:12" x14ac:dyDescent="0.25">
      <c r="A328" s="33"/>
      <c r="B328" s="34"/>
      <c r="C328" s="6"/>
      <c r="D328" s="50"/>
      <c r="E328" s="78"/>
      <c r="F328" s="33"/>
      <c r="G328" s="6"/>
      <c r="H328" s="5"/>
      <c r="I328" s="6"/>
      <c r="J328" s="52"/>
      <c r="K328" s="33"/>
      <c r="L328" s="5"/>
    </row>
    <row r="329" spans="1:12" x14ac:dyDescent="0.25">
      <c r="A329" s="33"/>
      <c r="B329" s="34"/>
      <c r="C329" s="6"/>
      <c r="D329" s="50"/>
      <c r="E329" s="78"/>
      <c r="F329" s="33"/>
      <c r="G329" s="6"/>
      <c r="H329" s="5"/>
      <c r="I329" s="6"/>
      <c r="J329" s="52"/>
      <c r="K329" s="33"/>
      <c r="L329" s="5"/>
    </row>
    <row r="330" spans="1:12" x14ac:dyDescent="0.25">
      <c r="A330" s="33"/>
      <c r="B330" s="5"/>
      <c r="C330" s="6"/>
      <c r="D330" s="50"/>
      <c r="E330" s="78"/>
      <c r="F330" s="33"/>
      <c r="G330" s="2"/>
      <c r="H330" s="2"/>
      <c r="I330" s="2"/>
      <c r="J330" s="54"/>
      <c r="K330" s="33"/>
      <c r="L330" s="2"/>
    </row>
    <row r="331" spans="1:12" x14ac:dyDescent="0.25">
      <c r="A331" s="33"/>
      <c r="B331" s="5"/>
      <c r="C331" s="6"/>
      <c r="D331" s="50"/>
      <c r="E331" s="78"/>
      <c r="F331" s="33"/>
      <c r="G331" s="2"/>
      <c r="H331" s="2"/>
      <c r="I331" s="2"/>
      <c r="J331" s="54"/>
      <c r="K331" s="33"/>
      <c r="L331" s="2"/>
    </row>
    <row r="332" spans="1:12" ht="16.5" x14ac:dyDescent="0.3">
      <c r="A332" s="33"/>
      <c r="B332" s="5"/>
      <c r="C332" s="6"/>
      <c r="D332" s="50"/>
      <c r="E332" s="78"/>
      <c r="F332" s="36"/>
      <c r="G332" s="2"/>
      <c r="H332" s="2"/>
      <c r="I332" s="2"/>
      <c r="J332" s="54"/>
      <c r="K332" s="36"/>
      <c r="L332" s="2"/>
    </row>
    <row r="333" spans="1:12" ht="16.5" x14ac:dyDescent="0.3">
      <c r="A333" s="36"/>
      <c r="B333" s="5"/>
      <c r="C333" s="6"/>
      <c r="D333" s="14"/>
      <c r="E333" s="78"/>
      <c r="F333" s="36"/>
      <c r="G333" s="2"/>
      <c r="H333" s="2"/>
      <c r="I333" s="2"/>
      <c r="J333" s="54"/>
      <c r="K333" s="36"/>
      <c r="L333" s="2"/>
    </row>
    <row r="334" spans="1:12" x14ac:dyDescent="0.25">
      <c r="A334" s="3" t="s">
        <v>2</v>
      </c>
      <c r="B334" s="5">
        <f>SUM(B326:B333)</f>
        <v>2.27</v>
      </c>
      <c r="C334" s="6"/>
      <c r="D334" s="14">
        <f>SUM(D326:D333)</f>
        <v>0.11291847000000001</v>
      </c>
      <c r="E334" s="78"/>
      <c r="F334" s="3" t="s">
        <v>2</v>
      </c>
      <c r="G334" s="5">
        <f>SUM(G326:G333)</f>
        <v>6.34</v>
      </c>
      <c r="H334" s="6"/>
      <c r="I334" s="14">
        <f t="shared" ref="I334" si="23">SUM(I326:I333)</f>
        <v>0.31393805000000002</v>
      </c>
      <c r="J334" s="55"/>
      <c r="K334" s="3" t="s">
        <v>2</v>
      </c>
      <c r="L334" s="5">
        <f>SUM(L326:L333)</f>
        <v>0</v>
      </c>
    </row>
    <row r="337" spans="1:12" x14ac:dyDescent="0.25">
      <c r="A337" s="79" t="s">
        <v>138</v>
      </c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1"/>
    </row>
    <row r="338" spans="1:12" x14ac:dyDescent="0.25">
      <c r="A338" s="77" t="s">
        <v>102</v>
      </c>
      <c r="B338" s="77"/>
      <c r="C338" s="77"/>
      <c r="D338" s="77"/>
      <c r="E338" s="78"/>
      <c r="F338" s="77" t="s">
        <v>103</v>
      </c>
      <c r="G338" s="77"/>
      <c r="H338" s="77"/>
      <c r="I338" s="77"/>
      <c r="J338" s="53"/>
      <c r="K338" s="77" t="s">
        <v>25</v>
      </c>
      <c r="L338" s="77"/>
    </row>
    <row r="339" spans="1:12" x14ac:dyDescent="0.25">
      <c r="A339" s="28" t="s">
        <v>90</v>
      </c>
      <c r="B339" s="3" t="s">
        <v>3</v>
      </c>
      <c r="C339" s="3" t="s">
        <v>0</v>
      </c>
      <c r="D339" s="3" t="s">
        <v>1</v>
      </c>
      <c r="E339" s="78"/>
      <c r="F339" s="28" t="s">
        <v>90</v>
      </c>
      <c r="G339" s="3" t="s">
        <v>105</v>
      </c>
      <c r="H339" s="3" t="s">
        <v>0</v>
      </c>
      <c r="I339" s="3" t="s">
        <v>1</v>
      </c>
      <c r="J339" s="53"/>
      <c r="K339" s="3" t="s">
        <v>90</v>
      </c>
      <c r="L339" s="3" t="s">
        <v>105</v>
      </c>
    </row>
    <row r="340" spans="1:12" x14ac:dyDescent="0.25">
      <c r="A340" s="33"/>
      <c r="B340" s="34"/>
      <c r="C340" s="5" t="e">
        <f>B340/D340</f>
        <v>#DIV/0!</v>
      </c>
      <c r="D340" s="50"/>
      <c r="E340" s="78"/>
      <c r="F340" s="33">
        <v>46170</v>
      </c>
      <c r="G340" s="5">
        <v>10</v>
      </c>
      <c r="H340" s="5">
        <f>G340/I340</f>
        <v>9.9114757534230602</v>
      </c>
      <c r="I340" s="6">
        <v>1.0089314899999999</v>
      </c>
      <c r="J340" s="52"/>
      <c r="K340" s="33"/>
      <c r="L340" s="5"/>
    </row>
    <row r="341" spans="1:12" x14ac:dyDescent="0.25">
      <c r="A341" s="33"/>
      <c r="B341" s="34"/>
      <c r="C341" s="5" t="e">
        <f>B341/D341</f>
        <v>#DIV/0!</v>
      </c>
      <c r="D341" s="50"/>
      <c r="E341" s="78"/>
      <c r="F341" s="33"/>
      <c r="G341" s="6"/>
      <c r="H341" s="5"/>
      <c r="I341" s="6"/>
      <c r="J341" s="52"/>
      <c r="K341" s="33"/>
      <c r="L341" s="5"/>
    </row>
    <row r="342" spans="1:12" x14ac:dyDescent="0.25">
      <c r="A342" s="33"/>
      <c r="B342" s="34"/>
      <c r="C342" s="5" t="e">
        <f>B342/D342</f>
        <v>#DIV/0!</v>
      </c>
      <c r="D342" s="50"/>
      <c r="E342" s="78"/>
      <c r="F342" s="33"/>
      <c r="G342" s="6"/>
      <c r="H342" s="5"/>
      <c r="I342" s="6"/>
      <c r="J342" s="52"/>
      <c r="K342" s="33"/>
      <c r="L342" s="5"/>
    </row>
    <row r="343" spans="1:12" x14ac:dyDescent="0.25">
      <c r="A343" s="33"/>
      <c r="B343" s="34"/>
      <c r="C343" s="6"/>
      <c r="D343" s="50"/>
      <c r="E343" s="78"/>
      <c r="F343" s="33"/>
      <c r="G343" s="6"/>
      <c r="H343" s="5"/>
      <c r="I343" s="6"/>
      <c r="J343" s="52"/>
      <c r="K343" s="33"/>
      <c r="L343" s="5"/>
    </row>
    <row r="344" spans="1:12" x14ac:dyDescent="0.25">
      <c r="A344" s="33"/>
      <c r="B344" s="5"/>
      <c r="C344" s="6"/>
      <c r="D344" s="50"/>
      <c r="E344" s="78"/>
      <c r="F344" s="33"/>
      <c r="G344" s="2"/>
      <c r="H344" s="2"/>
      <c r="I344" s="2"/>
      <c r="J344" s="54"/>
      <c r="K344" s="33"/>
      <c r="L344" s="2"/>
    </row>
    <row r="345" spans="1:12" x14ac:dyDescent="0.25">
      <c r="A345" s="33"/>
      <c r="B345" s="5"/>
      <c r="C345" s="6"/>
      <c r="D345" s="50"/>
      <c r="E345" s="78"/>
      <c r="F345" s="33"/>
      <c r="G345" s="2"/>
      <c r="H345" s="2"/>
      <c r="I345" s="2"/>
      <c r="J345" s="54"/>
      <c r="K345" s="33"/>
      <c r="L345" s="2"/>
    </row>
    <row r="346" spans="1:12" ht="16.5" x14ac:dyDescent="0.3">
      <c r="A346" s="33"/>
      <c r="B346" s="5"/>
      <c r="C346" s="6"/>
      <c r="D346" s="50"/>
      <c r="E346" s="78"/>
      <c r="F346" s="36"/>
      <c r="G346" s="2"/>
      <c r="H346" s="2"/>
      <c r="I346" s="2"/>
      <c r="J346" s="54"/>
      <c r="K346" s="36"/>
      <c r="L346" s="2"/>
    </row>
    <row r="347" spans="1:12" ht="16.5" x14ac:dyDescent="0.3">
      <c r="A347" s="36"/>
      <c r="B347" s="5"/>
      <c r="C347" s="6"/>
      <c r="D347" s="14"/>
      <c r="E347" s="78"/>
      <c r="F347" s="36"/>
      <c r="G347" s="2"/>
      <c r="H347" s="2"/>
      <c r="I347" s="2"/>
      <c r="J347" s="54"/>
      <c r="K347" s="36"/>
      <c r="L347" s="2"/>
    </row>
    <row r="348" spans="1:12" x14ac:dyDescent="0.25">
      <c r="A348" s="3" t="s">
        <v>2</v>
      </c>
      <c r="B348" s="5">
        <f>SUM(B340:B347)</f>
        <v>0</v>
      </c>
      <c r="C348" s="6"/>
      <c r="D348" s="14">
        <f>SUM(D340:D347)</f>
        <v>0</v>
      </c>
      <c r="E348" s="78"/>
      <c r="F348" s="3" t="s">
        <v>2</v>
      </c>
      <c r="G348" s="5">
        <f>SUM(G340:G347)</f>
        <v>10</v>
      </c>
      <c r="H348" s="6"/>
      <c r="I348" s="7">
        <f t="shared" ref="I348" si="24">SUM(I340:I347)</f>
        <v>1.0089314899999999</v>
      </c>
      <c r="J348" s="55"/>
      <c r="K348" s="3" t="s">
        <v>2</v>
      </c>
      <c r="L348" s="5">
        <f>SUM(L340:L347)</f>
        <v>0</v>
      </c>
    </row>
    <row r="351" spans="1:12" x14ac:dyDescent="0.25">
      <c r="A351" s="79" t="s">
        <v>141</v>
      </c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1"/>
    </row>
    <row r="352" spans="1:12" x14ac:dyDescent="0.25">
      <c r="A352" s="77" t="s">
        <v>102</v>
      </c>
      <c r="B352" s="77"/>
      <c r="C352" s="77"/>
      <c r="D352" s="77"/>
      <c r="E352" s="78"/>
      <c r="F352" s="77" t="s">
        <v>103</v>
      </c>
      <c r="G352" s="77"/>
      <c r="H352" s="77"/>
      <c r="I352" s="77"/>
      <c r="J352" s="53"/>
      <c r="K352" s="77" t="s">
        <v>25</v>
      </c>
      <c r="L352" s="77"/>
    </row>
    <row r="353" spans="1:12" x14ac:dyDescent="0.25">
      <c r="A353" s="28" t="s">
        <v>90</v>
      </c>
      <c r="B353" s="3" t="s">
        <v>3</v>
      </c>
      <c r="C353" s="3" t="s">
        <v>0</v>
      </c>
      <c r="D353" s="3" t="s">
        <v>1</v>
      </c>
      <c r="E353" s="78"/>
      <c r="F353" s="28" t="s">
        <v>90</v>
      </c>
      <c r="G353" s="3" t="s">
        <v>105</v>
      </c>
      <c r="H353" s="3" t="s">
        <v>0</v>
      </c>
      <c r="I353" s="3" t="s">
        <v>1</v>
      </c>
      <c r="J353" s="53"/>
      <c r="K353" s="3" t="s">
        <v>90</v>
      </c>
      <c r="L353" s="3" t="s">
        <v>105</v>
      </c>
    </row>
    <row r="354" spans="1:12" x14ac:dyDescent="0.25">
      <c r="A354" s="33">
        <v>46146</v>
      </c>
      <c r="B354" s="34">
        <v>3.42</v>
      </c>
      <c r="C354" s="5">
        <f>B354/D354</f>
        <v>296.70012206347127</v>
      </c>
      <c r="D354" s="50">
        <v>1.152679E-2</v>
      </c>
      <c r="E354" s="78"/>
      <c r="F354" s="33">
        <v>46170</v>
      </c>
      <c r="G354" s="6">
        <v>1.35</v>
      </c>
      <c r="H354" s="5">
        <f>G354/I354</f>
        <v>306.10023762448083</v>
      </c>
      <c r="I354" s="6">
        <v>4.4103199999999997E-3</v>
      </c>
      <c r="J354" s="52"/>
      <c r="K354" s="33"/>
      <c r="L354" s="5"/>
    </row>
    <row r="355" spans="1:12" x14ac:dyDescent="0.25">
      <c r="A355" s="33"/>
      <c r="B355" s="34"/>
      <c r="C355" s="5"/>
      <c r="D355" s="50"/>
      <c r="E355" s="78"/>
      <c r="F355" s="33"/>
      <c r="G355" s="6"/>
      <c r="H355" s="5"/>
      <c r="I355" s="6"/>
      <c r="J355" s="52"/>
      <c r="K355" s="33"/>
      <c r="L355" s="5"/>
    </row>
    <row r="356" spans="1:12" x14ac:dyDescent="0.25">
      <c r="A356" s="33"/>
      <c r="B356" s="34"/>
      <c r="C356" s="6"/>
      <c r="D356" s="50"/>
      <c r="E356" s="78"/>
      <c r="F356" s="33"/>
      <c r="G356" s="6"/>
      <c r="H356" s="5"/>
      <c r="I356" s="6"/>
      <c r="J356" s="52"/>
      <c r="K356" s="33"/>
      <c r="L356" s="5"/>
    </row>
    <row r="357" spans="1:12" x14ac:dyDescent="0.25">
      <c r="A357" s="33"/>
      <c r="B357" s="34"/>
      <c r="C357" s="6"/>
      <c r="D357" s="50"/>
      <c r="E357" s="78"/>
      <c r="F357" s="33"/>
      <c r="G357" s="6"/>
      <c r="H357" s="5"/>
      <c r="I357" s="6"/>
      <c r="J357" s="52"/>
      <c r="K357" s="33"/>
      <c r="L357" s="5"/>
    </row>
    <row r="358" spans="1:12" x14ac:dyDescent="0.25">
      <c r="A358" s="33"/>
      <c r="B358" s="5"/>
      <c r="C358" s="6"/>
      <c r="D358" s="50"/>
      <c r="E358" s="78"/>
      <c r="F358" s="33"/>
      <c r="G358" s="2"/>
      <c r="H358" s="2"/>
      <c r="I358" s="2"/>
      <c r="J358" s="54"/>
      <c r="K358" s="33"/>
      <c r="L358" s="2"/>
    </row>
    <row r="359" spans="1:12" x14ac:dyDescent="0.25">
      <c r="A359" s="33"/>
      <c r="B359" s="5"/>
      <c r="C359" s="6"/>
      <c r="D359" s="50"/>
      <c r="E359" s="78"/>
      <c r="F359" s="33"/>
      <c r="G359" s="2"/>
      <c r="H359" s="2"/>
      <c r="I359" s="2"/>
      <c r="J359" s="54"/>
      <c r="K359" s="33"/>
      <c r="L359" s="2"/>
    </row>
    <row r="360" spans="1:12" ht="16.5" x14ac:dyDescent="0.3">
      <c r="A360" s="33"/>
      <c r="B360" s="5"/>
      <c r="C360" s="6"/>
      <c r="D360" s="50"/>
      <c r="E360" s="78"/>
      <c r="F360" s="36"/>
      <c r="G360" s="2"/>
      <c r="H360" s="2"/>
      <c r="I360" s="2"/>
      <c r="J360" s="54"/>
      <c r="K360" s="36"/>
      <c r="L360" s="2"/>
    </row>
    <row r="361" spans="1:12" ht="16.5" x14ac:dyDescent="0.3">
      <c r="A361" s="36"/>
      <c r="B361" s="5"/>
      <c r="C361" s="6"/>
      <c r="D361" s="14"/>
      <c r="E361" s="78"/>
      <c r="F361" s="36"/>
      <c r="G361" s="2"/>
      <c r="H361" s="2"/>
      <c r="I361" s="2"/>
      <c r="J361" s="54"/>
      <c r="K361" s="36"/>
      <c r="L361" s="2"/>
    </row>
    <row r="362" spans="1:12" x14ac:dyDescent="0.25">
      <c r="A362" s="3" t="s">
        <v>2</v>
      </c>
      <c r="B362" s="5">
        <f>SUM(B354:B361)</f>
        <v>3.42</v>
      </c>
      <c r="C362" s="6"/>
      <c r="D362" s="14">
        <f>SUM(D354:D361)</f>
        <v>1.152679E-2</v>
      </c>
      <c r="E362" s="78"/>
      <c r="F362" s="3" t="s">
        <v>2</v>
      </c>
      <c r="G362" s="5">
        <f>SUM(G354:G361)</f>
        <v>1.35</v>
      </c>
      <c r="H362" s="6"/>
      <c r="I362" s="14">
        <f t="shared" ref="I362" si="25">SUM(I354:I361)</f>
        <v>4.4103199999999997E-3</v>
      </c>
      <c r="J362" s="55"/>
      <c r="K362" s="3" t="s">
        <v>2</v>
      </c>
      <c r="L362" s="5">
        <f>SUM(L354:L361)</f>
        <v>0</v>
      </c>
    </row>
    <row r="365" spans="1:12" x14ac:dyDescent="0.25">
      <c r="A365" s="79" t="s">
        <v>144</v>
      </c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1"/>
    </row>
    <row r="366" spans="1:12" x14ac:dyDescent="0.25">
      <c r="A366" s="77" t="s">
        <v>102</v>
      </c>
      <c r="B366" s="77"/>
      <c r="C366" s="77"/>
      <c r="D366" s="77"/>
      <c r="E366" s="78"/>
      <c r="F366" s="77" t="s">
        <v>103</v>
      </c>
      <c r="G366" s="77"/>
      <c r="H366" s="77"/>
      <c r="I366" s="77"/>
      <c r="J366" s="53"/>
      <c r="K366" s="77" t="s">
        <v>25</v>
      </c>
      <c r="L366" s="77"/>
    </row>
    <row r="367" spans="1:12" x14ac:dyDescent="0.25">
      <c r="A367" s="28" t="s">
        <v>90</v>
      </c>
      <c r="B367" s="3" t="s">
        <v>3</v>
      </c>
      <c r="C367" s="3" t="s">
        <v>0</v>
      </c>
      <c r="D367" s="3" t="s">
        <v>1</v>
      </c>
      <c r="E367" s="78"/>
      <c r="F367" s="28" t="s">
        <v>90</v>
      </c>
      <c r="G367" s="3" t="s">
        <v>105</v>
      </c>
      <c r="H367" s="3" t="s">
        <v>0</v>
      </c>
      <c r="I367" s="3" t="s">
        <v>1</v>
      </c>
      <c r="J367" s="53"/>
      <c r="K367" s="3" t="s">
        <v>90</v>
      </c>
      <c r="L367" s="3" t="s">
        <v>105</v>
      </c>
    </row>
    <row r="368" spans="1:12" x14ac:dyDescent="0.25">
      <c r="A368" s="33"/>
      <c r="B368" s="34"/>
      <c r="C368" s="5" t="e">
        <f>B368/D368</f>
        <v>#DIV/0!</v>
      </c>
      <c r="D368" s="50"/>
      <c r="E368" s="78"/>
      <c r="F368" s="33">
        <v>46170</v>
      </c>
      <c r="G368" s="6">
        <v>10.85</v>
      </c>
      <c r="H368" s="5">
        <f>G368/I368</f>
        <v>468.42289996515973</v>
      </c>
      <c r="I368" s="6">
        <v>2.3162829999999999E-2</v>
      </c>
      <c r="J368" s="52"/>
      <c r="K368" s="33"/>
      <c r="L368" s="5"/>
    </row>
    <row r="369" spans="1:12" x14ac:dyDescent="0.25">
      <c r="A369" s="33"/>
      <c r="B369" s="34"/>
      <c r="C369" s="5" t="e">
        <f>B369/D369</f>
        <v>#DIV/0!</v>
      </c>
      <c r="D369" s="50"/>
      <c r="E369" s="78"/>
      <c r="F369" s="33"/>
      <c r="G369" s="6"/>
      <c r="H369" s="5"/>
      <c r="I369" s="6"/>
      <c r="J369" s="52"/>
      <c r="K369" s="33"/>
      <c r="L369" s="5"/>
    </row>
    <row r="370" spans="1:12" x14ac:dyDescent="0.25">
      <c r="A370" s="33"/>
      <c r="B370" s="34"/>
      <c r="C370" s="6"/>
      <c r="D370" s="50"/>
      <c r="E370" s="78"/>
      <c r="F370" s="33"/>
      <c r="G370" s="6"/>
      <c r="H370" s="5"/>
      <c r="I370" s="6"/>
      <c r="J370" s="52"/>
      <c r="K370" s="33"/>
      <c r="L370" s="5"/>
    </row>
    <row r="371" spans="1:12" x14ac:dyDescent="0.25">
      <c r="A371" s="33"/>
      <c r="B371" s="34"/>
      <c r="C371" s="6"/>
      <c r="D371" s="50"/>
      <c r="E371" s="78"/>
      <c r="F371" s="33"/>
      <c r="G371" s="6"/>
      <c r="H371" s="5"/>
      <c r="I371" s="6"/>
      <c r="J371" s="52"/>
      <c r="K371" s="33"/>
      <c r="L371" s="5"/>
    </row>
    <row r="372" spans="1:12" x14ac:dyDescent="0.25">
      <c r="A372" s="33"/>
      <c r="B372" s="5"/>
      <c r="C372" s="6"/>
      <c r="D372" s="50"/>
      <c r="E372" s="78"/>
      <c r="F372" s="33"/>
      <c r="G372" s="2"/>
      <c r="H372" s="2"/>
      <c r="I372" s="2"/>
      <c r="J372" s="54"/>
      <c r="K372" s="33"/>
      <c r="L372" s="2"/>
    </row>
    <row r="373" spans="1:12" x14ac:dyDescent="0.25">
      <c r="A373" s="33"/>
      <c r="B373" s="5"/>
      <c r="C373" s="6"/>
      <c r="D373" s="50"/>
      <c r="E373" s="78"/>
      <c r="F373" s="33"/>
      <c r="G373" s="2"/>
      <c r="H373" s="2"/>
      <c r="I373" s="2"/>
      <c r="J373" s="54"/>
      <c r="K373" s="33"/>
      <c r="L373" s="2"/>
    </row>
    <row r="374" spans="1:12" ht="16.5" x14ac:dyDescent="0.3">
      <c r="A374" s="33"/>
      <c r="B374" s="5"/>
      <c r="C374" s="6"/>
      <c r="D374" s="50"/>
      <c r="E374" s="78"/>
      <c r="F374" s="36"/>
      <c r="G374" s="2"/>
      <c r="H374" s="2"/>
      <c r="I374" s="2"/>
      <c r="J374" s="54"/>
      <c r="K374" s="36"/>
      <c r="L374" s="2"/>
    </row>
    <row r="375" spans="1:12" ht="16.5" x14ac:dyDescent="0.3">
      <c r="A375" s="36"/>
      <c r="B375" s="5"/>
      <c r="C375" s="6"/>
      <c r="D375" s="14"/>
      <c r="E375" s="78"/>
      <c r="F375" s="36"/>
      <c r="G375" s="2"/>
      <c r="H375" s="2"/>
      <c r="I375" s="2"/>
      <c r="J375" s="54"/>
      <c r="K375" s="36"/>
      <c r="L375" s="2"/>
    </row>
    <row r="376" spans="1:12" x14ac:dyDescent="0.25">
      <c r="A376" s="3" t="s">
        <v>2</v>
      </c>
      <c r="B376" s="5">
        <f>SUM(B368:B375)</f>
        <v>0</v>
      </c>
      <c r="C376" s="6"/>
      <c r="D376" s="14">
        <f>SUM(D368:D375)</f>
        <v>0</v>
      </c>
      <c r="E376" s="78"/>
      <c r="F376" s="3" t="s">
        <v>2</v>
      </c>
      <c r="G376" s="5">
        <f>SUM(G368:G375)</f>
        <v>10.85</v>
      </c>
      <c r="H376" s="6"/>
      <c r="I376" s="14">
        <f t="shared" ref="I376" si="26">SUM(I368:I375)</f>
        <v>2.3162829999999999E-2</v>
      </c>
      <c r="J376" s="55"/>
      <c r="K376" s="3" t="s">
        <v>2</v>
      </c>
      <c r="L376" s="5">
        <f>SUM(L368:L375)</f>
        <v>0</v>
      </c>
    </row>
    <row r="379" spans="1:12" x14ac:dyDescent="0.25">
      <c r="A379" s="79" t="s">
        <v>145</v>
      </c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1"/>
    </row>
    <row r="380" spans="1:12" x14ac:dyDescent="0.25">
      <c r="A380" s="77" t="s">
        <v>102</v>
      </c>
      <c r="B380" s="77"/>
      <c r="C380" s="77"/>
      <c r="D380" s="77"/>
      <c r="E380" s="78"/>
      <c r="F380" s="77" t="s">
        <v>103</v>
      </c>
      <c r="G380" s="77"/>
      <c r="H380" s="77"/>
      <c r="I380" s="77"/>
      <c r="J380" s="53"/>
      <c r="K380" s="77" t="s">
        <v>25</v>
      </c>
      <c r="L380" s="77"/>
    </row>
    <row r="381" spans="1:12" x14ac:dyDescent="0.25">
      <c r="A381" s="28" t="s">
        <v>90</v>
      </c>
      <c r="B381" s="3" t="s">
        <v>3</v>
      </c>
      <c r="C381" s="3" t="s">
        <v>0</v>
      </c>
      <c r="D381" s="3" t="s">
        <v>1</v>
      </c>
      <c r="E381" s="78"/>
      <c r="F381" s="28" t="s">
        <v>90</v>
      </c>
      <c r="G381" s="3" t="s">
        <v>105</v>
      </c>
      <c r="H381" s="3" t="s">
        <v>0</v>
      </c>
      <c r="I381" s="3" t="s">
        <v>1</v>
      </c>
      <c r="J381" s="53"/>
      <c r="K381" s="3" t="s">
        <v>90</v>
      </c>
      <c r="L381" s="3" t="s">
        <v>105</v>
      </c>
    </row>
    <row r="382" spans="1:12" x14ac:dyDescent="0.25">
      <c r="A382" s="33"/>
      <c r="B382" s="34"/>
      <c r="C382" s="5" t="e">
        <f>B382/D382</f>
        <v>#DIV/0!</v>
      </c>
      <c r="D382" s="50"/>
      <c r="E382" s="78"/>
      <c r="F382" s="33">
        <v>46170</v>
      </c>
      <c r="G382" s="6">
        <v>2.14</v>
      </c>
      <c r="H382" s="5">
        <f>G382/I382</f>
        <v>103.34075551750298</v>
      </c>
      <c r="I382" s="6">
        <v>2.0708190000000001E-2</v>
      </c>
      <c r="J382" s="52"/>
      <c r="K382" s="33"/>
      <c r="L382" s="5"/>
    </row>
    <row r="383" spans="1:12" x14ac:dyDescent="0.25">
      <c r="A383" s="33"/>
      <c r="B383" s="34"/>
      <c r="C383" s="5" t="e">
        <f>B383/D383</f>
        <v>#DIV/0!</v>
      </c>
      <c r="D383" s="50"/>
      <c r="E383" s="78"/>
      <c r="F383" s="33"/>
      <c r="G383" s="6"/>
      <c r="H383" s="5"/>
      <c r="I383" s="6"/>
      <c r="J383" s="52"/>
      <c r="K383" s="33"/>
      <c r="L383" s="5"/>
    </row>
    <row r="384" spans="1:12" x14ac:dyDescent="0.25">
      <c r="A384" s="33"/>
      <c r="B384" s="34"/>
      <c r="C384" s="6"/>
      <c r="D384" s="50"/>
      <c r="E384" s="78"/>
      <c r="F384" s="33"/>
      <c r="G384" s="6"/>
      <c r="H384" s="5"/>
      <c r="I384" s="6"/>
      <c r="J384" s="52"/>
      <c r="K384" s="33"/>
      <c r="L384" s="5"/>
    </row>
    <row r="385" spans="1:12" x14ac:dyDescent="0.25">
      <c r="A385" s="33"/>
      <c r="B385" s="34"/>
      <c r="C385" s="6"/>
      <c r="D385" s="50"/>
      <c r="E385" s="78"/>
      <c r="F385" s="33"/>
      <c r="G385" s="6"/>
      <c r="H385" s="5"/>
      <c r="I385" s="6"/>
      <c r="J385" s="52"/>
      <c r="K385" s="33"/>
      <c r="L385" s="5"/>
    </row>
    <row r="386" spans="1:12" x14ac:dyDescent="0.25">
      <c r="A386" s="33"/>
      <c r="B386" s="5"/>
      <c r="C386" s="6"/>
      <c r="D386" s="50"/>
      <c r="E386" s="78"/>
      <c r="F386" s="33"/>
      <c r="G386" s="2"/>
      <c r="H386" s="2"/>
      <c r="I386" s="2"/>
      <c r="J386" s="54"/>
      <c r="K386" s="33"/>
      <c r="L386" s="2"/>
    </row>
    <row r="387" spans="1:12" x14ac:dyDescent="0.25">
      <c r="A387" s="33"/>
      <c r="B387" s="5"/>
      <c r="C387" s="6"/>
      <c r="D387" s="50"/>
      <c r="E387" s="78"/>
      <c r="F387" s="33"/>
      <c r="G387" s="2"/>
      <c r="H387" s="2"/>
      <c r="I387" s="2"/>
      <c r="J387" s="54"/>
      <c r="K387" s="33"/>
      <c r="L387" s="2"/>
    </row>
    <row r="388" spans="1:12" ht="16.5" x14ac:dyDescent="0.3">
      <c r="A388" s="33"/>
      <c r="B388" s="5"/>
      <c r="C388" s="6"/>
      <c r="D388" s="50"/>
      <c r="E388" s="78"/>
      <c r="F388" s="36"/>
      <c r="G388" s="2"/>
      <c r="H388" s="2"/>
      <c r="I388" s="2"/>
      <c r="J388" s="54"/>
      <c r="K388" s="36"/>
      <c r="L388" s="2"/>
    </row>
    <row r="389" spans="1:12" ht="16.5" x14ac:dyDescent="0.3">
      <c r="A389" s="36"/>
      <c r="B389" s="5"/>
      <c r="C389" s="6"/>
      <c r="D389" s="14"/>
      <c r="E389" s="78"/>
      <c r="F389" s="36"/>
      <c r="G389" s="2"/>
      <c r="H389" s="2"/>
      <c r="I389" s="2"/>
      <c r="J389" s="54"/>
      <c r="K389" s="36"/>
      <c r="L389" s="2"/>
    </row>
    <row r="390" spans="1:12" x14ac:dyDescent="0.25">
      <c r="A390" s="3" t="s">
        <v>2</v>
      </c>
      <c r="B390" s="5">
        <f>SUM(B382:B389)</f>
        <v>0</v>
      </c>
      <c r="C390" s="6"/>
      <c r="D390" s="14">
        <f>SUM(D382:D389)</f>
        <v>0</v>
      </c>
      <c r="E390" s="78"/>
      <c r="F390" s="3" t="s">
        <v>2</v>
      </c>
      <c r="G390" s="5">
        <f>SUM(G382:G389)</f>
        <v>2.14</v>
      </c>
      <c r="H390" s="6"/>
      <c r="I390" s="14">
        <f t="shared" ref="I390" si="27">SUM(I382:I389)</f>
        <v>2.0708190000000001E-2</v>
      </c>
      <c r="J390" s="55"/>
      <c r="K390" s="3" t="s">
        <v>2</v>
      </c>
      <c r="L390" s="5">
        <f>SUM(L382:L389)</f>
        <v>0</v>
      </c>
    </row>
    <row r="393" spans="1:12" x14ac:dyDescent="0.25">
      <c r="A393" s="79" t="s">
        <v>149</v>
      </c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1"/>
    </row>
    <row r="394" spans="1:12" x14ac:dyDescent="0.25">
      <c r="A394" s="77" t="s">
        <v>102</v>
      </c>
      <c r="B394" s="77"/>
      <c r="C394" s="77"/>
      <c r="D394" s="77"/>
      <c r="E394" s="78"/>
      <c r="F394" s="77" t="s">
        <v>103</v>
      </c>
      <c r="G394" s="77"/>
      <c r="H394" s="77"/>
      <c r="I394" s="77"/>
      <c r="J394" s="53"/>
      <c r="K394" s="77" t="s">
        <v>25</v>
      </c>
      <c r="L394" s="77"/>
    </row>
    <row r="395" spans="1:12" x14ac:dyDescent="0.25">
      <c r="A395" s="28" t="s">
        <v>90</v>
      </c>
      <c r="B395" s="3" t="s">
        <v>3</v>
      </c>
      <c r="C395" s="3" t="s">
        <v>0</v>
      </c>
      <c r="D395" s="3" t="s">
        <v>1</v>
      </c>
      <c r="E395" s="78"/>
      <c r="F395" s="28" t="s">
        <v>90</v>
      </c>
      <c r="G395" s="3" t="s">
        <v>105</v>
      </c>
      <c r="H395" s="3" t="s">
        <v>0</v>
      </c>
      <c r="I395" s="3" t="s">
        <v>1</v>
      </c>
      <c r="J395" s="53"/>
      <c r="K395" s="3" t="s">
        <v>90</v>
      </c>
      <c r="L395" s="3" t="s">
        <v>105</v>
      </c>
    </row>
    <row r="396" spans="1:12" x14ac:dyDescent="0.25">
      <c r="A396" s="33">
        <v>46171</v>
      </c>
      <c r="B396" s="34">
        <v>3.53</v>
      </c>
      <c r="C396" s="5">
        <f>B396/D396</f>
        <v>195.66000609705401</v>
      </c>
      <c r="D396" s="50">
        <v>1.8041499999999999E-2</v>
      </c>
      <c r="E396" s="78"/>
      <c r="F396" s="33"/>
      <c r="G396" s="6"/>
      <c r="H396" s="5" t="e">
        <f>G396/I396</f>
        <v>#DIV/0!</v>
      </c>
      <c r="I396" s="6"/>
      <c r="J396" s="52"/>
      <c r="K396" s="33"/>
      <c r="L396" s="5"/>
    </row>
    <row r="397" spans="1:12" x14ac:dyDescent="0.25">
      <c r="A397" s="33"/>
      <c r="B397" s="34"/>
      <c r="C397" s="5" t="e">
        <f>B397/D397</f>
        <v>#DIV/0!</v>
      </c>
      <c r="D397" s="50"/>
      <c r="E397" s="78"/>
      <c r="F397" s="33"/>
      <c r="G397" s="6"/>
      <c r="H397" s="5"/>
      <c r="I397" s="6"/>
      <c r="J397" s="52"/>
      <c r="K397" s="33"/>
      <c r="L397" s="5"/>
    </row>
    <row r="398" spans="1:12" x14ac:dyDescent="0.25">
      <c r="A398" s="33"/>
      <c r="B398" s="34"/>
      <c r="C398" s="6"/>
      <c r="D398" s="50"/>
      <c r="E398" s="78"/>
      <c r="F398" s="33"/>
      <c r="G398" s="6"/>
      <c r="H398" s="5"/>
      <c r="I398" s="6"/>
      <c r="J398" s="52"/>
      <c r="K398" s="33"/>
      <c r="L398" s="5"/>
    </row>
    <row r="399" spans="1:12" x14ac:dyDescent="0.25">
      <c r="A399" s="33"/>
      <c r="B399" s="34"/>
      <c r="C399" s="6"/>
      <c r="D399" s="50"/>
      <c r="E399" s="78"/>
      <c r="F399" s="33"/>
      <c r="G399" s="6"/>
      <c r="H399" s="5"/>
      <c r="I399" s="6"/>
      <c r="J399" s="52"/>
      <c r="K399" s="33"/>
      <c r="L399" s="5"/>
    </row>
    <row r="400" spans="1:12" x14ac:dyDescent="0.25">
      <c r="A400" s="33"/>
      <c r="B400" s="5"/>
      <c r="C400" s="6"/>
      <c r="D400" s="50"/>
      <c r="E400" s="78"/>
      <c r="F400" s="33"/>
      <c r="G400" s="2"/>
      <c r="H400" s="2"/>
      <c r="I400" s="2"/>
      <c r="J400" s="54"/>
      <c r="K400" s="33"/>
      <c r="L400" s="2"/>
    </row>
    <row r="401" spans="1:12" x14ac:dyDescent="0.25">
      <c r="A401" s="33"/>
      <c r="B401" s="5"/>
      <c r="C401" s="6"/>
      <c r="D401" s="50"/>
      <c r="E401" s="78"/>
      <c r="F401" s="33"/>
      <c r="G401" s="2"/>
      <c r="H401" s="2"/>
      <c r="I401" s="2"/>
      <c r="J401" s="54"/>
      <c r="K401" s="33"/>
      <c r="L401" s="2"/>
    </row>
    <row r="402" spans="1:12" ht="16.5" x14ac:dyDescent="0.3">
      <c r="A402" s="33"/>
      <c r="B402" s="5"/>
      <c r="C402" s="6"/>
      <c r="D402" s="50"/>
      <c r="E402" s="78"/>
      <c r="F402" s="36"/>
      <c r="G402" s="2"/>
      <c r="H402" s="2"/>
      <c r="I402" s="2"/>
      <c r="J402" s="54"/>
      <c r="K402" s="36"/>
      <c r="L402" s="2"/>
    </row>
    <row r="403" spans="1:12" ht="16.5" x14ac:dyDescent="0.3">
      <c r="A403" s="36"/>
      <c r="B403" s="5"/>
      <c r="C403" s="6"/>
      <c r="D403" s="14"/>
      <c r="E403" s="78"/>
      <c r="F403" s="36"/>
      <c r="G403" s="2"/>
      <c r="H403" s="2"/>
      <c r="I403" s="2"/>
      <c r="J403" s="54"/>
      <c r="K403" s="36"/>
      <c r="L403" s="2"/>
    </row>
    <row r="404" spans="1:12" x14ac:dyDescent="0.25">
      <c r="A404" s="3" t="s">
        <v>2</v>
      </c>
      <c r="B404" s="5">
        <f>SUM(B396:B403)</f>
        <v>3.53</v>
      </c>
      <c r="C404" s="6"/>
      <c r="D404" s="14">
        <f>SUM(D396:D403)</f>
        <v>1.8041499999999999E-2</v>
      </c>
      <c r="E404" s="78"/>
      <c r="F404" s="3" t="s">
        <v>2</v>
      </c>
      <c r="G404" s="5">
        <f>SUM(G396:G403)</f>
        <v>0</v>
      </c>
      <c r="H404" s="6"/>
      <c r="I404" s="14">
        <f t="shared" ref="I404" si="28">SUM(I396:I403)</f>
        <v>0</v>
      </c>
      <c r="J404" s="55"/>
      <c r="K404" s="3" t="s">
        <v>2</v>
      </c>
      <c r="L404" s="5">
        <f>SUM(L396:L403)</f>
        <v>0</v>
      </c>
    </row>
    <row r="407" spans="1:12" x14ac:dyDescent="0.25">
      <c r="A407" s="79" t="s">
        <v>150</v>
      </c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1"/>
    </row>
    <row r="408" spans="1:12" x14ac:dyDescent="0.25">
      <c r="A408" s="77" t="s">
        <v>102</v>
      </c>
      <c r="B408" s="77"/>
      <c r="C408" s="77"/>
      <c r="D408" s="77"/>
      <c r="E408" s="78"/>
      <c r="F408" s="77" t="s">
        <v>103</v>
      </c>
      <c r="G408" s="77"/>
      <c r="H408" s="77"/>
      <c r="I408" s="77"/>
      <c r="J408" s="53"/>
      <c r="K408" s="77" t="s">
        <v>25</v>
      </c>
      <c r="L408" s="77"/>
    </row>
    <row r="409" spans="1:12" x14ac:dyDescent="0.25">
      <c r="A409" s="28" t="s">
        <v>90</v>
      </c>
      <c r="B409" s="3" t="s">
        <v>3</v>
      </c>
      <c r="C409" s="3" t="s">
        <v>0</v>
      </c>
      <c r="D409" s="3" t="s">
        <v>1</v>
      </c>
      <c r="E409" s="78"/>
      <c r="F409" s="28" t="s">
        <v>90</v>
      </c>
      <c r="G409" s="3" t="s">
        <v>105</v>
      </c>
      <c r="H409" s="3" t="s">
        <v>0</v>
      </c>
      <c r="I409" s="3" t="s">
        <v>1</v>
      </c>
      <c r="J409" s="53"/>
      <c r="K409" s="3" t="s">
        <v>90</v>
      </c>
      <c r="L409" s="3" t="s">
        <v>105</v>
      </c>
    </row>
    <row r="410" spans="1:12" x14ac:dyDescent="0.25">
      <c r="A410" s="33">
        <v>46171</v>
      </c>
      <c r="B410" s="34">
        <v>9.42</v>
      </c>
      <c r="C410" s="5">
        <f>B410/D410</f>
        <v>36.634700621770989</v>
      </c>
      <c r="D410" s="50">
        <v>0.25713325999999997</v>
      </c>
      <c r="E410" s="78"/>
      <c r="F410" s="33"/>
      <c r="G410" s="6"/>
      <c r="H410" s="5" t="e">
        <f>G410/I410</f>
        <v>#DIV/0!</v>
      </c>
      <c r="I410" s="6"/>
      <c r="J410" s="52"/>
      <c r="K410" s="33"/>
      <c r="L410" s="5"/>
    </row>
    <row r="411" spans="1:12" x14ac:dyDescent="0.25">
      <c r="A411" s="33"/>
      <c r="B411" s="34"/>
      <c r="C411" s="5" t="e">
        <f>B411/D411</f>
        <v>#DIV/0!</v>
      </c>
      <c r="D411" s="50"/>
      <c r="E411" s="78"/>
      <c r="F411" s="33"/>
      <c r="G411" s="6"/>
      <c r="H411" s="5"/>
      <c r="I411" s="6"/>
      <c r="J411" s="52"/>
      <c r="K411" s="33"/>
      <c r="L411" s="5"/>
    </row>
    <row r="412" spans="1:12" x14ac:dyDescent="0.25">
      <c r="A412" s="33"/>
      <c r="B412" s="34"/>
      <c r="C412" s="6"/>
      <c r="D412" s="50"/>
      <c r="E412" s="78"/>
      <c r="F412" s="33"/>
      <c r="G412" s="6"/>
      <c r="H412" s="5"/>
      <c r="I412" s="6"/>
      <c r="J412" s="52"/>
      <c r="K412" s="33"/>
      <c r="L412" s="5"/>
    </row>
    <row r="413" spans="1:12" x14ac:dyDescent="0.25">
      <c r="A413" s="33"/>
      <c r="B413" s="34"/>
      <c r="C413" s="6"/>
      <c r="D413" s="50"/>
      <c r="E413" s="78"/>
      <c r="F413" s="33"/>
      <c r="G413" s="6"/>
      <c r="H413" s="5"/>
      <c r="I413" s="6"/>
      <c r="J413" s="52"/>
      <c r="K413" s="33"/>
      <c r="L413" s="5"/>
    </row>
    <row r="414" spans="1:12" x14ac:dyDescent="0.25">
      <c r="A414" s="33"/>
      <c r="B414" s="5"/>
      <c r="C414" s="6"/>
      <c r="D414" s="50"/>
      <c r="E414" s="78"/>
      <c r="F414" s="33"/>
      <c r="G414" s="2"/>
      <c r="H414" s="2"/>
      <c r="I414" s="2"/>
      <c r="J414" s="54"/>
      <c r="K414" s="33"/>
      <c r="L414" s="2"/>
    </row>
    <row r="415" spans="1:12" x14ac:dyDescent="0.25">
      <c r="A415" s="33"/>
      <c r="B415" s="5"/>
      <c r="C415" s="6"/>
      <c r="D415" s="50"/>
      <c r="E415" s="78"/>
      <c r="F415" s="33"/>
      <c r="G415" s="2"/>
      <c r="H415" s="2"/>
      <c r="I415" s="2"/>
      <c r="J415" s="54"/>
      <c r="K415" s="33"/>
      <c r="L415" s="2"/>
    </row>
    <row r="416" spans="1:12" ht="16.5" x14ac:dyDescent="0.3">
      <c r="A416" s="33"/>
      <c r="B416" s="5"/>
      <c r="C416" s="6"/>
      <c r="D416" s="50"/>
      <c r="E416" s="78"/>
      <c r="F416" s="36"/>
      <c r="G416" s="2"/>
      <c r="H416" s="2"/>
      <c r="I416" s="2"/>
      <c r="J416" s="54"/>
      <c r="K416" s="36"/>
      <c r="L416" s="2"/>
    </row>
    <row r="417" spans="1:12" ht="16.5" x14ac:dyDescent="0.3">
      <c r="A417" s="36"/>
      <c r="B417" s="5"/>
      <c r="C417" s="6"/>
      <c r="D417" s="14"/>
      <c r="E417" s="78"/>
      <c r="F417" s="36"/>
      <c r="G417" s="2"/>
      <c r="H417" s="2"/>
      <c r="I417" s="2"/>
      <c r="J417" s="54"/>
      <c r="K417" s="36"/>
      <c r="L417" s="2"/>
    </row>
    <row r="418" spans="1:12" x14ac:dyDescent="0.25">
      <c r="A418" s="3" t="s">
        <v>2</v>
      </c>
      <c r="B418" s="5">
        <f>SUM(B410:B417)</f>
        <v>9.42</v>
      </c>
      <c r="C418" s="6"/>
      <c r="D418" s="14">
        <f>SUM(D410:D417)</f>
        <v>0.25713325999999997</v>
      </c>
      <c r="E418" s="78"/>
      <c r="F418" s="3" t="s">
        <v>2</v>
      </c>
      <c r="G418" s="5">
        <f>SUM(G410:G417)</f>
        <v>0</v>
      </c>
      <c r="H418" s="6"/>
      <c r="I418" s="14">
        <f t="shared" ref="I418" si="29">SUM(I410:I417)</f>
        <v>0</v>
      </c>
      <c r="J418" s="55"/>
      <c r="K418" s="3" t="s">
        <v>2</v>
      </c>
      <c r="L418" s="5">
        <f>SUM(L410:L417)</f>
        <v>0</v>
      </c>
    </row>
  </sheetData>
  <mergeCells count="152">
    <mergeCell ref="A393:L393"/>
    <mergeCell ref="A394:D394"/>
    <mergeCell ref="E394:E404"/>
    <mergeCell ref="F394:I394"/>
    <mergeCell ref="K394:L394"/>
    <mergeCell ref="A407:L407"/>
    <mergeCell ref="A408:D408"/>
    <mergeCell ref="E408:E418"/>
    <mergeCell ref="F408:I408"/>
    <mergeCell ref="K408:L408"/>
    <mergeCell ref="A15:L15"/>
    <mergeCell ref="A16:D16"/>
    <mergeCell ref="E16:E26"/>
    <mergeCell ref="F16:I16"/>
    <mergeCell ref="K16:L16"/>
    <mergeCell ref="A29:L29"/>
    <mergeCell ref="A2:L2"/>
    <mergeCell ref="N2:T2"/>
    <mergeCell ref="A3:D3"/>
    <mergeCell ref="E3:E13"/>
    <mergeCell ref="F3:I3"/>
    <mergeCell ref="K3:L3"/>
    <mergeCell ref="N3:T3"/>
    <mergeCell ref="A57:L57"/>
    <mergeCell ref="A58:D58"/>
    <mergeCell ref="E58:E68"/>
    <mergeCell ref="F58:I58"/>
    <mergeCell ref="K58:L58"/>
    <mergeCell ref="A71:L71"/>
    <mergeCell ref="A30:D30"/>
    <mergeCell ref="E30:E40"/>
    <mergeCell ref="F30:I30"/>
    <mergeCell ref="K30:L30"/>
    <mergeCell ref="A43:L43"/>
    <mergeCell ref="A44:D44"/>
    <mergeCell ref="E44:E54"/>
    <mergeCell ref="F44:I44"/>
    <mergeCell ref="K44:L44"/>
    <mergeCell ref="A99:L99"/>
    <mergeCell ref="A100:D100"/>
    <mergeCell ref="E100:E110"/>
    <mergeCell ref="F100:I100"/>
    <mergeCell ref="K100:L100"/>
    <mergeCell ref="A113:L113"/>
    <mergeCell ref="A72:D72"/>
    <mergeCell ref="E72:E82"/>
    <mergeCell ref="F72:I72"/>
    <mergeCell ref="K72:L72"/>
    <mergeCell ref="A85:L85"/>
    <mergeCell ref="A86:D86"/>
    <mergeCell ref="E86:E96"/>
    <mergeCell ref="F86:I86"/>
    <mergeCell ref="K86:L86"/>
    <mergeCell ref="A141:L141"/>
    <mergeCell ref="A142:D142"/>
    <mergeCell ref="E142:E152"/>
    <mergeCell ref="F142:I142"/>
    <mergeCell ref="K142:L142"/>
    <mergeCell ref="A155:L155"/>
    <mergeCell ref="A114:D114"/>
    <mergeCell ref="E114:E124"/>
    <mergeCell ref="F114:I114"/>
    <mergeCell ref="K114:L114"/>
    <mergeCell ref="A127:L127"/>
    <mergeCell ref="A128:D128"/>
    <mergeCell ref="E128:E138"/>
    <mergeCell ref="F128:I128"/>
    <mergeCell ref="K128:L128"/>
    <mergeCell ref="A183:L183"/>
    <mergeCell ref="A184:D184"/>
    <mergeCell ref="E184:E194"/>
    <mergeCell ref="F184:I184"/>
    <mergeCell ref="K184:L184"/>
    <mergeCell ref="A197:L197"/>
    <mergeCell ref="A156:D156"/>
    <mergeCell ref="E156:E166"/>
    <mergeCell ref="F156:I156"/>
    <mergeCell ref="K156:L156"/>
    <mergeCell ref="A169:L169"/>
    <mergeCell ref="A170:D170"/>
    <mergeCell ref="E170:E180"/>
    <mergeCell ref="F170:I170"/>
    <mergeCell ref="K170:L170"/>
    <mergeCell ref="A225:L225"/>
    <mergeCell ref="A226:D226"/>
    <mergeCell ref="E226:E236"/>
    <mergeCell ref="F226:I226"/>
    <mergeCell ref="K226:L226"/>
    <mergeCell ref="A239:L239"/>
    <mergeCell ref="A198:D198"/>
    <mergeCell ref="E198:E208"/>
    <mergeCell ref="F198:I198"/>
    <mergeCell ref="K198:L198"/>
    <mergeCell ref="A211:L211"/>
    <mergeCell ref="A212:D212"/>
    <mergeCell ref="E212:E222"/>
    <mergeCell ref="F212:I212"/>
    <mergeCell ref="K212:L212"/>
    <mergeCell ref="A267:L267"/>
    <mergeCell ref="A268:D268"/>
    <mergeCell ref="E268:E278"/>
    <mergeCell ref="F268:I268"/>
    <mergeCell ref="K268:L268"/>
    <mergeCell ref="A281:L281"/>
    <mergeCell ref="A240:D240"/>
    <mergeCell ref="E240:E250"/>
    <mergeCell ref="F240:I240"/>
    <mergeCell ref="K240:L240"/>
    <mergeCell ref="A253:L253"/>
    <mergeCell ref="A254:D254"/>
    <mergeCell ref="E254:E264"/>
    <mergeCell ref="F254:I254"/>
    <mergeCell ref="K254:L254"/>
    <mergeCell ref="A309:L309"/>
    <mergeCell ref="A310:D310"/>
    <mergeCell ref="E310:E320"/>
    <mergeCell ref="F310:I310"/>
    <mergeCell ref="K310:L310"/>
    <mergeCell ref="A323:L323"/>
    <mergeCell ref="A282:D282"/>
    <mergeCell ref="E282:E292"/>
    <mergeCell ref="F282:I282"/>
    <mergeCell ref="K282:L282"/>
    <mergeCell ref="A295:L295"/>
    <mergeCell ref="A296:D296"/>
    <mergeCell ref="E296:E306"/>
    <mergeCell ref="F296:I296"/>
    <mergeCell ref="K296:L296"/>
    <mergeCell ref="A351:L351"/>
    <mergeCell ref="A352:D352"/>
    <mergeCell ref="E352:E362"/>
    <mergeCell ref="F352:I352"/>
    <mergeCell ref="K352:L352"/>
    <mergeCell ref="A365:L365"/>
    <mergeCell ref="A324:D324"/>
    <mergeCell ref="E324:E334"/>
    <mergeCell ref="F324:I324"/>
    <mergeCell ref="K324:L324"/>
    <mergeCell ref="A337:L337"/>
    <mergeCell ref="A338:D338"/>
    <mergeCell ref="E338:E348"/>
    <mergeCell ref="F338:I338"/>
    <mergeCell ref="K338:L338"/>
    <mergeCell ref="A366:D366"/>
    <mergeCell ref="E366:E376"/>
    <mergeCell ref="F366:I366"/>
    <mergeCell ref="K366:L366"/>
    <mergeCell ref="A379:L379"/>
    <mergeCell ref="A380:D380"/>
    <mergeCell ref="E380:E390"/>
    <mergeCell ref="F380:I380"/>
    <mergeCell ref="K380:L380"/>
  </mergeCells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2E12-1913-4ED6-9D28-C4941D49972E}">
  <dimension ref="A2:U390"/>
  <sheetViews>
    <sheetView workbookViewId="0">
      <pane ySplit="14" topLeftCell="A267" activePane="bottomLeft" state="frozen"/>
      <selection pane="bottomLeft" activeCell="S288" sqref="S288"/>
    </sheetView>
  </sheetViews>
  <sheetFormatPr defaultRowHeight="15" x14ac:dyDescent="0.25"/>
  <cols>
    <col min="1" max="3" width="10.7109375" customWidth="1"/>
    <col min="4" max="4" width="15.7109375" customWidth="1"/>
    <col min="5" max="5" width="2.7109375" customWidth="1"/>
    <col min="6" max="8" width="10.7109375" customWidth="1"/>
    <col min="9" max="9" width="15.7109375" customWidth="1"/>
    <col min="10" max="10" width="2.7109375" customWidth="1"/>
    <col min="11" max="12" width="10.7109375" customWidth="1"/>
    <col min="14" max="20" width="10.7109375" customWidth="1"/>
  </cols>
  <sheetData>
    <row r="2" spans="1:2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N2" s="92" t="s">
        <v>106</v>
      </c>
      <c r="O2" s="80"/>
      <c r="P2" s="80"/>
      <c r="Q2" s="80"/>
      <c r="R2" s="80"/>
      <c r="S2" s="80"/>
      <c r="T2" s="81"/>
    </row>
    <row r="3" spans="1:21" x14ac:dyDescent="0.25">
      <c r="A3" s="93"/>
      <c r="B3" s="93"/>
      <c r="C3" s="93"/>
      <c r="D3" s="93"/>
      <c r="E3" s="94"/>
      <c r="F3" s="93"/>
      <c r="G3" s="93"/>
      <c r="H3" s="93"/>
      <c r="I3" s="93"/>
      <c r="J3" s="38"/>
      <c r="K3" s="93"/>
      <c r="L3" s="93"/>
      <c r="N3" s="79" t="s">
        <v>8</v>
      </c>
      <c r="O3" s="80"/>
      <c r="P3" s="80"/>
      <c r="Q3" s="80"/>
      <c r="R3" s="80"/>
      <c r="S3" s="80"/>
      <c r="T3" s="81"/>
    </row>
    <row r="4" spans="1:21" x14ac:dyDescent="0.25">
      <c r="A4" s="39"/>
      <c r="B4" s="38"/>
      <c r="C4" s="38"/>
      <c r="D4" s="38"/>
      <c r="E4" s="94"/>
      <c r="F4" s="39"/>
      <c r="G4" s="38"/>
      <c r="H4" s="38"/>
      <c r="I4" s="38"/>
      <c r="J4" s="38"/>
      <c r="K4" s="38"/>
      <c r="L4" s="38"/>
      <c r="N4" s="28" t="s">
        <v>90</v>
      </c>
      <c r="O4" s="3" t="s">
        <v>3</v>
      </c>
      <c r="P4" s="3" t="s">
        <v>104</v>
      </c>
      <c r="Q4" s="3" t="s">
        <v>107</v>
      </c>
      <c r="R4" s="3" t="s">
        <v>23</v>
      </c>
      <c r="S4" s="3" t="s">
        <v>25</v>
      </c>
      <c r="T4" s="3" t="s">
        <v>11</v>
      </c>
      <c r="U4" s="66"/>
    </row>
    <row r="5" spans="1:21" x14ac:dyDescent="0.25">
      <c r="A5" s="40"/>
      <c r="B5" s="41"/>
      <c r="C5" s="1"/>
      <c r="D5" s="42"/>
      <c r="E5" s="94"/>
      <c r="F5" s="40"/>
      <c r="G5" s="1"/>
      <c r="H5" s="9"/>
      <c r="I5" s="1"/>
      <c r="J5" s="1"/>
      <c r="K5" s="40"/>
      <c r="L5" s="9"/>
      <c r="N5" s="47">
        <v>46113</v>
      </c>
      <c r="O5" s="5">
        <v>15</v>
      </c>
      <c r="P5" s="5">
        <f>B26+B40+B54+B68+B82+B96+B110+B124+B138+B152+B166+B180+B194+B208+B222+B236+B250+B264+B278+B292+B306+B320+B334+B348+B362+B376+B390+B404+B418</f>
        <v>471.95999999999992</v>
      </c>
      <c r="Q5" s="5">
        <f>G26+G40+G54+G68+G82+G96+G110+G124+G138+G152+G166+G180+G194+G208+G222+G236+G250+G264+G278+G292+G306+G320+G334+G348+G362+G376+G390+G404+G418</f>
        <v>446.51962407489992</v>
      </c>
      <c r="R5" s="5">
        <f>O5-P5+Q5</f>
        <v>-10.4403759251</v>
      </c>
      <c r="S5" s="5">
        <f>L26+L40+L54+L68+L82+L96+L110+L124+L138+L152+L166+L180+L194+L208+L222+L236+L250+L264+L278+L292+L306+L320+L334+L348+L362+L376+L390+L404+L418</f>
        <v>2.4400000000000004</v>
      </c>
      <c r="T5" s="6">
        <v>0.22</v>
      </c>
    </row>
    <row r="6" spans="1:21" x14ac:dyDescent="0.25">
      <c r="A6" s="40"/>
      <c r="B6" s="41"/>
      <c r="C6" s="1"/>
      <c r="D6" s="42"/>
      <c r="E6" s="94"/>
      <c r="F6" s="40"/>
      <c r="G6" s="1"/>
      <c r="H6" s="9"/>
      <c r="I6" s="1"/>
      <c r="J6" s="1"/>
      <c r="K6" s="40"/>
      <c r="L6" s="9"/>
      <c r="N6" s="48"/>
      <c r="O6" s="5"/>
      <c r="P6" s="5"/>
      <c r="Q6" s="5"/>
      <c r="R6" s="5"/>
      <c r="S6" s="48"/>
      <c r="T6" s="5"/>
      <c r="U6" s="58"/>
    </row>
    <row r="7" spans="1:21" x14ac:dyDescent="0.25">
      <c r="A7" s="40"/>
      <c r="B7" s="41"/>
      <c r="C7" s="1"/>
      <c r="D7" s="42"/>
      <c r="E7" s="94"/>
      <c r="F7" s="40"/>
      <c r="G7" s="1"/>
      <c r="H7" s="9"/>
      <c r="I7" s="1"/>
      <c r="J7" s="1"/>
      <c r="K7" s="40"/>
      <c r="L7" s="9"/>
      <c r="N7" s="48"/>
      <c r="O7" s="5"/>
      <c r="P7" s="5"/>
      <c r="Q7" s="5"/>
      <c r="R7" s="5"/>
      <c r="S7" s="48"/>
      <c r="T7" s="5"/>
    </row>
    <row r="8" spans="1:21" x14ac:dyDescent="0.25">
      <c r="A8" s="40"/>
      <c r="B8" s="41"/>
      <c r="C8" s="1"/>
      <c r="D8" s="42"/>
      <c r="E8" s="94"/>
      <c r="F8" s="40"/>
      <c r="G8" s="1"/>
      <c r="H8" s="9"/>
      <c r="I8" s="1"/>
      <c r="J8" s="1"/>
      <c r="K8" s="40"/>
      <c r="L8" s="9"/>
      <c r="N8" s="48"/>
      <c r="O8" s="5"/>
      <c r="P8" s="5"/>
      <c r="Q8" s="5"/>
      <c r="R8" s="5"/>
      <c r="S8" s="48"/>
      <c r="T8" s="5"/>
    </row>
    <row r="9" spans="1:21" x14ac:dyDescent="0.25">
      <c r="A9" s="40"/>
      <c r="B9" s="9"/>
      <c r="C9" s="1"/>
      <c r="D9" s="43"/>
      <c r="E9" s="94"/>
      <c r="F9" s="40"/>
      <c r="K9" s="40"/>
      <c r="N9" s="48"/>
      <c r="O9" s="5"/>
      <c r="P9" s="5"/>
      <c r="Q9" s="5"/>
      <c r="R9" s="5"/>
      <c r="S9" s="48"/>
      <c r="T9" s="5"/>
    </row>
    <row r="10" spans="1:21" ht="15" customHeight="1" x14ac:dyDescent="0.3">
      <c r="A10" s="40"/>
      <c r="B10" s="9"/>
      <c r="C10" s="1"/>
      <c r="D10" s="43"/>
      <c r="E10" s="94"/>
      <c r="F10" s="44"/>
      <c r="K10" s="44"/>
      <c r="N10" s="48"/>
      <c r="O10" s="5"/>
      <c r="P10" s="5"/>
      <c r="Q10" s="5"/>
      <c r="R10" s="5"/>
      <c r="S10" s="48"/>
      <c r="T10" s="2"/>
    </row>
    <row r="11" spans="1:21" ht="15" customHeight="1" x14ac:dyDescent="0.3">
      <c r="A11" s="40"/>
      <c r="B11" s="9"/>
      <c r="C11" s="1"/>
      <c r="D11" s="43"/>
      <c r="E11" s="94"/>
      <c r="F11" s="44"/>
      <c r="K11" s="44"/>
      <c r="N11" s="48"/>
      <c r="O11" s="5"/>
      <c r="P11" s="5"/>
      <c r="Q11" s="5"/>
      <c r="R11" s="5"/>
      <c r="S11" s="48"/>
      <c r="T11" s="2"/>
    </row>
    <row r="12" spans="1:21" ht="15" customHeight="1" x14ac:dyDescent="0.3">
      <c r="A12" s="44"/>
      <c r="B12" s="9"/>
      <c r="C12" s="1"/>
      <c r="D12" s="45"/>
      <c r="E12" s="94"/>
      <c r="F12" s="44"/>
      <c r="K12" s="44"/>
      <c r="N12" s="48"/>
      <c r="O12" s="5"/>
      <c r="P12" s="5"/>
      <c r="Q12" s="5"/>
      <c r="R12" s="5"/>
      <c r="S12" s="49"/>
      <c r="T12" s="2"/>
    </row>
    <row r="13" spans="1:21" ht="15" customHeight="1" x14ac:dyDescent="0.25">
      <c r="A13" s="38"/>
      <c r="B13" s="9"/>
      <c r="C13" s="1"/>
      <c r="D13" s="12"/>
      <c r="E13" s="94"/>
      <c r="F13" s="38"/>
      <c r="G13" s="9"/>
      <c r="H13" s="1"/>
      <c r="I13" s="12"/>
      <c r="J13" s="46"/>
      <c r="K13" s="38"/>
      <c r="L13" s="9"/>
      <c r="N13" s="3" t="s">
        <v>2</v>
      </c>
      <c r="O13" s="5">
        <f>SUM(O5:O12)</f>
        <v>15</v>
      </c>
      <c r="P13" s="5">
        <f t="shared" ref="P13:T13" si="0">SUM(P5:P12)</f>
        <v>471.95999999999992</v>
      </c>
      <c r="Q13" s="5">
        <f t="shared" si="0"/>
        <v>446.51962407489992</v>
      </c>
      <c r="R13" s="5">
        <f t="shared" si="0"/>
        <v>-10.4403759251</v>
      </c>
      <c r="S13" s="5">
        <f t="shared" si="0"/>
        <v>2.4400000000000004</v>
      </c>
      <c r="T13" s="5">
        <f t="shared" si="0"/>
        <v>0.22</v>
      </c>
    </row>
    <row r="14" spans="1:21" ht="15" customHeight="1" x14ac:dyDescent="0.25">
      <c r="A14" s="38"/>
      <c r="B14" s="9"/>
      <c r="C14" s="1"/>
      <c r="D14" s="12"/>
      <c r="E14" s="1"/>
      <c r="F14" s="38"/>
      <c r="G14" s="9"/>
      <c r="H14" s="1"/>
      <c r="I14" s="12"/>
      <c r="J14" s="46"/>
      <c r="K14" s="38"/>
      <c r="L14" s="9"/>
      <c r="N14" s="38"/>
      <c r="O14" s="9"/>
      <c r="P14" s="9"/>
      <c r="Q14" s="9"/>
      <c r="R14" s="9"/>
      <c r="S14" s="38"/>
      <c r="T14" s="9"/>
    </row>
    <row r="15" spans="1:21" ht="15" customHeight="1" x14ac:dyDescent="0.25">
      <c r="A15" s="82" t="s">
        <v>14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4"/>
      <c r="N15" s="38"/>
      <c r="O15" s="9"/>
      <c r="P15" s="9"/>
      <c r="Q15" s="9"/>
      <c r="R15" s="9"/>
      <c r="S15" s="38"/>
      <c r="T15" s="9"/>
    </row>
    <row r="16" spans="1:21" x14ac:dyDescent="0.25">
      <c r="A16" s="71" t="s">
        <v>102</v>
      </c>
      <c r="B16" s="76"/>
      <c r="C16" s="76"/>
      <c r="D16" s="72"/>
      <c r="E16" s="85"/>
      <c r="F16" s="88" t="s">
        <v>103</v>
      </c>
      <c r="G16" s="89"/>
      <c r="H16" s="89"/>
      <c r="I16" s="90"/>
      <c r="J16" s="30"/>
      <c r="K16" s="71" t="s">
        <v>25</v>
      </c>
      <c r="L16" s="72"/>
      <c r="N16" s="38"/>
      <c r="O16" s="9"/>
      <c r="P16" s="9"/>
      <c r="Q16" s="9"/>
      <c r="R16" s="9"/>
      <c r="S16" s="38"/>
      <c r="T16" s="9"/>
    </row>
    <row r="17" spans="1:20" x14ac:dyDescent="0.25">
      <c r="A17" s="28" t="s">
        <v>90</v>
      </c>
      <c r="B17" s="3" t="s">
        <v>3</v>
      </c>
      <c r="C17" s="3" t="s">
        <v>0</v>
      </c>
      <c r="D17" s="3" t="s">
        <v>1</v>
      </c>
      <c r="E17" s="86"/>
      <c r="F17" s="28" t="s">
        <v>90</v>
      </c>
      <c r="G17" s="3" t="s">
        <v>105</v>
      </c>
      <c r="H17" s="3" t="s">
        <v>0</v>
      </c>
      <c r="I17" s="3" t="s">
        <v>1</v>
      </c>
      <c r="J17" s="32"/>
      <c r="K17" s="29" t="s">
        <v>90</v>
      </c>
      <c r="L17" s="3" t="s">
        <v>105</v>
      </c>
      <c r="N17" s="38"/>
      <c r="O17" s="9"/>
      <c r="P17" s="9"/>
      <c r="Q17" s="9"/>
      <c r="R17" s="9"/>
      <c r="S17" s="38"/>
      <c r="T17" s="9"/>
    </row>
    <row r="18" spans="1:20" x14ac:dyDescent="0.25">
      <c r="A18" s="33">
        <f>N5</f>
        <v>46113</v>
      </c>
      <c r="B18" s="34">
        <v>1.06</v>
      </c>
      <c r="C18" s="5">
        <f>B18/D18</f>
        <v>93.559983865315999</v>
      </c>
      <c r="D18" s="50">
        <v>1.132963E-2</v>
      </c>
      <c r="E18" s="86"/>
      <c r="F18" s="33">
        <v>46114</v>
      </c>
      <c r="G18" s="6">
        <v>42.12</v>
      </c>
      <c r="H18" s="5">
        <f>G18/I18</f>
        <v>91.798837450107271</v>
      </c>
      <c r="I18" s="6">
        <v>0.45882933999999997</v>
      </c>
      <c r="J18" s="31"/>
      <c r="K18" s="33"/>
      <c r="L18" s="5"/>
    </row>
    <row r="19" spans="1:20" x14ac:dyDescent="0.25">
      <c r="A19" s="33"/>
      <c r="B19" s="34"/>
      <c r="C19" s="6"/>
      <c r="D19" s="50"/>
      <c r="E19" s="86"/>
      <c r="F19" s="33"/>
      <c r="G19" s="6"/>
      <c r="H19" s="5"/>
      <c r="I19" s="6"/>
      <c r="J19" s="31"/>
      <c r="K19" s="33"/>
      <c r="L19" s="5"/>
    </row>
    <row r="20" spans="1:20" x14ac:dyDescent="0.25">
      <c r="A20" s="33"/>
      <c r="B20" s="34"/>
      <c r="C20" s="6"/>
      <c r="D20" s="50"/>
      <c r="E20" s="86"/>
      <c r="F20" s="33"/>
      <c r="G20" s="6"/>
      <c r="H20" s="5"/>
      <c r="I20" s="6"/>
      <c r="J20" s="31"/>
      <c r="K20" s="33"/>
      <c r="L20" s="5"/>
    </row>
    <row r="21" spans="1:20" x14ac:dyDescent="0.25">
      <c r="A21" s="33"/>
      <c r="B21" s="34"/>
      <c r="C21" s="6"/>
      <c r="D21" s="50"/>
      <c r="E21" s="86"/>
      <c r="F21" s="33"/>
      <c r="G21" s="6"/>
      <c r="H21" s="5"/>
      <c r="I21" s="6"/>
      <c r="J21" s="31"/>
      <c r="K21" s="33"/>
      <c r="L21" s="5"/>
    </row>
    <row r="22" spans="1:20" x14ac:dyDescent="0.25">
      <c r="A22" s="33"/>
      <c r="B22" s="5"/>
      <c r="C22" s="6"/>
      <c r="D22" s="50"/>
      <c r="E22" s="86"/>
      <c r="F22" s="33"/>
      <c r="G22" s="2"/>
      <c r="H22" s="2"/>
      <c r="I22" s="2"/>
      <c r="J22" s="35"/>
      <c r="K22" s="33"/>
      <c r="L22" s="2"/>
    </row>
    <row r="23" spans="1:20" x14ac:dyDescent="0.25">
      <c r="A23" s="33"/>
      <c r="B23" s="5"/>
      <c r="C23" s="6"/>
      <c r="D23" s="50"/>
      <c r="E23" s="86"/>
      <c r="F23" s="33"/>
      <c r="G23" s="2"/>
      <c r="H23" s="2"/>
      <c r="I23" s="2"/>
      <c r="J23" s="35"/>
      <c r="K23" s="33"/>
      <c r="L23" s="2"/>
    </row>
    <row r="24" spans="1:20" ht="16.5" x14ac:dyDescent="0.3">
      <c r="A24" s="33"/>
      <c r="B24" s="5"/>
      <c r="C24" s="6"/>
      <c r="D24" s="50"/>
      <c r="E24" s="86"/>
      <c r="F24" s="36"/>
      <c r="G24" s="2"/>
      <c r="H24" s="2"/>
      <c r="I24" s="2"/>
      <c r="J24" s="35"/>
      <c r="K24" s="36"/>
      <c r="L24" s="2"/>
    </row>
    <row r="25" spans="1:20" ht="16.5" x14ac:dyDescent="0.3">
      <c r="A25" s="36"/>
      <c r="B25" s="5"/>
      <c r="C25" s="6"/>
      <c r="D25" s="14"/>
      <c r="E25" s="86"/>
      <c r="F25" s="36"/>
      <c r="G25" s="2"/>
      <c r="H25" s="2"/>
      <c r="I25" s="2"/>
      <c r="J25" s="35"/>
      <c r="K25" s="36"/>
      <c r="L25" s="2"/>
    </row>
    <row r="26" spans="1:20" x14ac:dyDescent="0.25">
      <c r="A26" s="3" t="s">
        <v>2</v>
      </c>
      <c r="B26" s="5">
        <f>SUM(B18:B25)</f>
        <v>1.06</v>
      </c>
      <c r="C26" s="6"/>
      <c r="D26" s="14">
        <f>SUM(D18:D25)</f>
        <v>1.132963E-2</v>
      </c>
      <c r="E26" s="87"/>
      <c r="F26" s="3" t="s">
        <v>2</v>
      </c>
      <c r="G26" s="5">
        <f>SUM(G18:G25)</f>
        <v>42.12</v>
      </c>
      <c r="H26" s="6"/>
      <c r="I26" s="7">
        <f t="shared" ref="I26" si="1">SUM(I18:I25)</f>
        <v>0.45882933999999997</v>
      </c>
      <c r="J26" s="37"/>
      <c r="K26" s="3" t="s">
        <v>2</v>
      </c>
      <c r="L26" s="5">
        <f>SUM(L18:L25)</f>
        <v>0</v>
      </c>
    </row>
    <row r="27" spans="1:20" x14ac:dyDescent="0.25">
      <c r="A27" s="38"/>
      <c r="B27" s="9"/>
      <c r="C27" s="1"/>
      <c r="D27" s="12"/>
      <c r="E27" s="1"/>
      <c r="F27" s="38"/>
      <c r="G27" s="9"/>
      <c r="H27" s="1"/>
      <c r="I27" s="12"/>
      <c r="J27" s="46"/>
      <c r="K27" s="38"/>
      <c r="L27" s="9"/>
    </row>
    <row r="28" spans="1:20" x14ac:dyDescent="0.25">
      <c r="B28" s="1"/>
    </row>
    <row r="29" spans="1:20" ht="15" customHeight="1" x14ac:dyDescent="0.25">
      <c r="A29" s="82" t="s">
        <v>15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4"/>
      <c r="N29" s="38"/>
      <c r="O29" s="9"/>
      <c r="P29" s="9"/>
      <c r="Q29" s="9"/>
      <c r="R29" s="9"/>
      <c r="S29" s="38"/>
      <c r="T29" s="9"/>
    </row>
    <row r="30" spans="1:20" x14ac:dyDescent="0.25">
      <c r="A30" s="77" t="s">
        <v>102</v>
      </c>
      <c r="B30" s="77"/>
      <c r="C30" s="77"/>
      <c r="D30" s="77"/>
      <c r="E30" s="78"/>
      <c r="F30" s="77" t="s">
        <v>103</v>
      </c>
      <c r="G30" s="77"/>
      <c r="H30" s="77"/>
      <c r="I30" s="77"/>
      <c r="J30" s="53"/>
      <c r="K30" s="77" t="s">
        <v>25</v>
      </c>
      <c r="L30" s="77"/>
      <c r="N30" s="38"/>
      <c r="O30" s="9"/>
      <c r="P30" s="9"/>
      <c r="Q30" s="9"/>
      <c r="R30" s="9"/>
      <c r="S30" s="38"/>
      <c r="T30" s="9"/>
    </row>
    <row r="31" spans="1:20" x14ac:dyDescent="0.25">
      <c r="A31" s="28" t="s">
        <v>90</v>
      </c>
      <c r="B31" s="3" t="s">
        <v>3</v>
      </c>
      <c r="C31" s="3" t="s">
        <v>0</v>
      </c>
      <c r="D31" s="3" t="s">
        <v>1</v>
      </c>
      <c r="E31" s="78"/>
      <c r="F31" s="28" t="s">
        <v>90</v>
      </c>
      <c r="G31" s="3" t="s">
        <v>105</v>
      </c>
      <c r="H31" s="3" t="s">
        <v>0</v>
      </c>
      <c r="I31" s="3" t="s">
        <v>1</v>
      </c>
      <c r="J31" s="53"/>
      <c r="K31" s="3" t="s">
        <v>90</v>
      </c>
      <c r="L31" s="3" t="s">
        <v>105</v>
      </c>
      <c r="N31" s="38"/>
      <c r="O31" s="9"/>
      <c r="P31" s="9"/>
      <c r="Q31" s="9"/>
      <c r="R31" s="9"/>
      <c r="S31" s="38"/>
      <c r="T31" s="9"/>
    </row>
    <row r="32" spans="1:20" x14ac:dyDescent="0.25">
      <c r="A32" s="33">
        <f>N5</f>
        <v>46113</v>
      </c>
      <c r="B32" s="34">
        <v>1.71</v>
      </c>
      <c r="C32" s="5">
        <f>B32/D32</f>
        <v>74.274681672179355</v>
      </c>
      <c r="D32" s="50">
        <v>2.3022649999999999E-2</v>
      </c>
      <c r="E32" s="78"/>
      <c r="F32" s="33">
        <v>46114</v>
      </c>
      <c r="G32" s="5">
        <v>64.2</v>
      </c>
      <c r="H32" s="5">
        <f>G32/I32</f>
        <v>74.703309175074395</v>
      </c>
      <c r="I32" s="6">
        <v>0.85939968</v>
      </c>
      <c r="J32" s="52"/>
      <c r="K32" s="33">
        <v>46114</v>
      </c>
      <c r="L32" s="5">
        <v>1.07</v>
      </c>
    </row>
    <row r="33" spans="1:20" x14ac:dyDescent="0.25">
      <c r="A33" s="33"/>
      <c r="B33" s="34"/>
      <c r="C33" s="6"/>
      <c r="D33" s="50"/>
      <c r="E33" s="78"/>
      <c r="F33" s="33"/>
      <c r="G33" s="6"/>
      <c r="H33" s="5"/>
      <c r="I33" s="6"/>
      <c r="J33" s="52"/>
      <c r="K33" s="33"/>
      <c r="L33" s="5"/>
    </row>
    <row r="34" spans="1:20" x14ac:dyDescent="0.25">
      <c r="A34" s="33"/>
      <c r="B34" s="34"/>
      <c r="C34" s="6"/>
      <c r="D34" s="50"/>
      <c r="E34" s="78"/>
      <c r="F34" s="33"/>
      <c r="G34" s="6"/>
      <c r="H34" s="5"/>
      <c r="I34" s="6"/>
      <c r="J34" s="52"/>
      <c r="K34" s="33"/>
      <c r="L34" s="5"/>
    </row>
    <row r="35" spans="1:20" x14ac:dyDescent="0.25">
      <c r="A35" s="33"/>
      <c r="B35" s="34"/>
      <c r="C35" s="6"/>
      <c r="D35" s="50"/>
      <c r="E35" s="78"/>
      <c r="F35" s="33"/>
      <c r="G35" s="6"/>
      <c r="H35" s="5"/>
      <c r="I35" s="6"/>
      <c r="J35" s="52"/>
      <c r="K35" s="33"/>
      <c r="L35" s="5"/>
    </row>
    <row r="36" spans="1:20" x14ac:dyDescent="0.25">
      <c r="A36" s="33"/>
      <c r="B36" s="5"/>
      <c r="C36" s="6"/>
      <c r="D36" s="50"/>
      <c r="E36" s="78"/>
      <c r="F36" s="33"/>
      <c r="G36" s="2"/>
      <c r="H36" s="2"/>
      <c r="I36" s="2"/>
      <c r="J36" s="54"/>
      <c r="K36" s="33"/>
      <c r="L36" s="2"/>
    </row>
    <row r="37" spans="1:20" x14ac:dyDescent="0.25">
      <c r="A37" s="33"/>
      <c r="B37" s="5"/>
      <c r="C37" s="6"/>
      <c r="D37" s="50"/>
      <c r="E37" s="78"/>
      <c r="F37" s="33"/>
      <c r="G37" s="2"/>
      <c r="H37" s="2"/>
      <c r="I37" s="2"/>
      <c r="J37" s="54"/>
      <c r="K37" s="33"/>
      <c r="L37" s="2"/>
    </row>
    <row r="38" spans="1:20" ht="16.5" x14ac:dyDescent="0.3">
      <c r="A38" s="33"/>
      <c r="B38" s="5"/>
      <c r="C38" s="6"/>
      <c r="D38" s="50"/>
      <c r="E38" s="78"/>
      <c r="F38" s="36"/>
      <c r="G38" s="2"/>
      <c r="H38" s="2"/>
      <c r="I38" s="2"/>
      <c r="J38" s="54"/>
      <c r="K38" s="36"/>
      <c r="L38" s="2"/>
    </row>
    <row r="39" spans="1:20" ht="16.5" x14ac:dyDescent="0.3">
      <c r="A39" s="36"/>
      <c r="B39" s="5"/>
      <c r="C39" s="6"/>
      <c r="D39" s="14"/>
      <c r="E39" s="78"/>
      <c r="F39" s="36"/>
      <c r="G39" s="2"/>
      <c r="H39" s="2"/>
      <c r="I39" s="2"/>
      <c r="J39" s="54"/>
      <c r="K39" s="36"/>
      <c r="L39" s="2"/>
    </row>
    <row r="40" spans="1:20" x14ac:dyDescent="0.25">
      <c r="A40" s="3" t="s">
        <v>2</v>
      </c>
      <c r="B40" s="5">
        <f>SUM(B32:B39)</f>
        <v>1.71</v>
      </c>
      <c r="C40" s="6"/>
      <c r="D40" s="14">
        <f>SUM(D32:D39)</f>
        <v>2.3022649999999999E-2</v>
      </c>
      <c r="E40" s="78"/>
      <c r="F40" s="3" t="s">
        <v>2</v>
      </c>
      <c r="G40" s="5">
        <f>SUM(G32:G39)</f>
        <v>64.2</v>
      </c>
      <c r="H40" s="6"/>
      <c r="I40" s="7">
        <f t="shared" ref="I40" si="2">SUM(I32:I39)</f>
        <v>0.85939968</v>
      </c>
      <c r="J40" s="55"/>
      <c r="K40" s="3" t="s">
        <v>2</v>
      </c>
      <c r="L40" s="5">
        <f>SUM(L32:L39)</f>
        <v>1.07</v>
      </c>
    </row>
    <row r="41" spans="1:20" x14ac:dyDescent="0.25">
      <c r="A41" s="38"/>
      <c r="B41" s="9"/>
      <c r="C41" s="1"/>
      <c r="D41" s="46"/>
      <c r="E41" s="1"/>
      <c r="F41" s="38"/>
      <c r="G41" s="9"/>
      <c r="H41" s="1"/>
      <c r="I41" s="12"/>
      <c r="J41" s="46"/>
      <c r="K41" s="38"/>
      <c r="L41" s="9"/>
    </row>
    <row r="42" spans="1:20" x14ac:dyDescent="0.25">
      <c r="A42" s="38"/>
      <c r="B42" s="9"/>
      <c r="C42" s="1"/>
      <c r="D42" s="46"/>
      <c r="E42" s="1"/>
      <c r="F42" s="38"/>
      <c r="G42" s="9"/>
      <c r="H42" s="1"/>
      <c r="I42" s="12"/>
      <c r="J42" s="46"/>
      <c r="K42" s="38"/>
      <c r="L42" s="9"/>
    </row>
    <row r="43" spans="1:20" ht="15" customHeight="1" x14ac:dyDescent="0.25">
      <c r="A43" s="82" t="s">
        <v>16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4"/>
      <c r="N43" s="38"/>
      <c r="O43" s="9"/>
      <c r="P43" s="9"/>
      <c r="Q43" s="9"/>
      <c r="R43" s="9"/>
      <c r="S43" s="38"/>
      <c r="T43" s="9"/>
    </row>
    <row r="44" spans="1:20" x14ac:dyDescent="0.25">
      <c r="A44" s="77" t="s">
        <v>102</v>
      </c>
      <c r="B44" s="77"/>
      <c r="C44" s="77"/>
      <c r="D44" s="77"/>
      <c r="E44" s="78"/>
      <c r="F44" s="77" t="s">
        <v>103</v>
      </c>
      <c r="G44" s="77"/>
      <c r="H44" s="77"/>
      <c r="I44" s="77"/>
      <c r="J44" s="53"/>
      <c r="K44" s="77" t="s">
        <v>25</v>
      </c>
      <c r="L44" s="77"/>
      <c r="N44" s="38"/>
      <c r="O44" s="9"/>
      <c r="P44" s="9"/>
      <c r="Q44" s="9"/>
      <c r="R44" s="9"/>
      <c r="S44" s="38"/>
      <c r="T44" s="9"/>
    </row>
    <row r="45" spans="1:20" x14ac:dyDescent="0.25">
      <c r="A45" s="28" t="s">
        <v>90</v>
      </c>
      <c r="B45" s="3" t="s">
        <v>3</v>
      </c>
      <c r="C45" s="3" t="s">
        <v>0</v>
      </c>
      <c r="D45" s="3" t="s">
        <v>1</v>
      </c>
      <c r="E45" s="78"/>
      <c r="F45" s="28" t="s">
        <v>90</v>
      </c>
      <c r="G45" s="3" t="s">
        <v>105</v>
      </c>
      <c r="H45" s="3" t="s">
        <v>0</v>
      </c>
      <c r="I45" s="3" t="s">
        <v>1</v>
      </c>
      <c r="J45" s="53"/>
      <c r="K45" s="3" t="s">
        <v>90</v>
      </c>
      <c r="L45" s="3" t="s">
        <v>105</v>
      </c>
      <c r="N45" s="38"/>
      <c r="O45" s="9"/>
      <c r="P45" s="9"/>
      <c r="Q45" s="9"/>
      <c r="R45" s="9"/>
      <c r="S45" s="38"/>
      <c r="T45" s="9"/>
    </row>
    <row r="46" spans="1:20" x14ac:dyDescent="0.25">
      <c r="A46" s="33">
        <f>N5</f>
        <v>46113</v>
      </c>
      <c r="B46" s="34">
        <v>0.3</v>
      </c>
      <c r="C46" s="5">
        <f>B46/D46</f>
        <v>4.3523114908712435</v>
      </c>
      <c r="D46" s="50">
        <v>6.8928890000000007E-2</v>
      </c>
      <c r="E46" s="78"/>
      <c r="F46" s="33">
        <v>46114</v>
      </c>
      <c r="G46" s="5">
        <f>H46*I46</f>
        <v>48.950537003899996</v>
      </c>
      <c r="H46" s="5">
        <v>4.3899999999999997</v>
      </c>
      <c r="I46" s="6">
        <v>11.15046401</v>
      </c>
      <c r="J46" s="52"/>
      <c r="K46" s="33"/>
      <c r="L46" s="5"/>
    </row>
    <row r="47" spans="1:20" x14ac:dyDescent="0.25">
      <c r="A47" s="33"/>
      <c r="B47" s="34"/>
      <c r="C47" s="6"/>
      <c r="D47" s="50"/>
      <c r="E47" s="78"/>
      <c r="F47" s="33"/>
      <c r="G47" s="6"/>
      <c r="H47" s="5"/>
      <c r="I47" s="6"/>
      <c r="J47" s="52"/>
      <c r="K47" s="33"/>
      <c r="L47" s="5"/>
    </row>
    <row r="48" spans="1:20" x14ac:dyDescent="0.25">
      <c r="A48" s="33"/>
      <c r="B48" s="34"/>
      <c r="C48" s="6"/>
      <c r="D48" s="50"/>
      <c r="E48" s="78"/>
      <c r="F48" s="33"/>
      <c r="G48" s="6"/>
      <c r="H48" s="5"/>
      <c r="I48" s="6"/>
      <c r="J48" s="52"/>
      <c r="K48" s="33"/>
      <c r="L48" s="5"/>
    </row>
    <row r="49" spans="1:20" x14ac:dyDescent="0.25">
      <c r="A49" s="33"/>
      <c r="B49" s="34"/>
      <c r="C49" s="6"/>
      <c r="D49" s="50"/>
      <c r="E49" s="78"/>
      <c r="F49" s="33"/>
      <c r="G49" s="6"/>
      <c r="H49" s="5"/>
      <c r="I49" s="6"/>
      <c r="J49" s="52"/>
      <c r="K49" s="33"/>
      <c r="L49" s="5"/>
    </row>
    <row r="50" spans="1:20" x14ac:dyDescent="0.25">
      <c r="A50" s="33"/>
      <c r="B50" s="5"/>
      <c r="C50" s="6"/>
      <c r="D50" s="50"/>
      <c r="E50" s="78"/>
      <c r="F50" s="33"/>
      <c r="G50" s="2"/>
      <c r="H50" s="2"/>
      <c r="I50" s="2"/>
      <c r="J50" s="54"/>
      <c r="K50" s="33"/>
      <c r="L50" s="2"/>
    </row>
    <row r="51" spans="1:20" x14ac:dyDescent="0.25">
      <c r="A51" s="33"/>
      <c r="B51" s="5"/>
      <c r="C51" s="6"/>
      <c r="D51" s="50"/>
      <c r="E51" s="78"/>
      <c r="F51" s="33"/>
      <c r="G51" s="2"/>
      <c r="H51" s="2"/>
      <c r="I51" s="2"/>
      <c r="J51" s="54"/>
      <c r="K51" s="33"/>
      <c r="L51" s="2"/>
    </row>
    <row r="52" spans="1:20" ht="16.5" x14ac:dyDescent="0.3">
      <c r="A52" s="33"/>
      <c r="B52" s="5"/>
      <c r="C52" s="6"/>
      <c r="D52" s="50"/>
      <c r="E52" s="78"/>
      <c r="F52" s="36"/>
      <c r="G52" s="2"/>
      <c r="H52" s="2"/>
      <c r="I52" s="2"/>
      <c r="J52" s="54"/>
      <c r="K52" s="36"/>
      <c r="L52" s="2"/>
    </row>
    <row r="53" spans="1:20" ht="16.5" x14ac:dyDescent="0.3">
      <c r="A53" s="36"/>
      <c r="B53" s="5"/>
      <c r="C53" s="6"/>
      <c r="D53" s="14"/>
      <c r="E53" s="78"/>
      <c r="F53" s="36"/>
      <c r="G53" s="2"/>
      <c r="H53" s="2"/>
      <c r="I53" s="2"/>
      <c r="J53" s="54"/>
      <c r="K53" s="36"/>
      <c r="L53" s="2"/>
    </row>
    <row r="54" spans="1:20" x14ac:dyDescent="0.25">
      <c r="A54" s="3" t="s">
        <v>2</v>
      </c>
      <c r="B54" s="5">
        <f>SUM(B46:B53)</f>
        <v>0.3</v>
      </c>
      <c r="C54" s="6"/>
      <c r="D54" s="14">
        <f>SUM(D46:D53)</f>
        <v>6.8928890000000007E-2</v>
      </c>
      <c r="E54" s="78"/>
      <c r="F54" s="3" t="s">
        <v>2</v>
      </c>
      <c r="G54" s="5">
        <f>SUM(G46:G53)</f>
        <v>48.950537003899996</v>
      </c>
      <c r="H54" s="6"/>
      <c r="I54" s="7">
        <f t="shared" ref="I54" si="3">SUM(I46:I53)</f>
        <v>11.15046401</v>
      </c>
      <c r="J54" s="55"/>
      <c r="K54" s="3" t="s">
        <v>2</v>
      </c>
      <c r="L54" s="5">
        <f>SUM(L46:L53)</f>
        <v>0</v>
      </c>
    </row>
    <row r="57" spans="1:20" ht="15" customHeight="1" x14ac:dyDescent="0.25">
      <c r="A57" s="82" t="s">
        <v>17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4"/>
      <c r="N57" s="38"/>
      <c r="O57" s="9"/>
      <c r="P57" s="9"/>
      <c r="Q57" s="9"/>
      <c r="R57" s="9"/>
      <c r="S57" s="38"/>
      <c r="T57" s="9"/>
    </row>
    <row r="58" spans="1:20" x14ac:dyDescent="0.25">
      <c r="A58" s="77" t="s">
        <v>102</v>
      </c>
      <c r="B58" s="77"/>
      <c r="C58" s="77"/>
      <c r="D58" s="77"/>
      <c r="E58" s="78"/>
      <c r="F58" s="77" t="s">
        <v>103</v>
      </c>
      <c r="G58" s="77"/>
      <c r="H58" s="77"/>
      <c r="I58" s="77"/>
      <c r="J58" s="53"/>
      <c r="K58" s="77" t="s">
        <v>25</v>
      </c>
      <c r="L58" s="77"/>
      <c r="N58" s="38"/>
      <c r="O58" s="9"/>
      <c r="P58" s="9"/>
      <c r="Q58" s="9"/>
      <c r="R58" s="9"/>
      <c r="S58" s="38"/>
      <c r="T58" s="9"/>
    </row>
    <row r="59" spans="1:20" x14ac:dyDescent="0.25">
      <c r="A59" s="28" t="s">
        <v>90</v>
      </c>
      <c r="B59" s="3" t="s">
        <v>3</v>
      </c>
      <c r="C59" s="3" t="s">
        <v>0</v>
      </c>
      <c r="D59" s="3" t="s">
        <v>1</v>
      </c>
      <c r="E59" s="78"/>
      <c r="F59" s="28" t="s">
        <v>90</v>
      </c>
      <c r="G59" s="3" t="s">
        <v>105</v>
      </c>
      <c r="H59" s="3" t="s">
        <v>0</v>
      </c>
      <c r="I59" s="3" t="s">
        <v>1</v>
      </c>
      <c r="J59" s="53"/>
      <c r="K59" s="3" t="s">
        <v>90</v>
      </c>
      <c r="L59" s="3" t="s">
        <v>105</v>
      </c>
      <c r="N59" s="38"/>
      <c r="O59" s="9"/>
      <c r="P59" s="9"/>
      <c r="Q59" s="9"/>
      <c r="R59" s="9"/>
      <c r="S59" s="38"/>
      <c r="T59" s="9"/>
    </row>
    <row r="60" spans="1:20" x14ac:dyDescent="0.25">
      <c r="A60" s="33">
        <f>N5</f>
        <v>46113</v>
      </c>
      <c r="B60" s="34">
        <v>1.64</v>
      </c>
      <c r="C60" s="5">
        <f>B60/D60</f>
        <v>87.577878895813825</v>
      </c>
      <c r="D60" s="50">
        <v>1.872619E-2</v>
      </c>
      <c r="E60" s="78"/>
      <c r="F60" s="33">
        <v>46114</v>
      </c>
      <c r="G60" s="6">
        <v>46.97</v>
      </c>
      <c r="H60" s="5">
        <f>G60/I60</f>
        <v>87.555193371618884</v>
      </c>
      <c r="I60" s="6">
        <v>0.53646161000000003</v>
      </c>
      <c r="J60" s="52"/>
      <c r="K60" s="33">
        <v>46114</v>
      </c>
      <c r="L60" s="5">
        <v>0.56999999999999995</v>
      </c>
    </row>
    <row r="61" spans="1:20" x14ac:dyDescent="0.25">
      <c r="A61" s="33"/>
      <c r="B61" s="34"/>
      <c r="C61" s="6"/>
      <c r="D61" s="50"/>
      <c r="E61" s="78"/>
      <c r="F61" s="33"/>
      <c r="G61" s="6"/>
      <c r="H61" s="5"/>
      <c r="I61" s="6"/>
      <c r="J61" s="52"/>
      <c r="K61" s="33"/>
      <c r="L61" s="5"/>
    </row>
    <row r="62" spans="1:20" x14ac:dyDescent="0.25">
      <c r="A62" s="33"/>
      <c r="B62" s="34"/>
      <c r="C62" s="6"/>
      <c r="D62" s="50"/>
      <c r="E62" s="78"/>
      <c r="F62" s="33"/>
      <c r="G62" s="6"/>
      <c r="H62" s="5"/>
      <c r="I62" s="6"/>
      <c r="J62" s="52"/>
      <c r="K62" s="33"/>
      <c r="L62" s="5"/>
    </row>
    <row r="63" spans="1:20" x14ac:dyDescent="0.25">
      <c r="A63" s="33"/>
      <c r="B63" s="34"/>
      <c r="C63" s="6"/>
      <c r="D63" s="50"/>
      <c r="E63" s="78"/>
      <c r="F63" s="33"/>
      <c r="G63" s="6"/>
      <c r="H63" s="5"/>
      <c r="I63" s="6"/>
      <c r="J63" s="52"/>
      <c r="K63" s="33"/>
      <c r="L63" s="5"/>
    </row>
    <row r="64" spans="1:20" x14ac:dyDescent="0.25">
      <c r="A64" s="33"/>
      <c r="B64" s="5"/>
      <c r="C64" s="6"/>
      <c r="D64" s="50"/>
      <c r="E64" s="78"/>
      <c r="F64" s="33"/>
      <c r="G64" s="2"/>
      <c r="H64" s="2"/>
      <c r="I64" s="2"/>
      <c r="J64" s="54"/>
      <c r="K64" s="33"/>
      <c r="L64" s="2"/>
    </row>
    <row r="65" spans="1:20" x14ac:dyDescent="0.25">
      <c r="A65" s="33"/>
      <c r="B65" s="5"/>
      <c r="C65" s="6"/>
      <c r="D65" s="50"/>
      <c r="E65" s="78"/>
      <c r="F65" s="33"/>
      <c r="G65" s="2"/>
      <c r="H65" s="2"/>
      <c r="I65" s="2"/>
      <c r="J65" s="54"/>
      <c r="K65" s="33"/>
      <c r="L65" s="2"/>
    </row>
    <row r="66" spans="1:20" ht="16.5" x14ac:dyDescent="0.3">
      <c r="A66" s="33"/>
      <c r="B66" s="5"/>
      <c r="C66" s="6"/>
      <c r="D66" s="50"/>
      <c r="E66" s="78"/>
      <c r="F66" s="36"/>
      <c r="G66" s="2"/>
      <c r="H66" s="2"/>
      <c r="I66" s="2"/>
      <c r="J66" s="54"/>
      <c r="K66" s="36"/>
      <c r="L66" s="2"/>
    </row>
    <row r="67" spans="1:20" ht="16.5" x14ac:dyDescent="0.3">
      <c r="A67" s="36"/>
      <c r="B67" s="5"/>
      <c r="C67" s="6"/>
      <c r="D67" s="14"/>
      <c r="E67" s="78"/>
      <c r="F67" s="36"/>
      <c r="G67" s="2"/>
      <c r="H67" s="2"/>
      <c r="I67" s="2"/>
      <c r="J67" s="54"/>
      <c r="K67" s="36"/>
      <c r="L67" s="2"/>
    </row>
    <row r="68" spans="1:20" x14ac:dyDescent="0.25">
      <c r="A68" s="3" t="s">
        <v>2</v>
      </c>
      <c r="B68" s="5">
        <f>SUM(B60:B67)</f>
        <v>1.64</v>
      </c>
      <c r="C68" s="6"/>
      <c r="D68" s="14">
        <f>SUM(D60:D67)</f>
        <v>1.872619E-2</v>
      </c>
      <c r="E68" s="78"/>
      <c r="F68" s="3" t="s">
        <v>2</v>
      </c>
      <c r="G68" s="5">
        <f>SUM(G60:G67)</f>
        <v>46.97</v>
      </c>
      <c r="H68" s="6"/>
      <c r="I68" s="7">
        <f t="shared" ref="I68" si="4">SUM(I60:I67)</f>
        <v>0.53646161000000003</v>
      </c>
      <c r="J68" s="55"/>
      <c r="K68" s="3" t="s">
        <v>2</v>
      </c>
      <c r="L68" s="5">
        <f>SUM(L60:L67)</f>
        <v>0.56999999999999995</v>
      </c>
    </row>
    <row r="71" spans="1:20" ht="15" customHeight="1" x14ac:dyDescent="0.25">
      <c r="A71" s="82" t="s">
        <v>18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4"/>
      <c r="N71" s="38"/>
      <c r="O71" s="9"/>
      <c r="P71" s="9"/>
      <c r="Q71" s="9"/>
      <c r="R71" s="9"/>
      <c r="S71" s="38"/>
      <c r="T71" s="9"/>
    </row>
    <row r="72" spans="1:20" x14ac:dyDescent="0.25">
      <c r="A72" s="77" t="s">
        <v>102</v>
      </c>
      <c r="B72" s="77"/>
      <c r="C72" s="77"/>
      <c r="D72" s="77"/>
      <c r="E72" s="78"/>
      <c r="F72" s="77" t="s">
        <v>103</v>
      </c>
      <c r="G72" s="77"/>
      <c r="H72" s="77"/>
      <c r="I72" s="77"/>
      <c r="J72" s="53"/>
      <c r="K72" s="77" t="s">
        <v>25</v>
      </c>
      <c r="L72" s="77"/>
      <c r="N72" s="38"/>
      <c r="O72" s="9"/>
      <c r="P72" s="9"/>
      <c r="Q72" s="9"/>
      <c r="R72" s="9"/>
      <c r="S72" s="38"/>
      <c r="T72" s="9"/>
    </row>
    <row r="73" spans="1:20" x14ac:dyDescent="0.25">
      <c r="A73" s="28" t="s">
        <v>90</v>
      </c>
      <c r="B73" s="3" t="s">
        <v>3</v>
      </c>
      <c r="C73" s="3" t="s">
        <v>0</v>
      </c>
      <c r="D73" s="3" t="s">
        <v>1</v>
      </c>
      <c r="E73" s="78"/>
      <c r="F73" s="28" t="s">
        <v>90</v>
      </c>
      <c r="G73" s="3" t="s">
        <v>105</v>
      </c>
      <c r="H73" s="3" t="s">
        <v>0</v>
      </c>
      <c r="I73" s="3" t="s">
        <v>1</v>
      </c>
      <c r="J73" s="53"/>
      <c r="K73" s="3" t="s">
        <v>90</v>
      </c>
      <c r="L73" s="3" t="s">
        <v>105</v>
      </c>
      <c r="N73" s="38"/>
      <c r="O73" s="9"/>
      <c r="P73" s="9"/>
      <c r="Q73" s="9"/>
      <c r="R73" s="9"/>
      <c r="S73" s="38"/>
      <c r="T73" s="9"/>
    </row>
    <row r="74" spans="1:20" x14ac:dyDescent="0.25">
      <c r="A74" s="33">
        <f>N5</f>
        <v>46113</v>
      </c>
      <c r="B74" s="34">
        <v>5.35</v>
      </c>
      <c r="C74" s="5">
        <f>B74/D74</f>
        <v>68.099999821794398</v>
      </c>
      <c r="D74" s="50">
        <v>7.8560939999999996E-2</v>
      </c>
      <c r="E74" s="78"/>
      <c r="F74" s="33">
        <v>46114</v>
      </c>
      <c r="G74" s="6">
        <v>84.94</v>
      </c>
      <c r="H74" s="5">
        <f>G74/I74</f>
        <v>67.567825022656578</v>
      </c>
      <c r="I74" s="6">
        <v>1.25710721</v>
      </c>
      <c r="J74" s="52"/>
      <c r="K74" s="33"/>
      <c r="L74" s="5"/>
    </row>
    <row r="75" spans="1:20" x14ac:dyDescent="0.25">
      <c r="A75" s="33"/>
      <c r="B75" s="34"/>
      <c r="C75" s="6"/>
      <c r="D75" s="50"/>
      <c r="E75" s="78"/>
      <c r="F75" s="33"/>
      <c r="G75" s="6"/>
      <c r="H75" s="5"/>
      <c r="I75" s="6"/>
      <c r="J75" s="52"/>
      <c r="K75" s="33"/>
      <c r="L75" s="5"/>
    </row>
    <row r="76" spans="1:20" x14ac:dyDescent="0.25">
      <c r="A76" s="33"/>
      <c r="B76" s="34"/>
      <c r="C76" s="6"/>
      <c r="D76" s="50"/>
      <c r="E76" s="78"/>
      <c r="F76" s="33"/>
      <c r="G76" s="6"/>
      <c r="H76" s="5"/>
      <c r="I76" s="6"/>
      <c r="J76" s="52"/>
      <c r="K76" s="33"/>
      <c r="L76" s="5"/>
    </row>
    <row r="77" spans="1:20" x14ac:dyDescent="0.25">
      <c r="A77" s="33"/>
      <c r="B77" s="34"/>
      <c r="C77" s="6"/>
      <c r="D77" s="50"/>
      <c r="E77" s="78"/>
      <c r="F77" s="33"/>
      <c r="G77" s="6"/>
      <c r="H77" s="5"/>
      <c r="I77" s="6"/>
      <c r="J77" s="52"/>
      <c r="K77" s="33"/>
      <c r="L77" s="5"/>
    </row>
    <row r="78" spans="1:20" x14ac:dyDescent="0.25">
      <c r="A78" s="33"/>
      <c r="B78" s="5"/>
      <c r="C78" s="6"/>
      <c r="D78" s="50"/>
      <c r="E78" s="78"/>
      <c r="F78" s="33"/>
      <c r="G78" s="2"/>
      <c r="H78" s="2"/>
      <c r="I78" s="2"/>
      <c r="J78" s="54"/>
      <c r="K78" s="33"/>
      <c r="L78" s="2"/>
    </row>
    <row r="79" spans="1:20" x14ac:dyDescent="0.25">
      <c r="A79" s="33"/>
      <c r="B79" s="5"/>
      <c r="C79" s="6"/>
      <c r="D79" s="50"/>
      <c r="E79" s="78"/>
      <c r="F79" s="33"/>
      <c r="G79" s="2"/>
      <c r="H79" s="2"/>
      <c r="I79" s="2"/>
      <c r="J79" s="54"/>
      <c r="K79" s="33"/>
      <c r="L79" s="2"/>
    </row>
    <row r="80" spans="1:20" ht="16.5" x14ac:dyDescent="0.3">
      <c r="A80" s="33"/>
      <c r="B80" s="5"/>
      <c r="C80" s="6"/>
      <c r="D80" s="50"/>
      <c r="E80" s="78"/>
      <c r="F80" s="36"/>
      <c r="G80" s="2"/>
      <c r="H80" s="2"/>
      <c r="I80" s="2"/>
      <c r="J80" s="54"/>
      <c r="K80" s="36"/>
      <c r="L80" s="2"/>
    </row>
    <row r="81" spans="1:20" ht="16.5" x14ac:dyDescent="0.3">
      <c r="A81" s="36"/>
      <c r="B81" s="5"/>
      <c r="C81" s="6"/>
      <c r="D81" s="14"/>
      <c r="E81" s="78"/>
      <c r="F81" s="36"/>
      <c r="G81" s="2"/>
      <c r="H81" s="2"/>
      <c r="I81" s="2"/>
      <c r="J81" s="54"/>
      <c r="K81" s="36"/>
      <c r="L81" s="2"/>
    </row>
    <row r="82" spans="1:20" x14ac:dyDescent="0.25">
      <c r="A82" s="3" t="s">
        <v>2</v>
      </c>
      <c r="B82" s="5">
        <f>SUM(B74:B81)</f>
        <v>5.35</v>
      </c>
      <c r="C82" s="6"/>
      <c r="D82" s="14">
        <f>SUM(D74:D81)</f>
        <v>7.8560939999999996E-2</v>
      </c>
      <c r="E82" s="78"/>
      <c r="F82" s="3" t="s">
        <v>2</v>
      </c>
      <c r="G82" s="5">
        <f>SUM(G74:G81)</f>
        <v>84.94</v>
      </c>
      <c r="H82" s="6"/>
      <c r="I82" s="7">
        <f t="shared" ref="I82" si="5">SUM(I74:I81)</f>
        <v>1.25710721</v>
      </c>
      <c r="J82" s="55"/>
      <c r="K82" s="3" t="s">
        <v>2</v>
      </c>
      <c r="L82" s="5">
        <f>SUM(L74:L81)</f>
        <v>0</v>
      </c>
    </row>
    <row r="85" spans="1:20" ht="15" customHeight="1" x14ac:dyDescent="0.25">
      <c r="A85" s="82" t="s">
        <v>19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4"/>
      <c r="N85" s="38"/>
      <c r="O85" s="9"/>
      <c r="P85" s="9"/>
      <c r="Q85" s="9"/>
      <c r="R85" s="9"/>
      <c r="S85" s="38"/>
      <c r="T85" s="9"/>
    </row>
    <row r="86" spans="1:20" x14ac:dyDescent="0.25">
      <c r="A86" s="77" t="s">
        <v>102</v>
      </c>
      <c r="B86" s="77"/>
      <c r="C86" s="77"/>
      <c r="D86" s="77"/>
      <c r="E86" s="78"/>
      <c r="F86" s="77" t="s">
        <v>103</v>
      </c>
      <c r="G86" s="77"/>
      <c r="H86" s="77"/>
      <c r="I86" s="77"/>
      <c r="J86" s="53"/>
      <c r="K86" s="77" t="s">
        <v>25</v>
      </c>
      <c r="L86" s="77"/>
      <c r="N86" s="38"/>
      <c r="O86" s="9"/>
      <c r="P86" s="9"/>
      <c r="Q86" s="9"/>
      <c r="R86" s="9"/>
      <c r="S86" s="38"/>
      <c r="T86" s="9"/>
    </row>
    <row r="87" spans="1:20" x14ac:dyDescent="0.25">
      <c r="A87" s="28" t="s">
        <v>90</v>
      </c>
      <c r="B87" s="3" t="s">
        <v>3</v>
      </c>
      <c r="C87" s="3" t="s">
        <v>0</v>
      </c>
      <c r="D87" s="3" t="s">
        <v>1</v>
      </c>
      <c r="E87" s="78"/>
      <c r="F87" s="28" t="s">
        <v>90</v>
      </c>
      <c r="G87" s="3" t="s">
        <v>105</v>
      </c>
      <c r="H87" s="3" t="s">
        <v>0</v>
      </c>
      <c r="I87" s="3" t="s">
        <v>1</v>
      </c>
      <c r="J87" s="53"/>
      <c r="K87" s="3" t="s">
        <v>90</v>
      </c>
      <c r="L87" s="3" t="s">
        <v>105</v>
      </c>
      <c r="N87" s="38"/>
      <c r="O87" s="9"/>
      <c r="P87" s="9"/>
      <c r="Q87" s="9"/>
      <c r="R87" s="9"/>
      <c r="S87" s="38"/>
      <c r="T87" s="9"/>
    </row>
    <row r="88" spans="1:20" x14ac:dyDescent="0.25">
      <c r="A88" s="33">
        <f>N5</f>
        <v>46113</v>
      </c>
      <c r="B88" s="34">
        <v>1.27</v>
      </c>
      <c r="C88" s="5">
        <f>B88/D88</f>
        <v>109.68491927362675</v>
      </c>
      <c r="D88" s="50">
        <v>1.157862E-2</v>
      </c>
      <c r="E88" s="78"/>
      <c r="F88" s="33">
        <v>46114</v>
      </c>
      <c r="G88" s="5">
        <f>H88*I88</f>
        <v>40.989087070999993</v>
      </c>
      <c r="H88" s="5">
        <v>110.3</v>
      </c>
      <c r="I88" s="6">
        <v>0.37161456999999998</v>
      </c>
      <c r="J88" s="52"/>
      <c r="K88" s="33">
        <v>46114</v>
      </c>
      <c r="L88" s="5">
        <v>0.8</v>
      </c>
    </row>
    <row r="89" spans="1:20" x14ac:dyDescent="0.25">
      <c r="A89" s="33"/>
      <c r="B89" s="34"/>
      <c r="C89" s="6"/>
      <c r="D89" s="50"/>
      <c r="E89" s="78"/>
      <c r="F89" s="33"/>
      <c r="G89" s="6"/>
      <c r="H89" s="5"/>
      <c r="I89" s="6"/>
      <c r="J89" s="52"/>
      <c r="K89" s="33"/>
      <c r="L89" s="5"/>
    </row>
    <row r="90" spans="1:20" x14ac:dyDescent="0.25">
      <c r="A90" s="33"/>
      <c r="B90" s="34"/>
      <c r="C90" s="6"/>
      <c r="D90" s="50"/>
      <c r="E90" s="78"/>
      <c r="F90" s="33"/>
      <c r="G90" s="6"/>
      <c r="H90" s="5"/>
      <c r="I90" s="6"/>
      <c r="J90" s="52"/>
      <c r="K90" s="33"/>
      <c r="L90" s="5"/>
    </row>
    <row r="91" spans="1:20" x14ac:dyDescent="0.25">
      <c r="A91" s="33"/>
      <c r="B91" s="34"/>
      <c r="C91" s="6"/>
      <c r="D91" s="50"/>
      <c r="E91" s="78"/>
      <c r="F91" s="33"/>
      <c r="G91" s="6"/>
      <c r="H91" s="5"/>
      <c r="I91" s="6"/>
      <c r="J91" s="52"/>
      <c r="K91" s="33"/>
      <c r="L91" s="5"/>
    </row>
    <row r="92" spans="1:20" x14ac:dyDescent="0.25">
      <c r="A92" s="33"/>
      <c r="B92" s="5"/>
      <c r="C92" s="6"/>
      <c r="D92" s="50"/>
      <c r="E92" s="78"/>
      <c r="F92" s="33"/>
      <c r="G92" s="2"/>
      <c r="H92" s="2"/>
      <c r="I92" s="2"/>
      <c r="J92" s="54"/>
      <c r="K92" s="33"/>
      <c r="L92" s="2"/>
    </row>
    <row r="93" spans="1:20" x14ac:dyDescent="0.25">
      <c r="A93" s="33"/>
      <c r="B93" s="5"/>
      <c r="C93" s="6"/>
      <c r="D93" s="50"/>
      <c r="E93" s="78"/>
      <c r="F93" s="33"/>
      <c r="G93" s="2"/>
      <c r="H93" s="2"/>
      <c r="I93" s="2"/>
      <c r="J93" s="54"/>
      <c r="K93" s="33"/>
      <c r="L93" s="2"/>
    </row>
    <row r="94" spans="1:20" ht="16.5" x14ac:dyDescent="0.3">
      <c r="A94" s="33"/>
      <c r="B94" s="5"/>
      <c r="C94" s="6"/>
      <c r="D94" s="50"/>
      <c r="E94" s="78"/>
      <c r="F94" s="36"/>
      <c r="G94" s="2"/>
      <c r="H94" s="2"/>
      <c r="I94" s="2"/>
      <c r="J94" s="54"/>
      <c r="K94" s="36"/>
      <c r="L94" s="2"/>
    </row>
    <row r="95" spans="1:20" ht="16.5" x14ac:dyDescent="0.3">
      <c r="A95" s="36"/>
      <c r="B95" s="5"/>
      <c r="C95" s="6"/>
      <c r="D95" s="14"/>
      <c r="E95" s="78"/>
      <c r="F95" s="36"/>
      <c r="G95" s="2"/>
      <c r="H95" s="2"/>
      <c r="I95" s="2"/>
      <c r="J95" s="54"/>
      <c r="K95" s="36"/>
      <c r="L95" s="2"/>
    </row>
    <row r="96" spans="1:20" x14ac:dyDescent="0.25">
      <c r="A96" s="3" t="s">
        <v>2</v>
      </c>
      <c r="B96" s="5">
        <f>SUM(B88:B95)</f>
        <v>1.27</v>
      </c>
      <c r="C96" s="6"/>
      <c r="D96" s="14">
        <f>SUM(D88:D95)</f>
        <v>1.157862E-2</v>
      </c>
      <c r="E96" s="78"/>
      <c r="F96" s="3" t="s">
        <v>2</v>
      </c>
      <c r="G96" s="5">
        <f>SUM(G88:G95)</f>
        <v>40.989087070999993</v>
      </c>
      <c r="H96" s="6"/>
      <c r="I96" s="7">
        <f t="shared" ref="I96" si="6">SUM(I88:I95)</f>
        <v>0.37161456999999998</v>
      </c>
      <c r="J96" s="55"/>
      <c r="K96" s="3" t="s">
        <v>2</v>
      </c>
      <c r="L96" s="5">
        <f>SUM(L88:L95)</f>
        <v>0.8</v>
      </c>
    </row>
    <row r="99" spans="1:20" ht="15" customHeight="1" x14ac:dyDescent="0.25">
      <c r="A99" s="82" t="s">
        <v>20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4"/>
      <c r="N99" s="38"/>
      <c r="O99" s="9"/>
      <c r="P99" s="9"/>
      <c r="Q99" s="9"/>
      <c r="R99" s="9"/>
      <c r="S99" s="38"/>
      <c r="T99" s="9"/>
    </row>
    <row r="100" spans="1:20" x14ac:dyDescent="0.25">
      <c r="A100" s="77" t="s">
        <v>102</v>
      </c>
      <c r="B100" s="77"/>
      <c r="C100" s="77"/>
      <c r="D100" s="77"/>
      <c r="E100" s="78"/>
      <c r="F100" s="77" t="s">
        <v>103</v>
      </c>
      <c r="G100" s="77"/>
      <c r="H100" s="77"/>
      <c r="I100" s="77"/>
      <c r="J100" s="53"/>
      <c r="K100" s="77" t="s">
        <v>25</v>
      </c>
      <c r="L100" s="77"/>
      <c r="N100" s="38"/>
      <c r="O100" s="9"/>
      <c r="P100" s="9"/>
      <c r="Q100" s="9"/>
      <c r="R100" s="9"/>
      <c r="S100" s="38"/>
      <c r="T100" s="9"/>
    </row>
    <row r="101" spans="1:20" x14ac:dyDescent="0.25">
      <c r="A101" s="28" t="s">
        <v>90</v>
      </c>
      <c r="B101" s="3" t="s">
        <v>3</v>
      </c>
      <c r="C101" s="3" t="s">
        <v>0</v>
      </c>
      <c r="D101" s="3" t="s">
        <v>1</v>
      </c>
      <c r="E101" s="78"/>
      <c r="F101" s="28" t="s">
        <v>90</v>
      </c>
      <c r="G101" s="3" t="s">
        <v>105</v>
      </c>
      <c r="H101" s="3" t="s">
        <v>0</v>
      </c>
      <c r="I101" s="3" t="s">
        <v>1</v>
      </c>
      <c r="J101" s="53"/>
      <c r="K101" s="3" t="s">
        <v>90</v>
      </c>
      <c r="L101" s="3" t="s">
        <v>105</v>
      </c>
      <c r="N101" s="38"/>
      <c r="O101" s="9"/>
      <c r="P101" s="9"/>
      <c r="Q101" s="9"/>
      <c r="R101" s="9"/>
      <c r="S101" s="38"/>
      <c r="T101" s="9"/>
    </row>
    <row r="102" spans="1:20" x14ac:dyDescent="0.25">
      <c r="A102" s="33">
        <f>N5</f>
        <v>46113</v>
      </c>
      <c r="B102" s="34">
        <v>2.8</v>
      </c>
      <c r="C102" s="5">
        <f>B102/D102</f>
        <v>96.60998995601139</v>
      </c>
      <c r="D102" s="50">
        <v>2.898251E-2</v>
      </c>
      <c r="E102" s="78"/>
      <c r="F102" s="33">
        <v>46114</v>
      </c>
      <c r="G102" s="6">
        <v>63.41</v>
      </c>
      <c r="H102" s="5">
        <f>G102/I102</f>
        <v>95.348798113438093</v>
      </c>
      <c r="I102" s="6">
        <v>0.66503197999999997</v>
      </c>
      <c r="J102" s="52"/>
      <c r="K102" s="33"/>
      <c r="L102" s="5"/>
    </row>
    <row r="103" spans="1:20" x14ac:dyDescent="0.25">
      <c r="A103" s="33"/>
      <c r="B103" s="34"/>
      <c r="C103" s="6"/>
      <c r="D103" s="50"/>
      <c r="E103" s="78"/>
      <c r="F103" s="33"/>
      <c r="G103" s="6"/>
      <c r="H103" s="5"/>
      <c r="I103" s="6"/>
      <c r="J103" s="52"/>
      <c r="K103" s="33"/>
      <c r="L103" s="5"/>
    </row>
    <row r="104" spans="1:20" x14ac:dyDescent="0.25">
      <c r="A104" s="33"/>
      <c r="B104" s="34"/>
      <c r="C104" s="6"/>
      <c r="D104" s="50"/>
      <c r="E104" s="78"/>
      <c r="F104" s="33"/>
      <c r="G104" s="6"/>
      <c r="H104" s="5"/>
      <c r="I104" s="6"/>
      <c r="J104" s="52"/>
      <c r="K104" s="33"/>
      <c r="L104" s="5"/>
    </row>
    <row r="105" spans="1:20" x14ac:dyDescent="0.25">
      <c r="A105" s="33"/>
      <c r="B105" s="34"/>
      <c r="C105" s="6"/>
      <c r="D105" s="50"/>
      <c r="E105" s="78"/>
      <c r="F105" s="33"/>
      <c r="G105" s="6"/>
      <c r="H105" s="5"/>
      <c r="I105" s="6"/>
      <c r="J105" s="52"/>
      <c r="K105" s="33"/>
      <c r="L105" s="5"/>
    </row>
    <row r="106" spans="1:20" x14ac:dyDescent="0.25">
      <c r="A106" s="33"/>
      <c r="B106" s="5"/>
      <c r="C106" s="6"/>
      <c r="D106" s="50"/>
      <c r="E106" s="78"/>
      <c r="F106" s="33"/>
      <c r="G106" s="2"/>
      <c r="H106" s="2"/>
      <c r="I106" s="2"/>
      <c r="J106" s="54"/>
      <c r="K106" s="33"/>
      <c r="L106" s="2"/>
    </row>
    <row r="107" spans="1:20" x14ac:dyDescent="0.25">
      <c r="A107" s="33"/>
      <c r="B107" s="5"/>
      <c r="C107" s="6"/>
      <c r="D107" s="50"/>
      <c r="E107" s="78"/>
      <c r="F107" s="33"/>
      <c r="G107" s="2"/>
      <c r="H107" s="2"/>
      <c r="I107" s="2"/>
      <c r="J107" s="54"/>
      <c r="K107" s="33"/>
      <c r="L107" s="2"/>
    </row>
    <row r="108" spans="1:20" ht="16.5" x14ac:dyDescent="0.3">
      <c r="A108" s="33"/>
      <c r="B108" s="5"/>
      <c r="C108" s="6"/>
      <c r="D108" s="50"/>
      <c r="E108" s="78"/>
      <c r="F108" s="36"/>
      <c r="G108" s="2"/>
      <c r="H108" s="2"/>
      <c r="I108" s="2"/>
      <c r="J108" s="54"/>
      <c r="K108" s="36"/>
      <c r="L108" s="2"/>
    </row>
    <row r="109" spans="1:20" ht="16.5" x14ac:dyDescent="0.3">
      <c r="A109" s="36"/>
      <c r="B109" s="5"/>
      <c r="C109" s="6"/>
      <c r="D109" s="14"/>
      <c r="E109" s="78"/>
      <c r="F109" s="36"/>
      <c r="G109" s="2"/>
      <c r="H109" s="2"/>
      <c r="I109" s="2"/>
      <c r="J109" s="54"/>
      <c r="K109" s="36"/>
      <c r="L109" s="2"/>
    </row>
    <row r="110" spans="1:20" x14ac:dyDescent="0.25">
      <c r="A110" s="3" t="s">
        <v>2</v>
      </c>
      <c r="B110" s="5">
        <f>SUM(B102:B109)</f>
        <v>2.8</v>
      </c>
      <c r="C110" s="6"/>
      <c r="D110" s="14">
        <f>SUM(D102:D109)</f>
        <v>2.898251E-2</v>
      </c>
      <c r="E110" s="78"/>
      <c r="F110" s="3" t="s">
        <v>2</v>
      </c>
      <c r="G110" s="5">
        <f>SUM(G102:G109)</f>
        <v>63.41</v>
      </c>
      <c r="H110" s="6"/>
      <c r="I110" s="7">
        <f t="shared" ref="I110" si="7">SUM(I102:I109)</f>
        <v>0.66503197999999997</v>
      </c>
      <c r="J110" s="55"/>
      <c r="K110" s="3" t="s">
        <v>2</v>
      </c>
      <c r="L110" s="5">
        <f>SUM(L102:L109)</f>
        <v>0</v>
      </c>
    </row>
    <row r="113" spans="1:20" ht="15" customHeight="1" x14ac:dyDescent="0.25">
      <c r="A113" s="82" t="s">
        <v>20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4"/>
      <c r="N113" s="38"/>
      <c r="O113" s="9"/>
      <c r="P113" s="9"/>
      <c r="Q113" s="9"/>
      <c r="R113" s="9"/>
      <c r="S113" s="38"/>
      <c r="T113" s="9"/>
    </row>
    <row r="114" spans="1:20" x14ac:dyDescent="0.25">
      <c r="A114" s="77" t="s">
        <v>102</v>
      </c>
      <c r="B114" s="77"/>
      <c r="C114" s="77"/>
      <c r="D114" s="77"/>
      <c r="E114" s="78"/>
      <c r="F114" s="77" t="s">
        <v>103</v>
      </c>
      <c r="G114" s="77"/>
      <c r="H114" s="77"/>
      <c r="I114" s="77"/>
      <c r="J114" s="53"/>
      <c r="K114" s="77" t="s">
        <v>25</v>
      </c>
      <c r="L114" s="77"/>
      <c r="N114" s="38"/>
      <c r="O114" s="9"/>
      <c r="P114" s="9"/>
      <c r="Q114" s="9"/>
      <c r="R114" s="9"/>
      <c r="S114" s="38"/>
      <c r="T114" s="9"/>
    </row>
    <row r="115" spans="1:20" x14ac:dyDescent="0.25">
      <c r="A115" s="28" t="s">
        <v>90</v>
      </c>
      <c r="B115" s="3" t="s">
        <v>3</v>
      </c>
      <c r="C115" s="3" t="s">
        <v>0</v>
      </c>
      <c r="D115" s="3" t="s">
        <v>1</v>
      </c>
      <c r="E115" s="78"/>
      <c r="F115" s="28" t="s">
        <v>90</v>
      </c>
      <c r="G115" s="3" t="s">
        <v>105</v>
      </c>
      <c r="H115" s="3" t="s">
        <v>0</v>
      </c>
      <c r="I115" s="3" t="s">
        <v>1</v>
      </c>
      <c r="J115" s="53"/>
      <c r="K115" s="3" t="s">
        <v>90</v>
      </c>
      <c r="L115" s="3" t="s">
        <v>105</v>
      </c>
      <c r="N115" s="38"/>
      <c r="O115" s="9"/>
      <c r="P115" s="9"/>
      <c r="Q115" s="9"/>
      <c r="R115" s="9"/>
      <c r="S115" s="38"/>
      <c r="T115" s="9"/>
    </row>
    <row r="116" spans="1:20" x14ac:dyDescent="0.25">
      <c r="A116" s="33">
        <f>N5</f>
        <v>46113</v>
      </c>
      <c r="B116" s="34">
        <v>0.49</v>
      </c>
      <c r="C116" s="5">
        <f>B116/D116</f>
        <v>93.422841312724387</v>
      </c>
      <c r="D116" s="50">
        <v>5.2449699999999998E-3</v>
      </c>
      <c r="E116" s="78"/>
      <c r="F116" s="33">
        <v>46114</v>
      </c>
      <c r="G116" s="6">
        <v>20.83</v>
      </c>
      <c r="H116" s="5">
        <f>G116/I116</f>
        <v>90.799931265803338</v>
      </c>
      <c r="I116" s="6">
        <v>0.22940546000000001</v>
      </c>
      <c r="J116" s="52"/>
      <c r="K116" s="33"/>
      <c r="L116" s="5"/>
    </row>
    <row r="117" spans="1:20" x14ac:dyDescent="0.25">
      <c r="A117" s="33"/>
      <c r="B117" s="34"/>
      <c r="C117" s="6"/>
      <c r="D117" s="50"/>
      <c r="E117" s="78"/>
      <c r="F117" s="33"/>
      <c r="G117" s="6"/>
      <c r="H117" s="5"/>
      <c r="I117" s="6"/>
      <c r="J117" s="52"/>
      <c r="K117" s="33"/>
      <c r="L117" s="5"/>
    </row>
    <row r="118" spans="1:20" x14ac:dyDescent="0.25">
      <c r="A118" s="33"/>
      <c r="B118" s="34"/>
      <c r="C118" s="6"/>
      <c r="D118" s="50"/>
      <c r="E118" s="78"/>
      <c r="F118" s="33"/>
      <c r="G118" s="6"/>
      <c r="H118" s="5"/>
      <c r="I118" s="6"/>
      <c r="J118" s="52"/>
      <c r="K118" s="33"/>
      <c r="L118" s="5"/>
    </row>
    <row r="119" spans="1:20" x14ac:dyDescent="0.25">
      <c r="A119" s="33"/>
      <c r="B119" s="34"/>
      <c r="C119" s="6"/>
      <c r="D119" s="50"/>
      <c r="E119" s="78"/>
      <c r="F119" s="33"/>
      <c r="G119" s="6"/>
      <c r="H119" s="5"/>
      <c r="I119" s="6"/>
      <c r="J119" s="52"/>
      <c r="K119" s="33"/>
      <c r="L119" s="5"/>
    </row>
    <row r="120" spans="1:20" x14ac:dyDescent="0.25">
      <c r="A120" s="33"/>
      <c r="B120" s="5"/>
      <c r="C120" s="6"/>
      <c r="D120" s="50"/>
      <c r="E120" s="78"/>
      <c r="F120" s="33"/>
      <c r="G120" s="2"/>
      <c r="H120" s="2"/>
      <c r="I120" s="2"/>
      <c r="J120" s="54"/>
      <c r="K120" s="33"/>
      <c r="L120" s="2"/>
    </row>
    <row r="121" spans="1:20" x14ac:dyDescent="0.25">
      <c r="A121" s="33"/>
      <c r="B121" s="5"/>
      <c r="C121" s="6"/>
      <c r="D121" s="50"/>
      <c r="E121" s="78"/>
      <c r="F121" s="33"/>
      <c r="G121" s="2"/>
      <c r="H121" s="2"/>
      <c r="I121" s="2"/>
      <c r="J121" s="54"/>
      <c r="K121" s="33"/>
      <c r="L121" s="2"/>
    </row>
    <row r="122" spans="1:20" ht="16.5" x14ac:dyDescent="0.3">
      <c r="A122" s="33"/>
      <c r="B122" s="5"/>
      <c r="C122" s="6"/>
      <c r="D122" s="50"/>
      <c r="E122" s="78"/>
      <c r="F122" s="36"/>
      <c r="G122" s="2"/>
      <c r="H122" s="2"/>
      <c r="I122" s="2"/>
      <c r="J122" s="54"/>
      <c r="K122" s="36"/>
      <c r="L122" s="2"/>
    </row>
    <row r="123" spans="1:20" ht="16.5" x14ac:dyDescent="0.3">
      <c r="A123" s="36"/>
      <c r="B123" s="5"/>
      <c r="C123" s="6"/>
      <c r="D123" s="14"/>
      <c r="E123" s="78"/>
      <c r="F123" s="36"/>
      <c r="G123" s="2"/>
      <c r="H123" s="2"/>
      <c r="I123" s="2"/>
      <c r="J123" s="54"/>
      <c r="K123" s="36"/>
      <c r="L123" s="2"/>
    </row>
    <row r="124" spans="1:20" x14ac:dyDescent="0.25">
      <c r="A124" s="3" t="s">
        <v>2</v>
      </c>
      <c r="B124" s="5">
        <f>SUM(B116:B123)</f>
        <v>0.49</v>
      </c>
      <c r="C124" s="6"/>
      <c r="D124" s="14">
        <f>SUM(D116:D123)</f>
        <v>5.2449699999999998E-3</v>
      </c>
      <c r="E124" s="78"/>
      <c r="F124" s="3" t="s">
        <v>2</v>
      </c>
      <c r="G124" s="5">
        <f>SUM(G116:G123)</f>
        <v>20.83</v>
      </c>
      <c r="H124" s="6"/>
      <c r="I124" s="7">
        <f t="shared" ref="I124" si="8">SUM(I116:I123)</f>
        <v>0.22940546000000001</v>
      </c>
      <c r="J124" s="55"/>
      <c r="K124" s="3" t="s">
        <v>2</v>
      </c>
      <c r="L124" s="5">
        <f>SUM(L116:L123)</f>
        <v>0</v>
      </c>
    </row>
    <row r="127" spans="1:20" x14ac:dyDescent="0.25">
      <c r="A127" s="79" t="s">
        <v>110</v>
      </c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1"/>
    </row>
    <row r="128" spans="1:20" x14ac:dyDescent="0.25">
      <c r="A128" s="77" t="s">
        <v>102</v>
      </c>
      <c r="B128" s="77"/>
      <c r="C128" s="77"/>
      <c r="D128" s="77"/>
      <c r="E128" s="78"/>
      <c r="F128" s="77" t="s">
        <v>103</v>
      </c>
      <c r="G128" s="77"/>
      <c r="H128" s="77"/>
      <c r="I128" s="77"/>
      <c r="J128" s="53"/>
      <c r="K128" s="77" t="s">
        <v>25</v>
      </c>
      <c r="L128" s="77"/>
    </row>
    <row r="129" spans="1:12" x14ac:dyDescent="0.25">
      <c r="A129" s="28" t="s">
        <v>90</v>
      </c>
      <c r="B129" s="3" t="s">
        <v>3</v>
      </c>
      <c r="C129" s="3" t="s">
        <v>0</v>
      </c>
      <c r="D129" s="3" t="s">
        <v>1</v>
      </c>
      <c r="E129" s="78"/>
      <c r="F129" s="28" t="s">
        <v>90</v>
      </c>
      <c r="G129" s="3" t="s">
        <v>105</v>
      </c>
      <c r="H129" s="3" t="s">
        <v>0</v>
      </c>
      <c r="I129" s="3" t="s">
        <v>1</v>
      </c>
      <c r="J129" s="53"/>
      <c r="K129" s="3" t="s">
        <v>90</v>
      </c>
      <c r="L129" s="3" t="s">
        <v>105</v>
      </c>
    </row>
    <row r="130" spans="1:12" x14ac:dyDescent="0.25">
      <c r="A130" s="33">
        <f>N7</f>
        <v>0</v>
      </c>
      <c r="B130" s="34">
        <v>6.39</v>
      </c>
      <c r="C130" s="5">
        <f>B130/D130</f>
        <v>69.950003809483775</v>
      </c>
      <c r="D130" s="50">
        <v>9.1350959999999995E-2</v>
      </c>
      <c r="E130" s="78"/>
      <c r="F130" s="33">
        <v>46125</v>
      </c>
      <c r="G130" s="6">
        <v>0.09</v>
      </c>
      <c r="H130" s="5">
        <f>G130/I130</f>
        <v>71.550093015120922</v>
      </c>
      <c r="I130" s="6">
        <v>1.25786E-3</v>
      </c>
      <c r="J130" s="52"/>
      <c r="K130" s="33"/>
      <c r="L130" s="5"/>
    </row>
    <row r="131" spans="1:12" x14ac:dyDescent="0.25">
      <c r="A131" s="33">
        <v>46121</v>
      </c>
      <c r="B131" s="34">
        <v>3.26</v>
      </c>
      <c r="C131" s="5">
        <f>B131/D131</f>
        <v>71.719992828000713</v>
      </c>
      <c r="D131" s="50">
        <v>4.5454550000000003E-2</v>
      </c>
      <c r="E131" s="78"/>
      <c r="F131" s="33"/>
      <c r="G131" s="6"/>
      <c r="H131" s="5"/>
      <c r="I131" s="6"/>
      <c r="J131" s="52"/>
      <c r="K131" s="33"/>
      <c r="L131" s="5"/>
    </row>
    <row r="132" spans="1:12" x14ac:dyDescent="0.25">
      <c r="A132" s="33"/>
      <c r="B132" s="34"/>
      <c r="C132" s="6"/>
      <c r="D132" s="50"/>
      <c r="E132" s="78"/>
      <c r="F132" s="33"/>
      <c r="G132" s="6"/>
      <c r="H132" s="5"/>
      <c r="I132" s="6"/>
      <c r="J132" s="52"/>
      <c r="K132" s="33"/>
      <c r="L132" s="5"/>
    </row>
    <row r="133" spans="1:12" x14ac:dyDescent="0.25">
      <c r="A133" s="33"/>
      <c r="B133" s="34"/>
      <c r="C133" s="6"/>
      <c r="D133" s="50"/>
      <c r="E133" s="78"/>
      <c r="F133" s="33"/>
      <c r="G133" s="6"/>
      <c r="H133" s="5"/>
      <c r="I133" s="6"/>
      <c r="J133" s="52"/>
      <c r="K133" s="33"/>
      <c r="L133" s="5"/>
    </row>
    <row r="134" spans="1:12" x14ac:dyDescent="0.25">
      <c r="A134" s="33"/>
      <c r="B134" s="5"/>
      <c r="C134" s="6"/>
      <c r="D134" s="50"/>
      <c r="E134" s="78"/>
      <c r="F134" s="33"/>
      <c r="G134" s="2"/>
      <c r="H134" s="2"/>
      <c r="I134" s="2"/>
      <c r="J134" s="54"/>
      <c r="K134" s="33"/>
      <c r="L134" s="2"/>
    </row>
    <row r="135" spans="1:12" x14ac:dyDescent="0.25">
      <c r="A135" s="33"/>
      <c r="B135" s="5"/>
      <c r="C135" s="6"/>
      <c r="D135" s="50"/>
      <c r="E135" s="78"/>
      <c r="F135" s="33"/>
      <c r="G135" s="2"/>
      <c r="H135" s="2"/>
      <c r="I135" s="2"/>
      <c r="J135" s="54"/>
      <c r="K135" s="33"/>
      <c r="L135" s="2"/>
    </row>
    <row r="136" spans="1:12" ht="16.5" x14ac:dyDescent="0.3">
      <c r="A136" s="33"/>
      <c r="B136" s="5"/>
      <c r="C136" s="6"/>
      <c r="D136" s="50"/>
      <c r="E136" s="78"/>
      <c r="F136" s="36"/>
      <c r="G136" s="2"/>
      <c r="H136" s="2"/>
      <c r="I136" s="2"/>
      <c r="J136" s="54"/>
      <c r="K136" s="36"/>
      <c r="L136" s="2"/>
    </row>
    <row r="137" spans="1:12" ht="16.5" x14ac:dyDescent="0.3">
      <c r="A137" s="36"/>
      <c r="B137" s="5"/>
      <c r="C137" s="6"/>
      <c r="D137" s="14"/>
      <c r="E137" s="78"/>
      <c r="F137" s="36"/>
      <c r="G137" s="2"/>
      <c r="H137" s="2"/>
      <c r="I137" s="2"/>
      <c r="J137" s="54"/>
      <c r="K137" s="36"/>
      <c r="L137" s="2"/>
    </row>
    <row r="138" spans="1:12" x14ac:dyDescent="0.25">
      <c r="A138" s="3" t="s">
        <v>2</v>
      </c>
      <c r="B138" s="5">
        <f>SUM(B130:B137)</f>
        <v>9.6499999999999986</v>
      </c>
      <c r="C138" s="6"/>
      <c r="D138" s="14">
        <f>SUM(D130:D137)</f>
        <v>0.13680550999999999</v>
      </c>
      <c r="E138" s="78"/>
      <c r="F138" s="3" t="s">
        <v>2</v>
      </c>
      <c r="G138" s="5">
        <f>SUM(G130:G137)</f>
        <v>0.09</v>
      </c>
      <c r="H138" s="6"/>
      <c r="I138" s="14">
        <f t="shared" ref="I138" si="9">SUM(I130:I137)</f>
        <v>1.25786E-3</v>
      </c>
      <c r="J138" s="55"/>
      <c r="K138" s="3" t="s">
        <v>2</v>
      </c>
      <c r="L138" s="5">
        <f>SUM(L130:L137)</f>
        <v>0</v>
      </c>
    </row>
    <row r="141" spans="1:12" x14ac:dyDescent="0.25">
      <c r="A141" s="79" t="s">
        <v>111</v>
      </c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1"/>
    </row>
    <row r="142" spans="1:12" x14ac:dyDescent="0.25">
      <c r="A142" s="77" t="s">
        <v>102</v>
      </c>
      <c r="B142" s="77"/>
      <c r="C142" s="77"/>
      <c r="D142" s="77"/>
      <c r="E142" s="78"/>
      <c r="F142" s="77" t="s">
        <v>103</v>
      </c>
      <c r="G142" s="77"/>
      <c r="H142" s="77"/>
      <c r="I142" s="77"/>
      <c r="J142" s="53"/>
      <c r="K142" s="77" t="s">
        <v>25</v>
      </c>
      <c r="L142" s="77"/>
    </row>
    <row r="143" spans="1:12" x14ac:dyDescent="0.25">
      <c r="A143" s="28" t="s">
        <v>90</v>
      </c>
      <c r="B143" s="3" t="s">
        <v>3</v>
      </c>
      <c r="C143" s="3" t="s">
        <v>0</v>
      </c>
      <c r="D143" s="3" t="s">
        <v>1</v>
      </c>
      <c r="E143" s="78"/>
      <c r="F143" s="28" t="s">
        <v>90</v>
      </c>
      <c r="G143" s="3" t="s">
        <v>105</v>
      </c>
      <c r="H143" s="3" t="s">
        <v>0</v>
      </c>
      <c r="I143" s="3" t="s">
        <v>1</v>
      </c>
      <c r="J143" s="53"/>
      <c r="K143" s="3" t="s">
        <v>90</v>
      </c>
      <c r="L143" s="3" t="s">
        <v>105</v>
      </c>
    </row>
    <row r="144" spans="1:12" x14ac:dyDescent="0.25">
      <c r="A144" s="33">
        <f>N7</f>
        <v>0</v>
      </c>
      <c r="B144" s="34">
        <v>6.39</v>
      </c>
      <c r="C144" s="5">
        <f>B144/D144</f>
        <v>17.199999903098593</v>
      </c>
      <c r="D144" s="50">
        <v>0.37151162999999998</v>
      </c>
      <c r="E144" s="78"/>
      <c r="F144" s="33"/>
      <c r="G144" s="6"/>
      <c r="H144" s="5"/>
      <c r="I144" s="6"/>
      <c r="J144" s="52"/>
      <c r="K144" s="33"/>
      <c r="L144" s="5"/>
    </row>
    <row r="145" spans="1:12" x14ac:dyDescent="0.25">
      <c r="A145" s="33">
        <v>46121</v>
      </c>
      <c r="B145" s="34">
        <v>3.21</v>
      </c>
      <c r="C145" s="5">
        <f>B145/D145</f>
        <v>17.486000168976862</v>
      </c>
      <c r="D145" s="50">
        <v>0.18357543000000001</v>
      </c>
      <c r="E145" s="78"/>
      <c r="F145" s="33"/>
      <c r="G145" s="6"/>
      <c r="H145" s="5"/>
      <c r="I145" s="6"/>
      <c r="J145" s="52"/>
      <c r="K145" s="33"/>
      <c r="L145" s="5"/>
    </row>
    <row r="146" spans="1:12" x14ac:dyDescent="0.25">
      <c r="A146" s="33">
        <v>46125</v>
      </c>
      <c r="B146" s="34">
        <v>0.12</v>
      </c>
      <c r="C146" s="5">
        <f>B146/D146</f>
        <v>17.398011407296146</v>
      </c>
      <c r="D146" s="50">
        <v>6.8973400000000001E-3</v>
      </c>
      <c r="E146" s="78"/>
      <c r="F146" s="33"/>
      <c r="G146" s="6"/>
      <c r="H146" s="5"/>
      <c r="I146" s="6"/>
      <c r="J146" s="52"/>
      <c r="K146" s="33"/>
      <c r="L146" s="5"/>
    </row>
    <row r="147" spans="1:12" x14ac:dyDescent="0.25">
      <c r="A147" s="33"/>
      <c r="B147" s="34"/>
      <c r="C147" s="6"/>
      <c r="D147" s="50"/>
      <c r="E147" s="78"/>
      <c r="F147" s="33"/>
      <c r="G147" s="6"/>
      <c r="H147" s="5"/>
      <c r="I147" s="6"/>
      <c r="J147" s="52"/>
      <c r="K147" s="33"/>
      <c r="L147" s="5"/>
    </row>
    <row r="148" spans="1:12" x14ac:dyDescent="0.25">
      <c r="A148" s="33"/>
      <c r="B148" s="5"/>
      <c r="C148" s="6"/>
      <c r="D148" s="50"/>
      <c r="E148" s="78"/>
      <c r="F148" s="33"/>
      <c r="G148" s="2"/>
      <c r="H148" s="2"/>
      <c r="I148" s="2"/>
      <c r="J148" s="54"/>
      <c r="K148" s="33"/>
      <c r="L148" s="2"/>
    </row>
    <row r="149" spans="1:12" x14ac:dyDescent="0.25">
      <c r="A149" s="33"/>
      <c r="B149" s="5"/>
      <c r="C149" s="6"/>
      <c r="D149" s="50"/>
      <c r="E149" s="78"/>
      <c r="F149" s="33"/>
      <c r="G149" s="2"/>
      <c r="H149" s="2"/>
      <c r="I149" s="2"/>
      <c r="J149" s="54"/>
      <c r="K149" s="33"/>
      <c r="L149" s="2"/>
    </row>
    <row r="150" spans="1:12" ht="16.5" x14ac:dyDescent="0.3">
      <c r="A150" s="33"/>
      <c r="B150" s="5"/>
      <c r="C150" s="6"/>
      <c r="D150" s="50"/>
      <c r="E150" s="78"/>
      <c r="F150" s="36"/>
      <c r="G150" s="2"/>
      <c r="H150" s="2"/>
      <c r="I150" s="2"/>
      <c r="J150" s="54"/>
      <c r="K150" s="36"/>
      <c r="L150" s="2"/>
    </row>
    <row r="151" spans="1:12" ht="16.5" x14ac:dyDescent="0.3">
      <c r="A151" s="36"/>
      <c r="B151" s="5"/>
      <c r="C151" s="6"/>
      <c r="D151" s="14"/>
      <c r="E151" s="78"/>
      <c r="F151" s="36"/>
      <c r="G151" s="2"/>
      <c r="H151" s="2"/>
      <c r="I151" s="2"/>
      <c r="J151" s="54"/>
      <c r="K151" s="36"/>
      <c r="L151" s="2"/>
    </row>
    <row r="152" spans="1:12" x14ac:dyDescent="0.25">
      <c r="A152" s="3" t="s">
        <v>2</v>
      </c>
      <c r="B152" s="5">
        <f>SUM(B144:B151)</f>
        <v>9.7199999999999989</v>
      </c>
      <c r="C152" s="6"/>
      <c r="D152" s="14">
        <f>SUM(D144:D151)</f>
        <v>0.56198439999999994</v>
      </c>
      <c r="E152" s="78"/>
      <c r="F152" s="3" t="s">
        <v>2</v>
      </c>
      <c r="G152" s="5">
        <f>SUM(G144:G151)</f>
        <v>0</v>
      </c>
      <c r="H152" s="6"/>
      <c r="I152" s="7">
        <f t="shared" ref="I152" si="10">SUM(I144:I151)</f>
        <v>0</v>
      </c>
      <c r="J152" s="55"/>
      <c r="K152" s="3" t="s">
        <v>2</v>
      </c>
      <c r="L152" s="5">
        <f>SUM(L144:L151)</f>
        <v>0</v>
      </c>
    </row>
    <row r="155" spans="1:12" x14ac:dyDescent="0.25">
      <c r="A155" s="79" t="s">
        <v>114</v>
      </c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1"/>
    </row>
    <row r="156" spans="1:12" x14ac:dyDescent="0.25">
      <c r="A156" s="77" t="s">
        <v>102</v>
      </c>
      <c r="B156" s="77"/>
      <c r="C156" s="77"/>
      <c r="D156" s="77"/>
      <c r="E156" s="78"/>
      <c r="F156" s="77" t="s">
        <v>103</v>
      </c>
      <c r="G156" s="77"/>
      <c r="H156" s="77"/>
      <c r="I156" s="77"/>
      <c r="J156" s="53"/>
      <c r="K156" s="77" t="s">
        <v>25</v>
      </c>
      <c r="L156" s="77"/>
    </row>
    <row r="157" spans="1:12" x14ac:dyDescent="0.25">
      <c r="A157" s="28" t="s">
        <v>90</v>
      </c>
      <c r="B157" s="3" t="s">
        <v>3</v>
      </c>
      <c r="C157" s="3" t="s">
        <v>0</v>
      </c>
      <c r="D157" s="3" t="s">
        <v>1</v>
      </c>
      <c r="E157" s="78"/>
      <c r="F157" s="28" t="s">
        <v>90</v>
      </c>
      <c r="G157" s="3" t="s">
        <v>105</v>
      </c>
      <c r="H157" s="3" t="s">
        <v>0</v>
      </c>
      <c r="I157" s="3" t="s">
        <v>1</v>
      </c>
      <c r="J157" s="53"/>
      <c r="K157" s="3" t="s">
        <v>90</v>
      </c>
      <c r="L157" s="3" t="s">
        <v>105</v>
      </c>
    </row>
    <row r="158" spans="1:12" x14ac:dyDescent="0.25">
      <c r="A158" s="33">
        <f>N7</f>
        <v>0</v>
      </c>
      <c r="B158" s="34">
        <v>46.85</v>
      </c>
      <c r="C158" s="5">
        <f>B158/D158</f>
        <v>17.993999997680174</v>
      </c>
      <c r="D158" s="50">
        <v>2.6036456600000002</v>
      </c>
      <c r="E158" s="78"/>
      <c r="F158" s="33">
        <v>46120</v>
      </c>
      <c r="G158" s="6">
        <v>7.52</v>
      </c>
      <c r="H158" s="5">
        <f>G158/I158</f>
        <v>18.034599859474014</v>
      </c>
      <c r="I158" s="6">
        <v>0.41697625999999999</v>
      </c>
      <c r="J158" s="52"/>
      <c r="K158" s="33"/>
      <c r="L158" s="5"/>
    </row>
    <row r="159" spans="1:12" x14ac:dyDescent="0.25">
      <c r="A159" s="33"/>
      <c r="B159" s="34"/>
      <c r="C159" s="6"/>
      <c r="D159" s="50"/>
      <c r="E159" s="78"/>
      <c r="F159" s="33">
        <v>46125</v>
      </c>
      <c r="G159" s="6">
        <v>0.27</v>
      </c>
      <c r="H159" s="5">
        <f>G159/I159</f>
        <v>17.848997481308135</v>
      </c>
      <c r="I159" s="14">
        <v>1.51269E-2</v>
      </c>
      <c r="J159" s="52"/>
      <c r="K159" s="33"/>
      <c r="L159" s="5"/>
    </row>
    <row r="160" spans="1:12" x14ac:dyDescent="0.25">
      <c r="A160" s="33"/>
      <c r="B160" s="34"/>
      <c r="C160" s="6"/>
      <c r="D160" s="50"/>
      <c r="E160" s="78"/>
      <c r="F160" s="33"/>
      <c r="G160" s="6"/>
      <c r="H160" s="5"/>
      <c r="I160" s="6"/>
      <c r="J160" s="52"/>
      <c r="K160" s="33"/>
      <c r="L160" s="5"/>
    </row>
    <row r="161" spans="1:12" x14ac:dyDescent="0.25">
      <c r="A161" s="33"/>
      <c r="B161" s="34"/>
      <c r="C161" s="6"/>
      <c r="D161" s="50"/>
      <c r="E161" s="78"/>
      <c r="F161" s="33"/>
      <c r="G161" s="6"/>
      <c r="H161" s="5"/>
      <c r="I161" s="6"/>
      <c r="J161" s="52"/>
      <c r="K161" s="33"/>
      <c r="L161" s="5"/>
    </row>
    <row r="162" spans="1:12" x14ac:dyDescent="0.25">
      <c r="A162" s="33"/>
      <c r="B162" s="5"/>
      <c r="C162" s="6"/>
      <c r="D162" s="50"/>
      <c r="E162" s="78"/>
      <c r="F162" s="33"/>
      <c r="G162" s="2"/>
      <c r="H162" s="2"/>
      <c r="I162" s="2"/>
      <c r="J162" s="54"/>
      <c r="K162" s="33"/>
      <c r="L162" s="2"/>
    </row>
    <row r="163" spans="1:12" x14ac:dyDescent="0.25">
      <c r="A163" s="33"/>
      <c r="B163" s="5"/>
      <c r="C163" s="6"/>
      <c r="D163" s="50"/>
      <c r="E163" s="78"/>
      <c r="F163" s="33"/>
      <c r="G163" s="2"/>
      <c r="H163" s="2"/>
      <c r="I163" s="2"/>
      <c r="J163" s="54"/>
      <c r="K163" s="33"/>
      <c r="L163" s="2"/>
    </row>
    <row r="164" spans="1:12" ht="16.5" x14ac:dyDescent="0.3">
      <c r="A164" s="33"/>
      <c r="B164" s="5"/>
      <c r="C164" s="6"/>
      <c r="D164" s="50"/>
      <c r="E164" s="78"/>
      <c r="F164" s="36"/>
      <c r="G164" s="2"/>
      <c r="H164" s="2"/>
      <c r="I164" s="2"/>
      <c r="J164" s="54"/>
      <c r="K164" s="36"/>
      <c r="L164" s="2"/>
    </row>
    <row r="165" spans="1:12" ht="16.5" x14ac:dyDescent="0.3">
      <c r="A165" s="36"/>
      <c r="B165" s="5"/>
      <c r="C165" s="6"/>
      <c r="D165" s="14"/>
      <c r="E165" s="78"/>
      <c r="F165" s="36"/>
      <c r="G165" s="2"/>
      <c r="H165" s="2"/>
      <c r="I165" s="2"/>
      <c r="J165" s="54"/>
      <c r="K165" s="36"/>
      <c r="L165" s="2"/>
    </row>
    <row r="166" spans="1:12" x14ac:dyDescent="0.25">
      <c r="A166" s="3" t="s">
        <v>2</v>
      </c>
      <c r="B166" s="5">
        <f>SUM(B158:B165)</f>
        <v>46.85</v>
      </c>
      <c r="C166" s="6"/>
      <c r="D166" s="14">
        <f>SUM(D158:D165)</f>
        <v>2.6036456600000002</v>
      </c>
      <c r="E166" s="78"/>
      <c r="F166" s="3" t="s">
        <v>2</v>
      </c>
      <c r="G166" s="5">
        <f>SUM(G158:G165)</f>
        <v>7.7899999999999991</v>
      </c>
      <c r="H166" s="6"/>
      <c r="I166" s="14">
        <f t="shared" ref="I166" si="11">SUM(I158:I165)</f>
        <v>0.43210315999999999</v>
      </c>
      <c r="J166" s="55"/>
      <c r="K166" s="3" t="s">
        <v>2</v>
      </c>
      <c r="L166" s="5">
        <f>SUM(L158:L165)</f>
        <v>0</v>
      </c>
    </row>
    <row r="169" spans="1:12" x14ac:dyDescent="0.25">
      <c r="A169" s="79" t="s">
        <v>116</v>
      </c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1"/>
    </row>
    <row r="170" spans="1:12" x14ac:dyDescent="0.25">
      <c r="A170" s="77" t="s">
        <v>102</v>
      </c>
      <c r="B170" s="77"/>
      <c r="C170" s="77"/>
      <c r="D170" s="77"/>
      <c r="E170" s="78"/>
      <c r="F170" s="77" t="s">
        <v>103</v>
      </c>
      <c r="G170" s="77"/>
      <c r="H170" s="77"/>
      <c r="I170" s="77"/>
      <c r="J170" s="53"/>
      <c r="K170" s="77" t="s">
        <v>25</v>
      </c>
      <c r="L170" s="77"/>
    </row>
    <row r="171" spans="1:12" x14ac:dyDescent="0.25">
      <c r="A171" s="28" t="s">
        <v>90</v>
      </c>
      <c r="B171" s="3" t="s">
        <v>3</v>
      </c>
      <c r="C171" s="3" t="s">
        <v>0</v>
      </c>
      <c r="D171" s="3" t="s">
        <v>1</v>
      </c>
      <c r="E171" s="78"/>
      <c r="F171" s="28" t="s">
        <v>90</v>
      </c>
      <c r="G171" s="3" t="s">
        <v>105</v>
      </c>
      <c r="H171" s="3" t="s">
        <v>0</v>
      </c>
      <c r="I171" s="3" t="s">
        <v>1</v>
      </c>
      <c r="J171" s="53"/>
      <c r="K171" s="3" t="s">
        <v>90</v>
      </c>
      <c r="L171" s="3" t="s">
        <v>105</v>
      </c>
    </row>
    <row r="172" spans="1:12" x14ac:dyDescent="0.25">
      <c r="A172" s="33">
        <f>N7</f>
        <v>0</v>
      </c>
      <c r="B172" s="34">
        <v>4.26</v>
      </c>
      <c r="C172" s="5">
        <f>B172/D172</f>
        <v>4.857999976462648</v>
      </c>
      <c r="D172" s="50">
        <v>0.87690407999999997</v>
      </c>
      <c r="E172" s="78"/>
      <c r="F172" s="33">
        <v>46125</v>
      </c>
      <c r="G172" s="6">
        <v>0.19</v>
      </c>
      <c r="H172" s="5">
        <f>G172/I172</f>
        <v>4.8377002489633316</v>
      </c>
      <c r="I172" s="6">
        <v>3.9274860000000002E-2</v>
      </c>
      <c r="J172" s="52"/>
      <c r="K172" s="33"/>
      <c r="L172" s="5"/>
    </row>
    <row r="173" spans="1:12" x14ac:dyDescent="0.25">
      <c r="A173" s="33">
        <v>46121</v>
      </c>
      <c r="B173" s="34">
        <v>2.34</v>
      </c>
      <c r="C173" s="5">
        <f>B173/D173</f>
        <v>4.9033000089139476</v>
      </c>
      <c r="D173" s="50">
        <v>0.47722962000000002</v>
      </c>
      <c r="E173" s="78"/>
      <c r="F173" s="33"/>
      <c r="G173" s="6"/>
      <c r="H173" s="5"/>
      <c r="I173" s="6"/>
      <c r="J173" s="52"/>
      <c r="K173" s="33"/>
      <c r="L173" s="5"/>
    </row>
    <row r="174" spans="1:12" x14ac:dyDescent="0.25">
      <c r="A174" s="33"/>
      <c r="B174" s="34"/>
      <c r="C174" s="6"/>
      <c r="D174" s="50"/>
      <c r="E174" s="78"/>
      <c r="F174" s="33"/>
      <c r="G174" s="6"/>
      <c r="H174" s="5"/>
      <c r="I174" s="6"/>
      <c r="J174" s="52"/>
      <c r="K174" s="33"/>
      <c r="L174" s="5"/>
    </row>
    <row r="175" spans="1:12" x14ac:dyDescent="0.25">
      <c r="A175" s="33"/>
      <c r="B175" s="34"/>
      <c r="C175" s="6"/>
      <c r="D175" s="50"/>
      <c r="E175" s="78"/>
      <c r="F175" s="33"/>
      <c r="G175" s="6"/>
      <c r="H175" s="5"/>
      <c r="I175" s="6"/>
      <c r="J175" s="52"/>
      <c r="K175" s="33"/>
      <c r="L175" s="5"/>
    </row>
    <row r="176" spans="1:12" x14ac:dyDescent="0.25">
      <c r="A176" s="33"/>
      <c r="B176" s="5"/>
      <c r="C176" s="6"/>
      <c r="D176" s="50"/>
      <c r="E176" s="78"/>
      <c r="F176" s="33"/>
      <c r="G176" s="2"/>
      <c r="H176" s="2"/>
      <c r="I176" s="2"/>
      <c r="J176" s="54"/>
      <c r="K176" s="33"/>
      <c r="L176" s="2"/>
    </row>
    <row r="177" spans="1:12" x14ac:dyDescent="0.25">
      <c r="A177" s="33"/>
      <c r="B177" s="5"/>
      <c r="C177" s="6"/>
      <c r="D177" s="50"/>
      <c r="E177" s="78"/>
      <c r="F177" s="33"/>
      <c r="G177" s="2"/>
      <c r="H177" s="2"/>
      <c r="I177" s="2"/>
      <c r="J177" s="54"/>
      <c r="K177" s="33"/>
      <c r="L177" s="2"/>
    </row>
    <row r="178" spans="1:12" ht="16.5" x14ac:dyDescent="0.3">
      <c r="A178" s="33"/>
      <c r="B178" s="5"/>
      <c r="C178" s="6"/>
      <c r="D178" s="50"/>
      <c r="E178" s="78"/>
      <c r="F178" s="36"/>
      <c r="G178" s="2"/>
      <c r="H178" s="2"/>
      <c r="I178" s="2"/>
      <c r="J178" s="54"/>
      <c r="K178" s="36"/>
      <c r="L178" s="2"/>
    </row>
    <row r="179" spans="1:12" ht="16.5" x14ac:dyDescent="0.3">
      <c r="A179" s="36"/>
      <c r="B179" s="5"/>
      <c r="C179" s="6"/>
      <c r="D179" s="14"/>
      <c r="E179" s="78"/>
      <c r="F179" s="36"/>
      <c r="G179" s="2"/>
      <c r="H179" s="2"/>
      <c r="I179" s="2"/>
      <c r="J179" s="54"/>
      <c r="K179" s="36"/>
      <c r="L179" s="2"/>
    </row>
    <row r="180" spans="1:12" x14ac:dyDescent="0.25">
      <c r="A180" s="3" t="s">
        <v>2</v>
      </c>
      <c r="B180" s="5">
        <f>SUM(B172:B179)</f>
        <v>6.6</v>
      </c>
      <c r="C180" s="6"/>
      <c r="D180" s="14">
        <f>SUM(D172:D179)</f>
        <v>1.3541337</v>
      </c>
      <c r="E180" s="78"/>
      <c r="F180" s="3" t="s">
        <v>2</v>
      </c>
      <c r="G180" s="5">
        <f>SUM(G172:G179)</f>
        <v>0.19</v>
      </c>
      <c r="H180" s="6"/>
      <c r="I180" s="14">
        <f t="shared" ref="I180" si="12">SUM(I172:I179)</f>
        <v>3.9274860000000002E-2</v>
      </c>
      <c r="J180" s="55"/>
      <c r="K180" s="3" t="s">
        <v>2</v>
      </c>
      <c r="L180" s="5">
        <f>SUM(L172:L179)</f>
        <v>0</v>
      </c>
    </row>
    <row r="183" spans="1:12" x14ac:dyDescent="0.25">
      <c r="A183" s="79" t="s">
        <v>118</v>
      </c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1"/>
    </row>
    <row r="184" spans="1:12" x14ac:dyDescent="0.25">
      <c r="A184" s="77" t="s">
        <v>102</v>
      </c>
      <c r="B184" s="77"/>
      <c r="C184" s="77"/>
      <c r="D184" s="77"/>
      <c r="E184" s="78"/>
      <c r="F184" s="77" t="s">
        <v>103</v>
      </c>
      <c r="G184" s="77"/>
      <c r="H184" s="77"/>
      <c r="I184" s="77"/>
      <c r="J184" s="53"/>
      <c r="K184" s="77" t="s">
        <v>25</v>
      </c>
      <c r="L184" s="77"/>
    </row>
    <row r="185" spans="1:12" x14ac:dyDescent="0.25">
      <c r="A185" s="28" t="s">
        <v>90</v>
      </c>
      <c r="B185" s="3" t="s">
        <v>3</v>
      </c>
      <c r="C185" s="3" t="s">
        <v>0</v>
      </c>
      <c r="D185" s="3" t="s">
        <v>1</v>
      </c>
      <c r="E185" s="78"/>
      <c r="F185" s="28" t="s">
        <v>90</v>
      </c>
      <c r="G185" s="3" t="s">
        <v>105</v>
      </c>
      <c r="H185" s="3" t="s">
        <v>0</v>
      </c>
      <c r="I185" s="3" t="s">
        <v>1</v>
      </c>
      <c r="J185" s="53"/>
      <c r="K185" s="3" t="s">
        <v>90</v>
      </c>
      <c r="L185" s="3" t="s">
        <v>105</v>
      </c>
    </row>
    <row r="186" spans="1:12" x14ac:dyDescent="0.25">
      <c r="A186" s="33">
        <f>N7</f>
        <v>0</v>
      </c>
      <c r="B186" s="34">
        <v>6.39</v>
      </c>
      <c r="C186" s="5">
        <f>B186/D186</f>
        <v>21.554967968103234</v>
      </c>
      <c r="D186" s="50">
        <v>0.29645137999999999</v>
      </c>
      <c r="E186" s="78"/>
      <c r="F186" s="33">
        <v>46125</v>
      </c>
      <c r="G186" s="5">
        <v>0.5</v>
      </c>
      <c r="H186" s="5">
        <f>G186/I186</f>
        <v>22.29500302097291</v>
      </c>
      <c r="I186" s="6">
        <v>2.242655E-2</v>
      </c>
      <c r="J186" s="52"/>
      <c r="K186" s="33"/>
      <c r="L186" s="5"/>
    </row>
    <row r="187" spans="1:12" x14ac:dyDescent="0.25">
      <c r="A187" s="33">
        <v>46121</v>
      </c>
      <c r="B187" s="34">
        <v>3.49</v>
      </c>
      <c r="C187" s="5">
        <f>B187/D187</f>
        <v>21.840000655825811</v>
      </c>
      <c r="D187" s="50">
        <v>0.15979852999999999</v>
      </c>
      <c r="E187" s="78"/>
      <c r="F187" s="33"/>
      <c r="G187" s="6"/>
      <c r="H187" s="5"/>
      <c r="I187" s="6"/>
      <c r="J187" s="52"/>
      <c r="K187" s="33"/>
      <c r="L187" s="5"/>
    </row>
    <row r="188" spans="1:12" x14ac:dyDescent="0.25">
      <c r="A188" s="33"/>
      <c r="B188" s="34"/>
      <c r="C188" s="6"/>
      <c r="D188" s="50"/>
      <c r="E188" s="78"/>
      <c r="F188" s="33"/>
      <c r="G188" s="6"/>
      <c r="H188" s="5"/>
      <c r="I188" s="6"/>
      <c r="J188" s="52"/>
      <c r="K188" s="33"/>
      <c r="L188" s="5"/>
    </row>
    <row r="189" spans="1:12" x14ac:dyDescent="0.25">
      <c r="A189" s="33"/>
      <c r="B189" s="34"/>
      <c r="C189" s="6"/>
      <c r="D189" s="50"/>
      <c r="E189" s="78"/>
      <c r="F189" s="33"/>
      <c r="G189" s="6"/>
      <c r="H189" s="5"/>
      <c r="I189" s="6"/>
      <c r="J189" s="52"/>
      <c r="K189" s="33"/>
      <c r="L189" s="5"/>
    </row>
    <row r="190" spans="1:12" x14ac:dyDescent="0.25">
      <c r="A190" s="33"/>
      <c r="B190" s="5"/>
      <c r="C190" s="6"/>
      <c r="D190" s="50"/>
      <c r="E190" s="78"/>
      <c r="F190" s="33"/>
      <c r="G190" s="2"/>
      <c r="H190" s="2"/>
      <c r="I190" s="2"/>
      <c r="J190" s="54"/>
      <c r="K190" s="33"/>
      <c r="L190" s="2"/>
    </row>
    <row r="191" spans="1:12" x14ac:dyDescent="0.25">
      <c r="A191" s="33"/>
      <c r="B191" s="5"/>
      <c r="C191" s="6"/>
      <c r="D191" s="50"/>
      <c r="E191" s="78"/>
      <c r="F191" s="33"/>
      <c r="G191" s="2"/>
      <c r="H191" s="2"/>
      <c r="I191" s="2"/>
      <c r="J191" s="54"/>
      <c r="K191" s="33"/>
      <c r="L191" s="2"/>
    </row>
    <row r="192" spans="1:12" ht="16.5" x14ac:dyDescent="0.3">
      <c r="A192" s="33"/>
      <c r="B192" s="5"/>
      <c r="C192" s="6"/>
      <c r="D192" s="50"/>
      <c r="E192" s="78"/>
      <c r="F192" s="36"/>
      <c r="G192" s="2"/>
      <c r="H192" s="2"/>
      <c r="I192" s="2"/>
      <c r="J192" s="54"/>
      <c r="K192" s="36"/>
      <c r="L192" s="2"/>
    </row>
    <row r="193" spans="1:12" ht="16.5" x14ac:dyDescent="0.3">
      <c r="A193" s="36"/>
      <c r="B193" s="5"/>
      <c r="C193" s="6"/>
      <c r="D193" s="14"/>
      <c r="E193" s="78"/>
      <c r="F193" s="36"/>
      <c r="G193" s="2"/>
      <c r="H193" s="2"/>
      <c r="I193" s="2"/>
      <c r="J193" s="54"/>
      <c r="K193" s="36"/>
      <c r="L193" s="2"/>
    </row>
    <row r="194" spans="1:12" x14ac:dyDescent="0.25">
      <c r="A194" s="3" t="s">
        <v>2</v>
      </c>
      <c r="B194" s="5">
        <f>SUM(B186:B193)</f>
        <v>9.879999999999999</v>
      </c>
      <c r="C194" s="6"/>
      <c r="D194" s="14">
        <f>SUM(D186:D193)</f>
        <v>0.45624990999999998</v>
      </c>
      <c r="E194" s="78"/>
      <c r="F194" s="3" t="s">
        <v>2</v>
      </c>
      <c r="G194" s="5">
        <f>SUM(G186:G193)</f>
        <v>0.5</v>
      </c>
      <c r="H194" s="6"/>
      <c r="I194" s="14">
        <f t="shared" ref="I194" si="13">SUM(I186:I193)</f>
        <v>2.242655E-2</v>
      </c>
      <c r="J194" s="55"/>
      <c r="K194" s="3" t="s">
        <v>2</v>
      </c>
      <c r="L194" s="5">
        <f>SUM(L186:L193)</f>
        <v>0</v>
      </c>
    </row>
    <row r="197" spans="1:12" x14ac:dyDescent="0.25">
      <c r="A197" s="79" t="s">
        <v>120</v>
      </c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1"/>
    </row>
    <row r="198" spans="1:12" x14ac:dyDescent="0.25">
      <c r="A198" s="77" t="s">
        <v>102</v>
      </c>
      <c r="B198" s="77"/>
      <c r="C198" s="77"/>
      <c r="D198" s="77"/>
      <c r="E198" s="78"/>
      <c r="F198" s="77" t="s">
        <v>103</v>
      </c>
      <c r="G198" s="77"/>
      <c r="H198" s="77"/>
      <c r="I198" s="77"/>
      <c r="J198" s="53"/>
      <c r="K198" s="77" t="s">
        <v>25</v>
      </c>
      <c r="L198" s="77"/>
    </row>
    <row r="199" spans="1:12" x14ac:dyDescent="0.25">
      <c r="A199" s="28" t="s">
        <v>90</v>
      </c>
      <c r="B199" s="3" t="s">
        <v>3</v>
      </c>
      <c r="C199" s="3" t="s">
        <v>0</v>
      </c>
      <c r="D199" s="3" t="s">
        <v>1</v>
      </c>
      <c r="E199" s="78"/>
      <c r="F199" s="28" t="s">
        <v>90</v>
      </c>
      <c r="G199" s="3" t="s">
        <v>105</v>
      </c>
      <c r="H199" s="3" t="s">
        <v>0</v>
      </c>
      <c r="I199" s="3" t="s">
        <v>1</v>
      </c>
      <c r="J199" s="53"/>
      <c r="K199" s="3" t="s">
        <v>90</v>
      </c>
      <c r="L199" s="3" t="s">
        <v>105</v>
      </c>
    </row>
    <row r="200" spans="1:12" x14ac:dyDescent="0.25">
      <c r="A200" s="33">
        <f>N7</f>
        <v>0</v>
      </c>
      <c r="B200" s="34">
        <v>52.17</v>
      </c>
      <c r="C200" s="5">
        <f>B200/D200</f>
        <v>183.58000217326068</v>
      </c>
      <c r="D200" s="50">
        <v>0.28418127999999998</v>
      </c>
      <c r="E200" s="78"/>
      <c r="F200" s="33"/>
      <c r="G200" s="6"/>
      <c r="H200" s="5"/>
      <c r="I200" s="6"/>
      <c r="J200" s="52"/>
      <c r="K200" s="33"/>
      <c r="L200" s="5"/>
    </row>
    <row r="201" spans="1:12" x14ac:dyDescent="0.25">
      <c r="A201" s="33">
        <v>46121</v>
      </c>
      <c r="B201" s="34">
        <v>9.6999999999999993</v>
      </c>
      <c r="C201" s="5">
        <f>B201/D201</f>
        <v>187.17998494069482</v>
      </c>
      <c r="D201" s="50">
        <v>5.1821779999999998E-2</v>
      </c>
      <c r="E201" s="78"/>
      <c r="F201" s="33"/>
      <c r="G201" s="6"/>
      <c r="H201" s="5"/>
      <c r="I201" s="6"/>
      <c r="J201" s="52"/>
      <c r="K201" s="33"/>
      <c r="L201" s="5"/>
    </row>
    <row r="202" spans="1:12" x14ac:dyDescent="0.25">
      <c r="A202" s="33">
        <v>46125</v>
      </c>
      <c r="B202" s="34">
        <v>0.2</v>
      </c>
      <c r="C202" s="5">
        <f>B202/D202</f>
        <v>188.30086712549311</v>
      </c>
      <c r="D202" s="50">
        <v>1.0621300000000001E-3</v>
      </c>
      <c r="E202" s="78"/>
      <c r="F202" s="33"/>
      <c r="G202" s="6"/>
      <c r="H202" s="5"/>
      <c r="I202" s="6"/>
      <c r="J202" s="52"/>
      <c r="K202" s="33"/>
      <c r="L202" s="5"/>
    </row>
    <row r="203" spans="1:12" x14ac:dyDescent="0.25">
      <c r="A203" s="33"/>
      <c r="B203" s="34"/>
      <c r="C203" s="6"/>
      <c r="D203" s="50"/>
      <c r="E203" s="78"/>
      <c r="F203" s="33"/>
      <c r="G203" s="6"/>
      <c r="H203" s="5"/>
      <c r="I203" s="6"/>
      <c r="J203" s="52"/>
      <c r="K203" s="33"/>
      <c r="L203" s="5"/>
    </row>
    <row r="204" spans="1:12" x14ac:dyDescent="0.25">
      <c r="A204" s="33"/>
      <c r="B204" s="5"/>
      <c r="C204" s="6"/>
      <c r="D204" s="50"/>
      <c r="E204" s="78"/>
      <c r="F204" s="33"/>
      <c r="G204" s="2"/>
      <c r="H204" s="2"/>
      <c r="I204" s="2"/>
      <c r="J204" s="54"/>
      <c r="K204" s="33"/>
      <c r="L204" s="2"/>
    </row>
    <row r="205" spans="1:12" x14ac:dyDescent="0.25">
      <c r="A205" s="33"/>
      <c r="B205" s="5"/>
      <c r="C205" s="6"/>
      <c r="D205" s="50"/>
      <c r="E205" s="78"/>
      <c r="F205" s="33"/>
      <c r="G205" s="2"/>
      <c r="H205" s="2"/>
      <c r="I205" s="2"/>
      <c r="J205" s="54"/>
      <c r="K205" s="33"/>
      <c r="L205" s="2"/>
    </row>
    <row r="206" spans="1:12" ht="16.5" x14ac:dyDescent="0.3">
      <c r="A206" s="33"/>
      <c r="B206" s="5"/>
      <c r="C206" s="6"/>
      <c r="D206" s="50"/>
      <c r="E206" s="78"/>
      <c r="F206" s="36"/>
      <c r="G206" s="2"/>
      <c r="H206" s="2"/>
      <c r="I206" s="2"/>
      <c r="J206" s="54"/>
      <c r="K206" s="36"/>
      <c r="L206" s="2"/>
    </row>
    <row r="207" spans="1:12" ht="16.5" x14ac:dyDescent="0.3">
      <c r="A207" s="36"/>
      <c r="B207" s="5"/>
      <c r="C207" s="6"/>
      <c r="D207" s="14"/>
      <c r="E207" s="78"/>
      <c r="F207" s="36"/>
      <c r="G207" s="2"/>
      <c r="H207" s="2"/>
      <c r="I207" s="2"/>
      <c r="J207" s="54"/>
      <c r="K207" s="36"/>
      <c r="L207" s="2"/>
    </row>
    <row r="208" spans="1:12" x14ac:dyDescent="0.25">
      <c r="A208" s="3" t="s">
        <v>2</v>
      </c>
      <c r="B208" s="5">
        <f>SUM(B200:B207)</f>
        <v>62.070000000000007</v>
      </c>
      <c r="C208" s="6"/>
      <c r="D208" s="14">
        <f>SUM(D200:D207)</f>
        <v>0.33706518999999996</v>
      </c>
      <c r="E208" s="78"/>
      <c r="F208" s="3" t="s">
        <v>2</v>
      </c>
      <c r="G208" s="5">
        <f>SUM(G200:G207)</f>
        <v>0</v>
      </c>
      <c r="H208" s="6"/>
      <c r="I208" s="7">
        <f t="shared" ref="I208" si="14">SUM(I200:I207)</f>
        <v>0</v>
      </c>
      <c r="J208" s="55"/>
      <c r="K208" s="3" t="s">
        <v>2</v>
      </c>
      <c r="L208" s="5">
        <f>SUM(L200:L207)</f>
        <v>0</v>
      </c>
    </row>
    <row r="211" spans="1:12" x14ac:dyDescent="0.25">
      <c r="A211" s="79" t="s">
        <v>122</v>
      </c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1"/>
    </row>
    <row r="212" spans="1:12" x14ac:dyDescent="0.25">
      <c r="A212" s="77" t="s">
        <v>102</v>
      </c>
      <c r="B212" s="77"/>
      <c r="C212" s="77"/>
      <c r="D212" s="77"/>
      <c r="E212" s="78"/>
      <c r="F212" s="77" t="s">
        <v>103</v>
      </c>
      <c r="G212" s="77"/>
      <c r="H212" s="77"/>
      <c r="I212" s="77"/>
      <c r="J212" s="53"/>
      <c r="K212" s="77" t="s">
        <v>25</v>
      </c>
      <c r="L212" s="77"/>
    </row>
    <row r="213" spans="1:12" x14ac:dyDescent="0.25">
      <c r="A213" s="28" t="s">
        <v>90</v>
      </c>
      <c r="B213" s="3" t="s">
        <v>3</v>
      </c>
      <c r="C213" s="3" t="s">
        <v>0</v>
      </c>
      <c r="D213" s="3" t="s">
        <v>1</v>
      </c>
      <c r="E213" s="78"/>
      <c r="F213" s="28" t="s">
        <v>90</v>
      </c>
      <c r="G213" s="3" t="s">
        <v>105</v>
      </c>
      <c r="H213" s="3" t="s">
        <v>0</v>
      </c>
      <c r="I213" s="3" t="s">
        <v>1</v>
      </c>
      <c r="J213" s="53"/>
      <c r="K213" s="3" t="s">
        <v>90</v>
      </c>
      <c r="L213" s="3" t="s">
        <v>105</v>
      </c>
    </row>
    <row r="214" spans="1:12" x14ac:dyDescent="0.25">
      <c r="A214" s="33">
        <f>N7</f>
        <v>0</v>
      </c>
      <c r="B214" s="34">
        <v>17.04</v>
      </c>
      <c r="C214" s="5">
        <f>B214/D214</f>
        <v>33.159999683968074</v>
      </c>
      <c r="D214" s="50">
        <v>0.51387214000000003</v>
      </c>
      <c r="E214" s="78"/>
      <c r="F214" s="33"/>
      <c r="G214" s="6"/>
      <c r="H214" s="5"/>
      <c r="I214" s="6"/>
      <c r="J214" s="52"/>
      <c r="K214" s="33"/>
      <c r="L214" s="5"/>
    </row>
    <row r="215" spans="1:12" x14ac:dyDescent="0.25">
      <c r="A215" s="33">
        <v>46125</v>
      </c>
      <c r="B215" s="34">
        <v>0.3</v>
      </c>
      <c r="C215" s="5">
        <f>B215/D215</f>
        <v>33.085011938175136</v>
      </c>
      <c r="D215" s="50">
        <v>9.0675500000000006E-3</v>
      </c>
      <c r="E215" s="78"/>
      <c r="F215" s="33"/>
      <c r="G215" s="6"/>
      <c r="H215" s="5"/>
      <c r="I215" s="6"/>
      <c r="J215" s="52"/>
      <c r="K215" s="33"/>
      <c r="L215" s="5"/>
    </row>
    <row r="216" spans="1:12" x14ac:dyDescent="0.25">
      <c r="A216" s="33"/>
      <c r="B216" s="34"/>
      <c r="C216" s="6"/>
      <c r="D216" s="50"/>
      <c r="E216" s="78"/>
      <c r="F216" s="33"/>
      <c r="G216" s="6"/>
      <c r="H216" s="5"/>
      <c r="I216" s="6"/>
      <c r="J216" s="52"/>
      <c r="K216" s="33"/>
      <c r="L216" s="5"/>
    </row>
    <row r="217" spans="1:12" x14ac:dyDescent="0.25">
      <c r="A217" s="33"/>
      <c r="B217" s="34"/>
      <c r="C217" s="6"/>
      <c r="D217" s="50"/>
      <c r="E217" s="78"/>
      <c r="F217" s="33"/>
      <c r="G217" s="6"/>
      <c r="H217" s="5"/>
      <c r="I217" s="6"/>
      <c r="J217" s="52"/>
      <c r="K217" s="33"/>
      <c r="L217" s="5"/>
    </row>
    <row r="218" spans="1:12" x14ac:dyDescent="0.25">
      <c r="A218" s="33"/>
      <c r="B218" s="5"/>
      <c r="C218" s="6"/>
      <c r="D218" s="50"/>
      <c r="E218" s="78"/>
      <c r="F218" s="33"/>
      <c r="G218" s="2"/>
      <c r="H218" s="2"/>
      <c r="I218" s="2"/>
      <c r="J218" s="54"/>
      <c r="K218" s="33"/>
      <c r="L218" s="2"/>
    </row>
    <row r="219" spans="1:12" x14ac:dyDescent="0.25">
      <c r="A219" s="33"/>
      <c r="B219" s="5"/>
      <c r="C219" s="6"/>
      <c r="D219" s="50"/>
      <c r="E219" s="78"/>
      <c r="F219" s="33"/>
      <c r="G219" s="2"/>
      <c r="H219" s="2"/>
      <c r="I219" s="2"/>
      <c r="J219" s="54"/>
      <c r="K219" s="33"/>
      <c r="L219" s="2"/>
    </row>
    <row r="220" spans="1:12" ht="16.5" x14ac:dyDescent="0.3">
      <c r="A220" s="33"/>
      <c r="B220" s="5"/>
      <c r="C220" s="6"/>
      <c r="D220" s="50"/>
      <c r="E220" s="78"/>
      <c r="F220" s="36"/>
      <c r="G220" s="2"/>
      <c r="H220" s="2"/>
      <c r="I220" s="2"/>
      <c r="J220" s="54"/>
      <c r="K220" s="36"/>
      <c r="L220" s="2"/>
    </row>
    <row r="221" spans="1:12" ht="16.5" x14ac:dyDescent="0.3">
      <c r="A221" s="36"/>
      <c r="B221" s="5"/>
      <c r="C221" s="6"/>
      <c r="D221" s="14"/>
      <c r="E221" s="78"/>
      <c r="F221" s="36"/>
      <c r="G221" s="2"/>
      <c r="H221" s="2"/>
      <c r="I221" s="2"/>
      <c r="J221" s="54"/>
      <c r="K221" s="36"/>
      <c r="L221" s="2"/>
    </row>
    <row r="222" spans="1:12" x14ac:dyDescent="0.25">
      <c r="A222" s="3" t="s">
        <v>2</v>
      </c>
      <c r="B222" s="5">
        <f>SUM(B214:B221)</f>
        <v>17.34</v>
      </c>
      <c r="C222" s="6"/>
      <c r="D222" s="14">
        <f>SUM(D214:D221)</f>
        <v>0.52293969000000007</v>
      </c>
      <c r="E222" s="78"/>
      <c r="F222" s="3" t="s">
        <v>2</v>
      </c>
      <c r="G222" s="5">
        <f>SUM(G214:G221)</f>
        <v>0</v>
      </c>
      <c r="H222" s="6"/>
      <c r="I222" s="7">
        <f t="shared" ref="I222" si="15">SUM(I214:I221)</f>
        <v>0</v>
      </c>
      <c r="J222" s="55"/>
      <c r="K222" s="3" t="s">
        <v>2</v>
      </c>
      <c r="L222" s="5">
        <f>SUM(L214:L221)</f>
        <v>0</v>
      </c>
    </row>
    <row r="225" spans="1:12" x14ac:dyDescent="0.25">
      <c r="A225" s="79" t="s">
        <v>123</v>
      </c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1"/>
    </row>
    <row r="226" spans="1:12" x14ac:dyDescent="0.25">
      <c r="A226" s="77" t="s">
        <v>102</v>
      </c>
      <c r="B226" s="77"/>
      <c r="C226" s="77"/>
      <c r="D226" s="77"/>
      <c r="E226" s="78"/>
      <c r="F226" s="77" t="s">
        <v>103</v>
      </c>
      <c r="G226" s="77"/>
      <c r="H226" s="77"/>
      <c r="I226" s="77"/>
      <c r="J226" s="53"/>
      <c r="K226" s="77" t="s">
        <v>25</v>
      </c>
      <c r="L226" s="77"/>
    </row>
    <row r="227" spans="1:12" x14ac:dyDescent="0.25">
      <c r="A227" s="28" t="s">
        <v>90</v>
      </c>
      <c r="B227" s="3" t="s">
        <v>3</v>
      </c>
      <c r="C227" s="3" t="s">
        <v>0</v>
      </c>
      <c r="D227" s="3" t="s">
        <v>1</v>
      </c>
      <c r="E227" s="78"/>
      <c r="F227" s="28" t="s">
        <v>90</v>
      </c>
      <c r="G227" s="3" t="s">
        <v>105</v>
      </c>
      <c r="H227" s="3" t="s">
        <v>0</v>
      </c>
      <c r="I227" s="3" t="s">
        <v>1</v>
      </c>
      <c r="J227" s="53"/>
      <c r="K227" s="3" t="s">
        <v>90</v>
      </c>
      <c r="L227" s="3" t="s">
        <v>105</v>
      </c>
    </row>
    <row r="228" spans="1:12" x14ac:dyDescent="0.25">
      <c r="A228" s="33">
        <f>N7</f>
        <v>0</v>
      </c>
      <c r="B228" s="34">
        <v>23.42</v>
      </c>
      <c r="C228" s="5">
        <f>B228/D228</f>
        <v>63.489999742190484</v>
      </c>
      <c r="D228" s="50">
        <v>0.36887699000000002</v>
      </c>
      <c r="E228" s="78"/>
      <c r="F228" s="33">
        <v>46125</v>
      </c>
      <c r="G228" s="6">
        <v>0.47</v>
      </c>
      <c r="H228" s="5">
        <f>G228/I228</f>
        <v>65.409960406098435</v>
      </c>
      <c r="I228" s="6">
        <v>7.1854500000000003E-3</v>
      </c>
      <c r="J228" s="52"/>
      <c r="K228" s="33"/>
      <c r="L228" s="5"/>
    </row>
    <row r="229" spans="1:12" x14ac:dyDescent="0.25">
      <c r="A229" s="33"/>
      <c r="B229" s="34"/>
      <c r="C229" s="6"/>
      <c r="D229" s="50"/>
      <c r="E229" s="78"/>
      <c r="F229" s="33"/>
      <c r="G229" s="6"/>
      <c r="H229" s="5"/>
      <c r="I229" s="6"/>
      <c r="J229" s="52"/>
      <c r="K229" s="33"/>
      <c r="L229" s="5"/>
    </row>
    <row r="230" spans="1:12" x14ac:dyDescent="0.25">
      <c r="A230" s="33"/>
      <c r="B230" s="34"/>
      <c r="C230" s="6"/>
      <c r="D230" s="50"/>
      <c r="E230" s="78"/>
      <c r="F230" s="33"/>
      <c r="G230" s="6"/>
      <c r="H230" s="5"/>
      <c r="I230" s="6"/>
      <c r="J230" s="52"/>
      <c r="K230" s="33"/>
      <c r="L230" s="5"/>
    </row>
    <row r="231" spans="1:12" x14ac:dyDescent="0.25">
      <c r="A231" s="33"/>
      <c r="B231" s="34"/>
      <c r="C231" s="6"/>
      <c r="D231" s="50"/>
      <c r="E231" s="78"/>
      <c r="F231" s="33"/>
      <c r="G231" s="6"/>
      <c r="H231" s="5"/>
      <c r="I231" s="6"/>
      <c r="J231" s="52"/>
      <c r="K231" s="33"/>
      <c r="L231" s="5"/>
    </row>
    <row r="232" spans="1:12" x14ac:dyDescent="0.25">
      <c r="A232" s="33"/>
      <c r="B232" s="5"/>
      <c r="C232" s="6"/>
      <c r="D232" s="50"/>
      <c r="E232" s="78"/>
      <c r="F232" s="33"/>
      <c r="G232" s="2"/>
      <c r="H232" s="2"/>
      <c r="I232" s="2"/>
      <c r="J232" s="54"/>
      <c r="K232" s="33"/>
      <c r="L232" s="2"/>
    </row>
    <row r="233" spans="1:12" x14ac:dyDescent="0.25">
      <c r="A233" s="33"/>
      <c r="B233" s="5"/>
      <c r="C233" s="6"/>
      <c r="D233" s="50"/>
      <c r="E233" s="78"/>
      <c r="F233" s="33"/>
      <c r="G233" s="2"/>
      <c r="H233" s="2"/>
      <c r="I233" s="2"/>
      <c r="J233" s="54"/>
      <c r="K233" s="33"/>
      <c r="L233" s="2"/>
    </row>
    <row r="234" spans="1:12" ht="16.5" x14ac:dyDescent="0.3">
      <c r="A234" s="33"/>
      <c r="B234" s="5"/>
      <c r="C234" s="6"/>
      <c r="D234" s="50"/>
      <c r="E234" s="78"/>
      <c r="F234" s="36"/>
      <c r="G234" s="2"/>
      <c r="H234" s="2"/>
      <c r="I234" s="2"/>
      <c r="J234" s="54"/>
      <c r="K234" s="36"/>
      <c r="L234" s="2"/>
    </row>
    <row r="235" spans="1:12" ht="16.5" x14ac:dyDescent="0.3">
      <c r="A235" s="36"/>
      <c r="B235" s="5"/>
      <c r="C235" s="6"/>
      <c r="D235" s="14"/>
      <c r="E235" s="78"/>
      <c r="F235" s="36"/>
      <c r="G235" s="2"/>
      <c r="H235" s="2"/>
      <c r="I235" s="2"/>
      <c r="J235" s="54"/>
      <c r="K235" s="36"/>
      <c r="L235" s="2"/>
    </row>
    <row r="236" spans="1:12" x14ac:dyDescent="0.25">
      <c r="A236" s="3" t="s">
        <v>2</v>
      </c>
      <c r="B236" s="5">
        <f>SUM(B228:B235)</f>
        <v>23.42</v>
      </c>
      <c r="C236" s="6"/>
      <c r="D236" s="14">
        <f>SUM(D228:D235)</f>
        <v>0.36887699000000002</v>
      </c>
      <c r="E236" s="78"/>
      <c r="F236" s="3" t="s">
        <v>2</v>
      </c>
      <c r="G236" s="5">
        <f>SUM(G228:G235)</f>
        <v>0.47</v>
      </c>
      <c r="H236" s="6"/>
      <c r="I236" s="14">
        <f t="shared" ref="I236" si="16">SUM(I228:I235)</f>
        <v>7.1854500000000003E-3</v>
      </c>
      <c r="J236" s="55"/>
      <c r="K236" s="3" t="s">
        <v>2</v>
      </c>
      <c r="L236" s="5">
        <f>SUM(L228:L235)</f>
        <v>0</v>
      </c>
    </row>
    <row r="239" spans="1:12" x14ac:dyDescent="0.25">
      <c r="A239" s="79" t="s">
        <v>126</v>
      </c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1"/>
    </row>
    <row r="240" spans="1:12" x14ac:dyDescent="0.25">
      <c r="A240" s="77" t="s">
        <v>102</v>
      </c>
      <c r="B240" s="77"/>
      <c r="C240" s="77"/>
      <c r="D240" s="77"/>
      <c r="E240" s="78"/>
      <c r="F240" s="77" t="s">
        <v>103</v>
      </c>
      <c r="G240" s="77"/>
      <c r="H240" s="77"/>
      <c r="I240" s="77"/>
      <c r="J240" s="53"/>
      <c r="K240" s="77" t="s">
        <v>25</v>
      </c>
      <c r="L240" s="77"/>
    </row>
    <row r="241" spans="1:12" x14ac:dyDescent="0.25">
      <c r="A241" s="28" t="s">
        <v>90</v>
      </c>
      <c r="B241" s="3" t="s">
        <v>3</v>
      </c>
      <c r="C241" s="3" t="s">
        <v>0</v>
      </c>
      <c r="D241" s="3" t="s">
        <v>1</v>
      </c>
      <c r="E241" s="78"/>
      <c r="F241" s="28" t="s">
        <v>90</v>
      </c>
      <c r="G241" s="3" t="s">
        <v>105</v>
      </c>
      <c r="H241" s="3" t="s">
        <v>0</v>
      </c>
      <c r="I241" s="3" t="s">
        <v>1</v>
      </c>
      <c r="J241" s="53"/>
      <c r="K241" s="3" t="s">
        <v>90</v>
      </c>
      <c r="L241" s="3" t="s">
        <v>105</v>
      </c>
    </row>
    <row r="242" spans="1:12" x14ac:dyDescent="0.25">
      <c r="A242" s="33">
        <f>N7</f>
        <v>0</v>
      </c>
      <c r="B242" s="34">
        <v>13.84</v>
      </c>
      <c r="C242" s="5">
        <f>B242/D242</f>
        <v>10.179999979257515</v>
      </c>
      <c r="D242" s="50">
        <v>1.35952849</v>
      </c>
      <c r="E242" s="78"/>
      <c r="F242" s="33"/>
      <c r="G242" s="6"/>
      <c r="H242" s="5"/>
      <c r="I242" s="6"/>
      <c r="J242" s="52"/>
      <c r="K242" s="33"/>
      <c r="L242" s="5"/>
    </row>
    <row r="243" spans="1:12" x14ac:dyDescent="0.25">
      <c r="A243" s="33">
        <v>46125</v>
      </c>
      <c r="B243" s="34">
        <v>1.78</v>
      </c>
      <c r="C243" s="5">
        <f>B243/D243</f>
        <v>10.201199752787106</v>
      </c>
      <c r="D243" s="50">
        <v>0.17448928</v>
      </c>
      <c r="E243" s="78"/>
      <c r="F243" s="33"/>
      <c r="G243" s="6"/>
      <c r="H243" s="5"/>
      <c r="I243" s="6"/>
      <c r="J243" s="52"/>
      <c r="K243" s="33"/>
      <c r="L243" s="5"/>
    </row>
    <row r="244" spans="1:12" x14ac:dyDescent="0.25">
      <c r="A244" s="33"/>
      <c r="B244" s="34"/>
      <c r="C244" s="6"/>
      <c r="D244" s="50"/>
      <c r="E244" s="78"/>
      <c r="F244" s="33"/>
      <c r="G244" s="6"/>
      <c r="H244" s="5"/>
      <c r="I244" s="6"/>
      <c r="J244" s="52"/>
      <c r="K244" s="33"/>
      <c r="L244" s="5"/>
    </row>
    <row r="245" spans="1:12" x14ac:dyDescent="0.25">
      <c r="A245" s="33"/>
      <c r="B245" s="34"/>
      <c r="C245" s="6"/>
      <c r="D245" s="50"/>
      <c r="E245" s="78"/>
      <c r="F245" s="33"/>
      <c r="G245" s="6"/>
      <c r="H245" s="5"/>
      <c r="I245" s="6"/>
      <c r="J245" s="52"/>
      <c r="K245" s="33"/>
      <c r="L245" s="5"/>
    </row>
    <row r="246" spans="1:12" x14ac:dyDescent="0.25">
      <c r="A246" s="33"/>
      <c r="B246" s="5"/>
      <c r="C246" s="6"/>
      <c r="D246" s="50"/>
      <c r="E246" s="78"/>
      <c r="F246" s="33"/>
      <c r="G246" s="2"/>
      <c r="H246" s="2"/>
      <c r="I246" s="2"/>
      <c r="J246" s="54"/>
      <c r="K246" s="33"/>
      <c r="L246" s="2"/>
    </row>
    <row r="247" spans="1:12" x14ac:dyDescent="0.25">
      <c r="A247" s="33"/>
      <c r="B247" s="5"/>
      <c r="C247" s="6"/>
      <c r="D247" s="50"/>
      <c r="E247" s="78"/>
      <c r="F247" s="33"/>
      <c r="G247" s="2"/>
      <c r="H247" s="2"/>
      <c r="I247" s="2"/>
      <c r="J247" s="54"/>
      <c r="K247" s="33"/>
      <c r="L247" s="2"/>
    </row>
    <row r="248" spans="1:12" ht="16.5" x14ac:dyDescent="0.3">
      <c r="A248" s="33"/>
      <c r="B248" s="5"/>
      <c r="C248" s="6"/>
      <c r="D248" s="50"/>
      <c r="E248" s="78"/>
      <c r="F248" s="36"/>
      <c r="G248" s="2"/>
      <c r="H248" s="2"/>
      <c r="I248" s="2"/>
      <c r="J248" s="54"/>
      <c r="K248" s="36"/>
      <c r="L248" s="2"/>
    </row>
    <row r="249" spans="1:12" ht="16.5" x14ac:dyDescent="0.3">
      <c r="A249" s="36"/>
      <c r="B249" s="5"/>
      <c r="C249" s="6"/>
      <c r="D249" s="14"/>
      <c r="E249" s="78"/>
      <c r="F249" s="36"/>
      <c r="G249" s="2"/>
      <c r="H249" s="2"/>
      <c r="I249" s="2"/>
      <c r="J249" s="54"/>
      <c r="K249" s="36"/>
      <c r="L249" s="2"/>
    </row>
    <row r="250" spans="1:12" x14ac:dyDescent="0.25">
      <c r="A250" s="3" t="s">
        <v>2</v>
      </c>
      <c r="B250" s="5">
        <f>SUM(B242:B249)</f>
        <v>15.62</v>
      </c>
      <c r="C250" s="6"/>
      <c r="D250" s="14">
        <f>SUM(D242:D249)</f>
        <v>1.5340177699999999</v>
      </c>
      <c r="E250" s="78"/>
      <c r="F250" s="3" t="s">
        <v>2</v>
      </c>
      <c r="G250" s="5">
        <f>SUM(G242:G249)</f>
        <v>0</v>
      </c>
      <c r="H250" s="6"/>
      <c r="I250" s="7">
        <f t="shared" ref="I250" si="17">SUM(I242:I249)</f>
        <v>0</v>
      </c>
      <c r="J250" s="55"/>
      <c r="K250" s="3" t="s">
        <v>2</v>
      </c>
      <c r="L250" s="5">
        <f>SUM(L242:L249)</f>
        <v>0</v>
      </c>
    </row>
    <row r="253" spans="1:12" x14ac:dyDescent="0.25">
      <c r="A253" s="79" t="s">
        <v>128</v>
      </c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1"/>
    </row>
    <row r="254" spans="1:12" x14ac:dyDescent="0.25">
      <c r="A254" s="77" t="s">
        <v>102</v>
      </c>
      <c r="B254" s="77"/>
      <c r="C254" s="77"/>
      <c r="D254" s="77"/>
      <c r="E254" s="78"/>
      <c r="F254" s="77" t="s">
        <v>103</v>
      </c>
      <c r="G254" s="77"/>
      <c r="H254" s="77"/>
      <c r="I254" s="77"/>
      <c r="J254" s="53"/>
      <c r="K254" s="77" t="s">
        <v>25</v>
      </c>
      <c r="L254" s="77"/>
    </row>
    <row r="255" spans="1:12" x14ac:dyDescent="0.25">
      <c r="A255" s="28" t="s">
        <v>90</v>
      </c>
      <c r="B255" s="3" t="s">
        <v>3</v>
      </c>
      <c r="C255" s="3" t="s">
        <v>0</v>
      </c>
      <c r="D255" s="3" t="s">
        <v>1</v>
      </c>
      <c r="E255" s="78"/>
      <c r="F255" s="28" t="s">
        <v>90</v>
      </c>
      <c r="G255" s="3" t="s">
        <v>105</v>
      </c>
      <c r="H255" s="3" t="s">
        <v>0</v>
      </c>
      <c r="I255" s="3" t="s">
        <v>1</v>
      </c>
      <c r="J255" s="53"/>
      <c r="K255" s="3" t="s">
        <v>90</v>
      </c>
      <c r="L255" s="3" t="s">
        <v>105</v>
      </c>
    </row>
    <row r="256" spans="1:12" x14ac:dyDescent="0.25">
      <c r="A256" s="33">
        <f>N7</f>
        <v>0</v>
      </c>
      <c r="B256" s="34">
        <v>21.3</v>
      </c>
      <c r="C256" s="5">
        <f>B256/D256</f>
        <v>64.583999450581189</v>
      </c>
      <c r="D256" s="50">
        <v>0.32980304999999999</v>
      </c>
      <c r="E256" s="78"/>
      <c r="F256" s="33">
        <v>46125</v>
      </c>
      <c r="G256" s="6">
        <v>0.23</v>
      </c>
      <c r="H256" s="5">
        <f>G256/I256</f>
        <v>65.099928390078773</v>
      </c>
      <c r="I256" s="6">
        <v>3.5330299999999999E-3</v>
      </c>
      <c r="J256" s="52"/>
      <c r="K256" s="33"/>
      <c r="L256" s="5"/>
    </row>
    <row r="257" spans="1:12" x14ac:dyDescent="0.25">
      <c r="A257" s="33">
        <v>46121</v>
      </c>
      <c r="B257" s="34">
        <v>3.67</v>
      </c>
      <c r="C257" s="5">
        <f>B257/D257</f>
        <v>65.144995541916714</v>
      </c>
      <c r="D257" s="50">
        <v>5.6335870000000003E-2</v>
      </c>
      <c r="E257" s="78"/>
      <c r="F257" s="33"/>
      <c r="G257" s="6"/>
      <c r="H257" s="5"/>
      <c r="I257" s="6"/>
      <c r="J257" s="52"/>
      <c r="K257" s="33"/>
      <c r="L257" s="5"/>
    </row>
    <row r="258" spans="1:12" x14ac:dyDescent="0.25">
      <c r="A258" s="33"/>
      <c r="B258" s="34"/>
      <c r="C258" s="6"/>
      <c r="D258" s="50"/>
      <c r="E258" s="78"/>
      <c r="F258" s="33"/>
      <c r="G258" s="6"/>
      <c r="H258" s="5"/>
      <c r="I258" s="6"/>
      <c r="J258" s="52"/>
      <c r="K258" s="33"/>
      <c r="L258" s="5"/>
    </row>
    <row r="259" spans="1:12" x14ac:dyDescent="0.25">
      <c r="A259" s="33"/>
      <c r="B259" s="34"/>
      <c r="C259" s="6"/>
      <c r="D259" s="50"/>
      <c r="E259" s="78"/>
      <c r="F259" s="33"/>
      <c r="G259" s="6"/>
      <c r="H259" s="5"/>
      <c r="I259" s="6"/>
      <c r="J259" s="52"/>
      <c r="K259" s="33"/>
      <c r="L259" s="5"/>
    </row>
    <row r="260" spans="1:12" x14ac:dyDescent="0.25">
      <c r="A260" s="33"/>
      <c r="B260" s="5"/>
      <c r="C260" s="6"/>
      <c r="D260" s="50"/>
      <c r="E260" s="78"/>
      <c r="F260" s="33"/>
      <c r="G260" s="2"/>
      <c r="H260" s="2"/>
      <c r="I260" s="2"/>
      <c r="J260" s="54"/>
      <c r="K260" s="33"/>
      <c r="L260" s="2"/>
    </row>
    <row r="261" spans="1:12" x14ac:dyDescent="0.25">
      <c r="A261" s="33"/>
      <c r="B261" s="5"/>
      <c r="C261" s="6"/>
      <c r="D261" s="50"/>
      <c r="E261" s="78"/>
      <c r="F261" s="33"/>
      <c r="G261" s="2"/>
      <c r="H261" s="2"/>
      <c r="I261" s="2"/>
      <c r="J261" s="54"/>
      <c r="K261" s="33"/>
      <c r="L261" s="2"/>
    </row>
    <row r="262" spans="1:12" ht="16.5" x14ac:dyDescent="0.3">
      <c r="A262" s="33"/>
      <c r="B262" s="5"/>
      <c r="C262" s="6"/>
      <c r="D262" s="50"/>
      <c r="E262" s="78"/>
      <c r="F262" s="36"/>
      <c r="G262" s="2"/>
      <c r="H262" s="2"/>
      <c r="I262" s="2"/>
      <c r="J262" s="54"/>
      <c r="K262" s="36"/>
      <c r="L262" s="2"/>
    </row>
    <row r="263" spans="1:12" ht="16.5" x14ac:dyDescent="0.3">
      <c r="A263" s="36"/>
      <c r="B263" s="5"/>
      <c r="C263" s="6"/>
      <c r="D263" s="14"/>
      <c r="E263" s="78"/>
      <c r="F263" s="36"/>
      <c r="G263" s="2"/>
      <c r="H263" s="2"/>
      <c r="I263" s="2"/>
      <c r="J263" s="54"/>
      <c r="K263" s="36"/>
      <c r="L263" s="2"/>
    </row>
    <row r="264" spans="1:12" x14ac:dyDescent="0.25">
      <c r="A264" s="3" t="s">
        <v>2</v>
      </c>
      <c r="B264" s="5">
        <f>SUM(B256:B263)</f>
        <v>24.97</v>
      </c>
      <c r="C264" s="6"/>
      <c r="D264" s="14">
        <f>SUM(D256:D263)</f>
        <v>0.38613892</v>
      </c>
      <c r="E264" s="78"/>
      <c r="F264" s="3" t="s">
        <v>2</v>
      </c>
      <c r="G264" s="5">
        <f>SUM(G256:G263)</f>
        <v>0.23</v>
      </c>
      <c r="H264" s="6"/>
      <c r="I264" s="14">
        <f t="shared" ref="I264" si="18">SUM(I256:I263)</f>
        <v>3.5330299999999999E-3</v>
      </c>
      <c r="J264" s="55"/>
      <c r="K264" s="3" t="s">
        <v>2</v>
      </c>
      <c r="L264" s="5">
        <f>SUM(L256:L263)</f>
        <v>0</v>
      </c>
    </row>
    <row r="267" spans="1:12" x14ac:dyDescent="0.25">
      <c r="A267" s="79" t="s">
        <v>130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1"/>
    </row>
    <row r="268" spans="1:12" x14ac:dyDescent="0.25">
      <c r="A268" s="77" t="s">
        <v>102</v>
      </c>
      <c r="B268" s="77"/>
      <c r="C268" s="77"/>
      <c r="D268" s="77"/>
      <c r="E268" s="78"/>
      <c r="F268" s="77" t="s">
        <v>103</v>
      </c>
      <c r="G268" s="77"/>
      <c r="H268" s="77"/>
      <c r="I268" s="77"/>
      <c r="J268" s="53"/>
      <c r="K268" s="77" t="s">
        <v>25</v>
      </c>
      <c r="L268" s="77"/>
    </row>
    <row r="269" spans="1:12" x14ac:dyDescent="0.25">
      <c r="A269" s="28" t="s">
        <v>90</v>
      </c>
      <c r="B269" s="3" t="s">
        <v>3</v>
      </c>
      <c r="C269" s="3" t="s">
        <v>0</v>
      </c>
      <c r="D269" s="3" t="s">
        <v>1</v>
      </c>
      <c r="E269" s="78"/>
      <c r="F269" s="28" t="s">
        <v>90</v>
      </c>
      <c r="G269" s="3" t="s">
        <v>105</v>
      </c>
      <c r="H269" s="3" t="s">
        <v>0</v>
      </c>
      <c r="I269" s="3" t="s">
        <v>1</v>
      </c>
      <c r="J269" s="53"/>
      <c r="K269" s="3" t="s">
        <v>90</v>
      </c>
      <c r="L269" s="3" t="s">
        <v>105</v>
      </c>
    </row>
    <row r="270" spans="1:12" x14ac:dyDescent="0.25">
      <c r="A270" s="33">
        <f>N7</f>
        <v>0</v>
      </c>
      <c r="B270" s="34">
        <v>6.39</v>
      </c>
      <c r="C270" s="5">
        <f>B270/D270</f>
        <v>15.674000030072493</v>
      </c>
      <c r="D270" s="50">
        <v>0.40768151000000002</v>
      </c>
      <c r="E270" s="78"/>
      <c r="F270" s="33"/>
      <c r="G270" s="6"/>
      <c r="H270" s="5"/>
      <c r="I270" s="6"/>
      <c r="J270" s="52"/>
      <c r="K270" s="33"/>
      <c r="L270" s="5"/>
    </row>
    <row r="271" spans="1:12" x14ac:dyDescent="0.25">
      <c r="A271" s="33">
        <v>46121</v>
      </c>
      <c r="B271" s="34">
        <v>3.17</v>
      </c>
      <c r="C271" s="5">
        <f>B271/D271</f>
        <v>16.058000077909163</v>
      </c>
      <c r="D271" s="50">
        <v>0.19740938999999999</v>
      </c>
      <c r="E271" s="78"/>
      <c r="F271" s="33"/>
      <c r="G271" s="6"/>
      <c r="H271" s="5"/>
      <c r="I271" s="6"/>
      <c r="J271" s="52"/>
      <c r="K271" s="33"/>
      <c r="L271" s="5"/>
    </row>
    <row r="272" spans="1:12" x14ac:dyDescent="0.25">
      <c r="A272" s="33">
        <v>46125</v>
      </c>
      <c r="B272" s="34">
        <v>0.13</v>
      </c>
      <c r="C272" s="5">
        <f>B272/D272</f>
        <v>16.027992272041882</v>
      </c>
      <c r="D272" s="50">
        <v>8.1108099999999995E-3</v>
      </c>
      <c r="E272" s="78"/>
      <c r="F272" s="33"/>
      <c r="G272" s="6"/>
      <c r="H272" s="5"/>
      <c r="I272" s="6"/>
      <c r="J272" s="52"/>
      <c r="K272" s="33"/>
      <c r="L272" s="5"/>
    </row>
    <row r="273" spans="1:12" x14ac:dyDescent="0.25">
      <c r="A273" s="33"/>
      <c r="B273" s="34"/>
      <c r="C273" s="6"/>
      <c r="D273" s="50"/>
      <c r="E273" s="78"/>
      <c r="F273" s="33"/>
      <c r="G273" s="6"/>
      <c r="H273" s="5"/>
      <c r="I273" s="6"/>
      <c r="J273" s="52"/>
      <c r="K273" s="33"/>
      <c r="L273" s="5"/>
    </row>
    <row r="274" spans="1:12" x14ac:dyDescent="0.25">
      <c r="A274" s="33"/>
      <c r="B274" s="5"/>
      <c r="C274" s="6"/>
      <c r="D274" s="50"/>
      <c r="E274" s="78"/>
      <c r="F274" s="33"/>
      <c r="G274" s="2"/>
      <c r="H274" s="2"/>
      <c r="I274" s="2"/>
      <c r="J274" s="54"/>
      <c r="K274" s="33"/>
      <c r="L274" s="2"/>
    </row>
    <row r="275" spans="1:12" x14ac:dyDescent="0.25">
      <c r="A275" s="33"/>
      <c r="B275" s="5"/>
      <c r="C275" s="6"/>
      <c r="D275" s="50"/>
      <c r="E275" s="78"/>
      <c r="F275" s="33"/>
      <c r="G275" s="2"/>
      <c r="H275" s="2"/>
      <c r="I275" s="2"/>
      <c r="J275" s="54"/>
      <c r="K275" s="33"/>
      <c r="L275" s="2"/>
    </row>
    <row r="276" spans="1:12" ht="16.5" x14ac:dyDescent="0.3">
      <c r="A276" s="33"/>
      <c r="B276" s="5"/>
      <c r="C276" s="6"/>
      <c r="D276" s="50"/>
      <c r="E276" s="78"/>
      <c r="F276" s="36"/>
      <c r="G276" s="2"/>
      <c r="H276" s="2"/>
      <c r="I276" s="2"/>
      <c r="J276" s="54"/>
      <c r="K276" s="36"/>
      <c r="L276" s="2"/>
    </row>
    <row r="277" spans="1:12" ht="16.5" x14ac:dyDescent="0.3">
      <c r="A277" s="36"/>
      <c r="B277" s="5"/>
      <c r="C277" s="6"/>
      <c r="D277" s="14"/>
      <c r="E277" s="78"/>
      <c r="F277" s="36"/>
      <c r="G277" s="2"/>
      <c r="H277" s="2"/>
      <c r="I277" s="2"/>
      <c r="J277" s="54"/>
      <c r="K277" s="36"/>
      <c r="L277" s="2"/>
    </row>
    <row r="278" spans="1:12" x14ac:dyDescent="0.25">
      <c r="A278" s="3" t="s">
        <v>2</v>
      </c>
      <c r="B278" s="5">
        <f>SUM(B270:B277)</f>
        <v>9.69</v>
      </c>
      <c r="C278" s="6"/>
      <c r="D278" s="14">
        <f>SUM(D270:D277)</f>
        <v>0.61320171000000001</v>
      </c>
      <c r="E278" s="78"/>
      <c r="F278" s="3" t="s">
        <v>2</v>
      </c>
      <c r="G278" s="5">
        <f>SUM(G270:G277)</f>
        <v>0</v>
      </c>
      <c r="H278" s="6"/>
      <c r="I278" s="7">
        <f t="shared" ref="I278" si="19">SUM(I270:I277)</f>
        <v>0</v>
      </c>
      <c r="J278" s="55"/>
      <c r="K278" s="3" t="s">
        <v>2</v>
      </c>
      <c r="L278" s="5">
        <f>SUM(L270:L277)</f>
        <v>0</v>
      </c>
    </row>
    <row r="281" spans="1:12" x14ac:dyDescent="0.25">
      <c r="A281" s="79" t="s">
        <v>131</v>
      </c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1"/>
    </row>
    <row r="282" spans="1:12" x14ac:dyDescent="0.25">
      <c r="A282" s="77" t="s">
        <v>102</v>
      </c>
      <c r="B282" s="77"/>
      <c r="C282" s="77"/>
      <c r="D282" s="77"/>
      <c r="E282" s="78"/>
      <c r="F282" s="77" t="s">
        <v>103</v>
      </c>
      <c r="G282" s="77"/>
      <c r="H282" s="77"/>
      <c r="I282" s="77"/>
      <c r="J282" s="53"/>
      <c r="K282" s="77" t="s">
        <v>25</v>
      </c>
      <c r="L282" s="77"/>
    </row>
    <row r="283" spans="1:12" x14ac:dyDescent="0.25">
      <c r="A283" s="28" t="s">
        <v>90</v>
      </c>
      <c r="B283" s="3" t="s">
        <v>3</v>
      </c>
      <c r="C283" s="3" t="s">
        <v>0</v>
      </c>
      <c r="D283" s="3" t="s">
        <v>1</v>
      </c>
      <c r="E283" s="78"/>
      <c r="F283" s="28" t="s">
        <v>90</v>
      </c>
      <c r="G283" s="3" t="s">
        <v>105</v>
      </c>
      <c r="H283" s="3" t="s">
        <v>0</v>
      </c>
      <c r="I283" s="3" t="s">
        <v>1</v>
      </c>
      <c r="J283" s="53"/>
      <c r="K283" s="3" t="s">
        <v>90</v>
      </c>
      <c r="L283" s="3" t="s">
        <v>105</v>
      </c>
    </row>
    <row r="284" spans="1:12" x14ac:dyDescent="0.25">
      <c r="A284" s="33">
        <f>N7</f>
        <v>0</v>
      </c>
      <c r="B284" s="34">
        <v>36.200000000000003</v>
      </c>
      <c r="C284" s="5">
        <f>B284/D284</f>
        <v>85.100000728756925</v>
      </c>
      <c r="D284" s="50">
        <v>0.42538189999999998</v>
      </c>
      <c r="E284" s="78"/>
      <c r="F284" s="33">
        <v>46125</v>
      </c>
      <c r="G284" s="6">
        <v>0.15</v>
      </c>
      <c r="H284" s="5">
        <f>G284/I284</f>
        <v>86.729767390763854</v>
      </c>
      <c r="I284" s="6">
        <v>1.7295100000000001E-3</v>
      </c>
      <c r="J284" s="52"/>
      <c r="K284" s="33"/>
      <c r="L284" s="5"/>
    </row>
    <row r="285" spans="1:12" x14ac:dyDescent="0.25">
      <c r="A285" s="33"/>
      <c r="B285" s="34"/>
      <c r="C285" s="6"/>
      <c r="D285" s="50"/>
      <c r="E285" s="78"/>
      <c r="F285" s="33"/>
      <c r="G285" s="6"/>
      <c r="H285" s="5"/>
      <c r="I285" s="6"/>
      <c r="J285" s="52"/>
      <c r="K285" s="33"/>
      <c r="L285" s="5"/>
    </row>
    <row r="286" spans="1:12" x14ac:dyDescent="0.25">
      <c r="A286" s="33"/>
      <c r="B286" s="34"/>
      <c r="C286" s="6"/>
      <c r="D286" s="50"/>
      <c r="E286" s="78"/>
      <c r="F286" s="33"/>
      <c r="G286" s="6"/>
      <c r="H286" s="5"/>
      <c r="I286" s="6"/>
      <c r="J286" s="52"/>
      <c r="K286" s="33"/>
      <c r="L286" s="5"/>
    </row>
    <row r="287" spans="1:12" x14ac:dyDescent="0.25">
      <c r="A287" s="33"/>
      <c r="B287" s="34"/>
      <c r="C287" s="6"/>
      <c r="D287" s="50"/>
      <c r="E287" s="78"/>
      <c r="F287" s="33"/>
      <c r="G287" s="6"/>
      <c r="H287" s="5"/>
      <c r="I287" s="6"/>
      <c r="J287" s="52"/>
      <c r="K287" s="33"/>
      <c r="L287" s="5"/>
    </row>
    <row r="288" spans="1:12" x14ac:dyDescent="0.25">
      <c r="A288" s="33"/>
      <c r="B288" s="5"/>
      <c r="C288" s="6"/>
      <c r="D288" s="50"/>
      <c r="E288" s="78"/>
      <c r="F288" s="33"/>
      <c r="G288" s="2"/>
      <c r="H288" s="2"/>
      <c r="I288" s="2"/>
      <c r="J288" s="54"/>
      <c r="K288" s="33"/>
      <c r="L288" s="2"/>
    </row>
    <row r="289" spans="1:12" x14ac:dyDescent="0.25">
      <c r="A289" s="33"/>
      <c r="B289" s="5"/>
      <c r="C289" s="6"/>
      <c r="D289" s="50"/>
      <c r="E289" s="78"/>
      <c r="F289" s="33"/>
      <c r="G289" s="2"/>
      <c r="H289" s="2"/>
      <c r="I289" s="2"/>
      <c r="J289" s="54"/>
      <c r="K289" s="33"/>
      <c r="L289" s="2"/>
    </row>
    <row r="290" spans="1:12" ht="16.5" x14ac:dyDescent="0.3">
      <c r="A290" s="33"/>
      <c r="B290" s="5"/>
      <c r="C290" s="6"/>
      <c r="D290" s="50"/>
      <c r="E290" s="78"/>
      <c r="F290" s="36"/>
      <c r="G290" s="2"/>
      <c r="H290" s="2"/>
      <c r="I290" s="2"/>
      <c r="J290" s="54"/>
      <c r="K290" s="36"/>
      <c r="L290" s="2"/>
    </row>
    <row r="291" spans="1:12" ht="16.5" x14ac:dyDescent="0.3">
      <c r="A291" s="36"/>
      <c r="B291" s="5"/>
      <c r="C291" s="6"/>
      <c r="D291" s="14"/>
      <c r="E291" s="78"/>
      <c r="F291" s="36"/>
      <c r="G291" s="2"/>
      <c r="H291" s="2"/>
      <c r="I291" s="2"/>
      <c r="J291" s="54"/>
      <c r="K291" s="36"/>
      <c r="L291" s="2"/>
    </row>
    <row r="292" spans="1:12" x14ac:dyDescent="0.25">
      <c r="A292" s="3" t="s">
        <v>2</v>
      </c>
      <c r="B292" s="5">
        <f>SUM(B284:B291)</f>
        <v>36.200000000000003</v>
      </c>
      <c r="C292" s="6"/>
      <c r="D292" s="14">
        <f>SUM(D284:D291)</f>
        <v>0.42538189999999998</v>
      </c>
      <c r="E292" s="78"/>
      <c r="F292" s="3" t="s">
        <v>2</v>
      </c>
      <c r="G292" s="5">
        <f>SUM(G284:G291)</f>
        <v>0.15</v>
      </c>
      <c r="H292" s="6"/>
      <c r="I292" s="14">
        <f t="shared" ref="I292" si="20">SUM(I284:I291)</f>
        <v>1.7295100000000001E-3</v>
      </c>
      <c r="J292" s="55"/>
      <c r="K292" s="3" t="s">
        <v>2</v>
      </c>
      <c r="L292" s="5">
        <f>SUM(L284:L291)</f>
        <v>0</v>
      </c>
    </row>
    <row r="295" spans="1:12" x14ac:dyDescent="0.25">
      <c r="A295" s="79" t="s">
        <v>132</v>
      </c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1"/>
    </row>
    <row r="296" spans="1:12" x14ac:dyDescent="0.25">
      <c r="A296" s="77" t="s">
        <v>102</v>
      </c>
      <c r="B296" s="77"/>
      <c r="C296" s="77"/>
      <c r="D296" s="77"/>
      <c r="E296" s="78"/>
      <c r="F296" s="77" t="s">
        <v>103</v>
      </c>
      <c r="G296" s="77"/>
      <c r="H296" s="77"/>
      <c r="I296" s="77"/>
      <c r="J296" s="53"/>
      <c r="K296" s="77" t="s">
        <v>25</v>
      </c>
      <c r="L296" s="77"/>
    </row>
    <row r="297" spans="1:12" x14ac:dyDescent="0.25">
      <c r="A297" s="28" t="s">
        <v>90</v>
      </c>
      <c r="B297" s="3" t="s">
        <v>3</v>
      </c>
      <c r="C297" s="3" t="s">
        <v>0</v>
      </c>
      <c r="D297" s="3" t="s">
        <v>1</v>
      </c>
      <c r="E297" s="78"/>
      <c r="F297" s="28" t="s">
        <v>90</v>
      </c>
      <c r="G297" s="3" t="s">
        <v>105</v>
      </c>
      <c r="H297" s="3" t="s">
        <v>0</v>
      </c>
      <c r="I297" s="3" t="s">
        <v>1</v>
      </c>
      <c r="J297" s="53"/>
      <c r="K297" s="3" t="s">
        <v>90</v>
      </c>
      <c r="L297" s="3" t="s">
        <v>105</v>
      </c>
    </row>
    <row r="298" spans="1:12" x14ac:dyDescent="0.25">
      <c r="A298" s="33">
        <f>N7</f>
        <v>0</v>
      </c>
      <c r="B298" s="34">
        <v>6.39</v>
      </c>
      <c r="C298" s="5">
        <f>B298/D298</f>
        <v>49.095000131380985</v>
      </c>
      <c r="D298" s="50">
        <v>0.13015582000000001</v>
      </c>
      <c r="E298" s="78"/>
      <c r="F298" s="33">
        <v>46125</v>
      </c>
      <c r="G298" s="6">
        <v>0.02</v>
      </c>
      <c r="H298" s="5">
        <f>G298/I298</f>
        <v>50.040032025620498</v>
      </c>
      <c r="I298" s="6">
        <v>3.9968000000000002E-4</v>
      </c>
      <c r="J298" s="52"/>
      <c r="K298" s="33"/>
      <c r="L298" s="5"/>
    </row>
    <row r="299" spans="1:12" x14ac:dyDescent="0.25">
      <c r="A299" s="33"/>
      <c r="B299" s="34"/>
      <c r="C299" s="6"/>
      <c r="D299" s="50"/>
      <c r="E299" s="78"/>
      <c r="F299" s="33"/>
      <c r="G299" s="6"/>
      <c r="H299" s="5"/>
      <c r="I299" s="6"/>
      <c r="J299" s="52"/>
      <c r="K299" s="33"/>
      <c r="L299" s="5"/>
    </row>
    <row r="300" spans="1:12" x14ac:dyDescent="0.25">
      <c r="A300" s="33"/>
      <c r="B300" s="34"/>
      <c r="C300" s="6"/>
      <c r="D300" s="50"/>
      <c r="E300" s="78"/>
      <c r="F300" s="33"/>
      <c r="G300" s="6"/>
      <c r="H300" s="5"/>
      <c r="I300" s="6"/>
      <c r="J300" s="52"/>
      <c r="K300" s="33"/>
      <c r="L300" s="5"/>
    </row>
    <row r="301" spans="1:12" x14ac:dyDescent="0.25">
      <c r="A301" s="33"/>
      <c r="B301" s="34"/>
      <c r="C301" s="6"/>
      <c r="D301" s="50"/>
      <c r="E301" s="78"/>
      <c r="F301" s="33"/>
      <c r="G301" s="6"/>
      <c r="H301" s="5"/>
      <c r="I301" s="6"/>
      <c r="J301" s="52"/>
      <c r="K301" s="33"/>
      <c r="L301" s="5"/>
    </row>
    <row r="302" spans="1:12" x14ac:dyDescent="0.25">
      <c r="A302" s="33"/>
      <c r="B302" s="5"/>
      <c r="C302" s="6"/>
      <c r="D302" s="50"/>
      <c r="E302" s="78"/>
      <c r="F302" s="33"/>
      <c r="G302" s="2"/>
      <c r="H302" s="2"/>
      <c r="I302" s="2"/>
      <c r="J302" s="54"/>
      <c r="K302" s="33"/>
      <c r="L302" s="2"/>
    </row>
    <row r="303" spans="1:12" x14ac:dyDescent="0.25">
      <c r="A303" s="33"/>
      <c r="B303" s="5"/>
      <c r="C303" s="6"/>
      <c r="D303" s="50"/>
      <c r="E303" s="78"/>
      <c r="F303" s="33"/>
      <c r="G303" s="2"/>
      <c r="H303" s="2"/>
      <c r="I303" s="2"/>
      <c r="J303" s="54"/>
      <c r="K303" s="33"/>
      <c r="L303" s="2"/>
    </row>
    <row r="304" spans="1:12" ht="16.5" x14ac:dyDescent="0.3">
      <c r="A304" s="33"/>
      <c r="B304" s="5"/>
      <c r="C304" s="6"/>
      <c r="D304" s="50"/>
      <c r="E304" s="78"/>
      <c r="F304" s="36"/>
      <c r="G304" s="2"/>
      <c r="H304" s="2"/>
      <c r="I304" s="2"/>
      <c r="J304" s="54"/>
      <c r="K304" s="36"/>
      <c r="L304" s="2"/>
    </row>
    <row r="305" spans="1:12" ht="16.5" x14ac:dyDescent="0.3">
      <c r="A305" s="36"/>
      <c r="B305" s="5"/>
      <c r="C305" s="6"/>
      <c r="D305" s="14"/>
      <c r="E305" s="78"/>
      <c r="F305" s="36"/>
      <c r="G305" s="2"/>
      <c r="H305" s="2"/>
      <c r="I305" s="2"/>
      <c r="J305" s="54"/>
      <c r="K305" s="36"/>
      <c r="L305" s="2"/>
    </row>
    <row r="306" spans="1:12" x14ac:dyDescent="0.25">
      <c r="A306" s="3" t="s">
        <v>2</v>
      </c>
      <c r="B306" s="5">
        <f>SUM(B298:B305)</f>
        <v>6.39</v>
      </c>
      <c r="C306" s="6"/>
      <c r="D306" s="14">
        <f>SUM(D298:D305)</f>
        <v>0.13015582000000001</v>
      </c>
      <c r="E306" s="78"/>
      <c r="F306" s="3" t="s">
        <v>2</v>
      </c>
      <c r="G306" s="5">
        <f>SUM(G298:G305)</f>
        <v>0.02</v>
      </c>
      <c r="H306" s="6"/>
      <c r="I306" s="14">
        <f t="shared" ref="I306" si="21">SUM(I298:I305)</f>
        <v>3.9968000000000002E-4</v>
      </c>
      <c r="J306" s="55"/>
      <c r="K306" s="3" t="s">
        <v>2</v>
      </c>
      <c r="L306" s="5">
        <f>SUM(L298:L305)</f>
        <v>0</v>
      </c>
    </row>
    <row r="309" spans="1:12" x14ac:dyDescent="0.25">
      <c r="A309" s="79" t="s">
        <v>136</v>
      </c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1"/>
    </row>
    <row r="310" spans="1:12" x14ac:dyDescent="0.25">
      <c r="A310" s="77" t="s">
        <v>102</v>
      </c>
      <c r="B310" s="77"/>
      <c r="C310" s="77"/>
      <c r="D310" s="77"/>
      <c r="E310" s="78"/>
      <c r="F310" s="77" t="s">
        <v>103</v>
      </c>
      <c r="G310" s="77"/>
      <c r="H310" s="77"/>
      <c r="I310" s="77"/>
      <c r="J310" s="53"/>
      <c r="K310" s="77" t="s">
        <v>25</v>
      </c>
      <c r="L310" s="77"/>
    </row>
    <row r="311" spans="1:12" x14ac:dyDescent="0.25">
      <c r="A311" s="28" t="s">
        <v>90</v>
      </c>
      <c r="B311" s="3" t="s">
        <v>3</v>
      </c>
      <c r="C311" s="3" t="s">
        <v>0</v>
      </c>
      <c r="D311" s="3" t="s">
        <v>1</v>
      </c>
      <c r="E311" s="78"/>
      <c r="F311" s="28" t="s">
        <v>90</v>
      </c>
      <c r="G311" s="3" t="s">
        <v>105</v>
      </c>
      <c r="H311" s="3" t="s">
        <v>0</v>
      </c>
      <c r="I311" s="3" t="s">
        <v>1</v>
      </c>
      <c r="J311" s="53"/>
      <c r="K311" s="3" t="s">
        <v>90</v>
      </c>
      <c r="L311" s="3" t="s">
        <v>105</v>
      </c>
    </row>
    <row r="312" spans="1:12" x14ac:dyDescent="0.25">
      <c r="A312" s="33">
        <f>N7</f>
        <v>0</v>
      </c>
      <c r="B312" s="34">
        <v>38.33</v>
      </c>
      <c r="C312" s="5">
        <f>B312/D312</f>
        <v>30.75999999133295</v>
      </c>
      <c r="D312" s="50">
        <v>1.24609883</v>
      </c>
      <c r="E312" s="78"/>
      <c r="F312" s="33">
        <v>46120</v>
      </c>
      <c r="G312" s="6">
        <v>4.62</v>
      </c>
      <c r="H312" s="5">
        <f>G312/I312</f>
        <v>30.875100594686515</v>
      </c>
      <c r="I312" s="6">
        <v>0.14963514</v>
      </c>
      <c r="J312" s="52"/>
      <c r="K312" s="33"/>
      <c r="L312" s="5"/>
    </row>
    <row r="313" spans="1:12" x14ac:dyDescent="0.25">
      <c r="A313" s="33"/>
      <c r="B313" s="34"/>
      <c r="C313" s="6"/>
      <c r="D313" s="50"/>
      <c r="E313" s="78"/>
      <c r="F313" s="33">
        <v>46125</v>
      </c>
      <c r="G313" s="6">
        <v>0.22</v>
      </c>
      <c r="H313" s="5">
        <f>G313/I313</f>
        <v>30.639985738479368</v>
      </c>
      <c r="I313" s="6">
        <v>7.1801599999999997E-3</v>
      </c>
      <c r="J313" s="52"/>
      <c r="K313" s="33"/>
      <c r="L313" s="5"/>
    </row>
    <row r="314" spans="1:12" x14ac:dyDescent="0.25">
      <c r="A314" s="33"/>
      <c r="B314" s="34"/>
      <c r="C314" s="6"/>
      <c r="D314" s="50"/>
      <c r="E314" s="78"/>
      <c r="F314" s="33"/>
      <c r="G314" s="6"/>
      <c r="H314" s="5"/>
      <c r="I314" s="6"/>
      <c r="J314" s="52"/>
      <c r="K314" s="33"/>
      <c r="L314" s="5"/>
    </row>
    <row r="315" spans="1:12" x14ac:dyDescent="0.25">
      <c r="A315" s="33"/>
      <c r="B315" s="34"/>
      <c r="C315" s="6"/>
      <c r="D315" s="50"/>
      <c r="E315" s="78"/>
      <c r="F315" s="33"/>
      <c r="G315" s="6"/>
      <c r="H315" s="5"/>
      <c r="I315" s="6"/>
      <c r="J315" s="52"/>
      <c r="K315" s="33"/>
      <c r="L315" s="5"/>
    </row>
    <row r="316" spans="1:12" x14ac:dyDescent="0.25">
      <c r="A316" s="33"/>
      <c r="B316" s="5"/>
      <c r="C316" s="6"/>
      <c r="D316" s="50"/>
      <c r="E316" s="78"/>
      <c r="F316" s="33"/>
      <c r="G316" s="2"/>
      <c r="H316" s="2"/>
      <c r="I316" s="2"/>
      <c r="J316" s="54"/>
      <c r="K316" s="33"/>
      <c r="L316" s="2"/>
    </row>
    <row r="317" spans="1:12" x14ac:dyDescent="0.25">
      <c r="A317" s="33"/>
      <c r="B317" s="5"/>
      <c r="C317" s="6"/>
      <c r="D317" s="50"/>
      <c r="E317" s="78"/>
      <c r="F317" s="33"/>
      <c r="G317" s="2"/>
      <c r="H317" s="2"/>
      <c r="I317" s="2"/>
      <c r="J317" s="54"/>
      <c r="K317" s="33"/>
      <c r="L317" s="2"/>
    </row>
    <row r="318" spans="1:12" ht="16.5" x14ac:dyDescent="0.3">
      <c r="A318" s="33"/>
      <c r="B318" s="5"/>
      <c r="C318" s="6"/>
      <c r="D318" s="50"/>
      <c r="E318" s="78"/>
      <c r="F318" s="36"/>
      <c r="G318" s="2"/>
      <c r="H318" s="2"/>
      <c r="I318" s="2"/>
      <c r="J318" s="54"/>
      <c r="K318" s="36"/>
      <c r="L318" s="2"/>
    </row>
    <row r="319" spans="1:12" ht="16.5" x14ac:dyDescent="0.3">
      <c r="A319" s="36"/>
      <c r="B319" s="5"/>
      <c r="C319" s="6"/>
      <c r="D319" s="14"/>
      <c r="E319" s="78"/>
      <c r="F319" s="36"/>
      <c r="G319" s="2"/>
      <c r="H319" s="2"/>
      <c r="I319" s="2"/>
      <c r="J319" s="54"/>
      <c r="K319" s="36"/>
      <c r="L319" s="2"/>
    </row>
    <row r="320" spans="1:12" x14ac:dyDescent="0.25">
      <c r="A320" s="3" t="s">
        <v>2</v>
      </c>
      <c r="B320" s="5">
        <f>SUM(B312:B319)</f>
        <v>38.33</v>
      </c>
      <c r="C320" s="6"/>
      <c r="D320" s="14">
        <f>SUM(D312:D319)</f>
        <v>1.24609883</v>
      </c>
      <c r="E320" s="78"/>
      <c r="F320" s="3" t="s">
        <v>2</v>
      </c>
      <c r="G320" s="5">
        <f>SUM(G312:G319)</f>
        <v>4.84</v>
      </c>
      <c r="H320" s="6"/>
      <c r="I320" s="14">
        <f t="shared" ref="I320" si="22">SUM(I312:I319)</f>
        <v>0.15681529999999999</v>
      </c>
      <c r="J320" s="55"/>
      <c r="K320" s="3" t="s">
        <v>2</v>
      </c>
      <c r="L320" s="5">
        <f>SUM(L312:L319)</f>
        <v>0</v>
      </c>
    </row>
    <row r="323" spans="1:12" x14ac:dyDescent="0.25">
      <c r="A323" s="79" t="s">
        <v>137</v>
      </c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1"/>
    </row>
    <row r="324" spans="1:12" x14ac:dyDescent="0.25">
      <c r="A324" s="77" t="s">
        <v>102</v>
      </c>
      <c r="B324" s="77"/>
      <c r="C324" s="77"/>
      <c r="D324" s="77"/>
      <c r="E324" s="78"/>
      <c r="F324" s="77" t="s">
        <v>103</v>
      </c>
      <c r="G324" s="77"/>
      <c r="H324" s="77"/>
      <c r="I324" s="77"/>
      <c r="J324" s="53"/>
      <c r="K324" s="77" t="s">
        <v>25</v>
      </c>
      <c r="L324" s="77"/>
    </row>
    <row r="325" spans="1:12" x14ac:dyDescent="0.25">
      <c r="A325" s="28" t="s">
        <v>90</v>
      </c>
      <c r="B325" s="3" t="s">
        <v>3</v>
      </c>
      <c r="C325" s="3" t="s">
        <v>0</v>
      </c>
      <c r="D325" s="3" t="s">
        <v>1</v>
      </c>
      <c r="E325" s="78"/>
      <c r="F325" s="28" t="s">
        <v>90</v>
      </c>
      <c r="G325" s="3" t="s">
        <v>105</v>
      </c>
      <c r="H325" s="3" t="s">
        <v>0</v>
      </c>
      <c r="I325" s="3" t="s">
        <v>1</v>
      </c>
      <c r="J325" s="53"/>
      <c r="K325" s="3" t="s">
        <v>90</v>
      </c>
      <c r="L325" s="3" t="s">
        <v>105</v>
      </c>
    </row>
    <row r="326" spans="1:12" x14ac:dyDescent="0.25">
      <c r="A326" s="33">
        <f>N7</f>
        <v>0</v>
      </c>
      <c r="B326" s="34">
        <v>42.59</v>
      </c>
      <c r="C326" s="5">
        <f>B326/D326</f>
        <v>20.034000035909735</v>
      </c>
      <c r="D326" s="50">
        <v>2.12588599</v>
      </c>
      <c r="E326" s="78"/>
      <c r="F326" s="33">
        <v>46120</v>
      </c>
      <c r="G326" s="6">
        <v>5.72</v>
      </c>
      <c r="H326" s="5">
        <f>G326/I326</f>
        <v>20.09231364326406</v>
      </c>
      <c r="I326" s="6">
        <v>0.28468598000000001</v>
      </c>
      <c r="J326" s="52"/>
      <c r="K326" s="33"/>
      <c r="L326" s="5"/>
    </row>
    <row r="327" spans="1:12" x14ac:dyDescent="0.25">
      <c r="A327" s="33"/>
      <c r="B327" s="34"/>
      <c r="C327" s="6"/>
      <c r="D327" s="50"/>
      <c r="E327" s="78"/>
      <c r="F327" s="33">
        <v>46125</v>
      </c>
      <c r="G327" s="6">
        <v>0.21</v>
      </c>
      <c r="H327" s="5">
        <f>G327/I327</f>
        <v>20.022005137074462</v>
      </c>
      <c r="I327" s="6">
        <v>1.048846E-2</v>
      </c>
      <c r="J327" s="52"/>
      <c r="K327" s="33"/>
      <c r="L327" s="5"/>
    </row>
    <row r="328" spans="1:12" x14ac:dyDescent="0.25">
      <c r="A328" s="33"/>
      <c r="B328" s="34"/>
      <c r="C328" s="6"/>
      <c r="D328" s="50"/>
      <c r="E328" s="78"/>
      <c r="F328" s="33"/>
      <c r="G328" s="6"/>
      <c r="H328" s="5"/>
      <c r="I328" s="6"/>
      <c r="J328" s="52"/>
      <c r="K328" s="33"/>
      <c r="L328" s="5"/>
    </row>
    <row r="329" spans="1:12" x14ac:dyDescent="0.25">
      <c r="A329" s="33"/>
      <c r="B329" s="34"/>
      <c r="C329" s="6"/>
      <c r="D329" s="50"/>
      <c r="E329" s="78"/>
      <c r="F329" s="33"/>
      <c r="G329" s="6"/>
      <c r="H329" s="5"/>
      <c r="I329" s="6"/>
      <c r="J329" s="52"/>
      <c r="K329" s="33"/>
      <c r="L329" s="5"/>
    </row>
    <row r="330" spans="1:12" x14ac:dyDescent="0.25">
      <c r="A330" s="33"/>
      <c r="B330" s="5"/>
      <c r="C330" s="6"/>
      <c r="D330" s="50"/>
      <c r="E330" s="78"/>
      <c r="F330" s="33"/>
      <c r="G330" s="2"/>
      <c r="H330" s="2"/>
      <c r="I330" s="2"/>
      <c r="J330" s="54"/>
      <c r="K330" s="33"/>
      <c r="L330" s="2"/>
    </row>
    <row r="331" spans="1:12" x14ac:dyDescent="0.25">
      <c r="A331" s="33"/>
      <c r="B331" s="5"/>
      <c r="C331" s="6"/>
      <c r="D331" s="50"/>
      <c r="E331" s="78"/>
      <c r="F331" s="33"/>
      <c r="G331" s="2"/>
      <c r="H331" s="2"/>
      <c r="I331" s="2"/>
      <c r="J331" s="54"/>
      <c r="K331" s="33"/>
      <c r="L331" s="2"/>
    </row>
    <row r="332" spans="1:12" ht="16.5" x14ac:dyDescent="0.3">
      <c r="A332" s="33"/>
      <c r="B332" s="5"/>
      <c r="C332" s="6"/>
      <c r="D332" s="50"/>
      <c r="E332" s="78"/>
      <c r="F332" s="36"/>
      <c r="G332" s="2"/>
      <c r="H332" s="2"/>
      <c r="I332" s="2"/>
      <c r="J332" s="54"/>
      <c r="K332" s="36"/>
      <c r="L332" s="2"/>
    </row>
    <row r="333" spans="1:12" ht="16.5" x14ac:dyDescent="0.3">
      <c r="A333" s="36"/>
      <c r="B333" s="5"/>
      <c r="C333" s="6"/>
      <c r="D333" s="14"/>
      <c r="E333" s="78"/>
      <c r="F333" s="36"/>
      <c r="G333" s="2"/>
      <c r="H333" s="2"/>
      <c r="I333" s="2"/>
      <c r="J333" s="54"/>
      <c r="K333" s="36"/>
      <c r="L333" s="2"/>
    </row>
    <row r="334" spans="1:12" x14ac:dyDescent="0.25">
      <c r="A334" s="3" t="s">
        <v>2</v>
      </c>
      <c r="B334" s="5">
        <f>SUM(B326:B333)</f>
        <v>42.59</v>
      </c>
      <c r="C334" s="6"/>
      <c r="D334" s="14">
        <f>SUM(D326:D333)</f>
        <v>2.12588599</v>
      </c>
      <c r="E334" s="78"/>
      <c r="F334" s="3" t="s">
        <v>2</v>
      </c>
      <c r="G334" s="5">
        <f>SUM(G326:G333)</f>
        <v>5.93</v>
      </c>
      <c r="H334" s="6"/>
      <c r="I334" s="14">
        <f t="shared" ref="I334" si="23">SUM(I326:I333)</f>
        <v>0.29517443999999998</v>
      </c>
      <c r="J334" s="55"/>
      <c r="K334" s="3" t="s">
        <v>2</v>
      </c>
      <c r="L334" s="5">
        <f>SUM(L326:L333)</f>
        <v>0</v>
      </c>
    </row>
    <row r="337" spans="1:12" x14ac:dyDescent="0.25">
      <c r="A337" s="79" t="s">
        <v>138</v>
      </c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1"/>
    </row>
    <row r="338" spans="1:12" x14ac:dyDescent="0.25">
      <c r="A338" s="77" t="s">
        <v>102</v>
      </c>
      <c r="B338" s="77"/>
      <c r="C338" s="77"/>
      <c r="D338" s="77"/>
      <c r="E338" s="78"/>
      <c r="F338" s="77" t="s">
        <v>103</v>
      </c>
      <c r="G338" s="77"/>
      <c r="H338" s="77"/>
      <c r="I338" s="77"/>
      <c r="J338" s="53"/>
      <c r="K338" s="77" t="s">
        <v>25</v>
      </c>
      <c r="L338" s="77"/>
    </row>
    <row r="339" spans="1:12" x14ac:dyDescent="0.25">
      <c r="A339" s="28" t="s">
        <v>90</v>
      </c>
      <c r="B339" s="3" t="s">
        <v>3</v>
      </c>
      <c r="C339" s="3" t="s">
        <v>0</v>
      </c>
      <c r="D339" s="3" t="s">
        <v>1</v>
      </c>
      <c r="E339" s="78"/>
      <c r="F339" s="28" t="s">
        <v>90</v>
      </c>
      <c r="G339" s="3" t="s">
        <v>105</v>
      </c>
      <c r="H339" s="3" t="s">
        <v>0</v>
      </c>
      <c r="I339" s="3" t="s">
        <v>1</v>
      </c>
      <c r="J339" s="53"/>
      <c r="K339" s="3" t="s">
        <v>90</v>
      </c>
      <c r="L339" s="3" t="s">
        <v>105</v>
      </c>
    </row>
    <row r="340" spans="1:12" x14ac:dyDescent="0.25">
      <c r="A340" s="33">
        <f>N7</f>
        <v>0</v>
      </c>
      <c r="B340" s="34">
        <v>6.39</v>
      </c>
      <c r="C340" s="5">
        <f>B340/D340</f>
        <v>9.6010000185258715</v>
      </c>
      <c r="D340" s="50">
        <v>0.66555567000000004</v>
      </c>
      <c r="E340" s="78"/>
      <c r="F340" s="33"/>
      <c r="G340" s="6"/>
      <c r="H340" s="5"/>
      <c r="I340" s="6"/>
      <c r="J340" s="52"/>
      <c r="K340" s="33"/>
      <c r="L340" s="5"/>
    </row>
    <row r="341" spans="1:12" x14ac:dyDescent="0.25">
      <c r="A341" s="33">
        <v>46121</v>
      </c>
      <c r="B341" s="34">
        <v>3.11</v>
      </c>
      <c r="C341" s="5">
        <f>B341/D341</f>
        <v>9.6949999767756427</v>
      </c>
      <c r="D341" s="50">
        <v>0.32078391000000001</v>
      </c>
      <c r="E341" s="78"/>
      <c r="F341" s="33"/>
      <c r="G341" s="6"/>
      <c r="H341" s="5"/>
      <c r="I341" s="6"/>
      <c r="J341" s="52"/>
      <c r="K341" s="33"/>
      <c r="L341" s="5"/>
    </row>
    <row r="342" spans="1:12" x14ac:dyDescent="0.25">
      <c r="A342" s="33">
        <v>46125</v>
      </c>
      <c r="B342" s="34">
        <v>0.22</v>
      </c>
      <c r="C342" s="5">
        <f>B342/D342</f>
        <v>9.7379991333180769</v>
      </c>
      <c r="D342" s="50">
        <v>2.259191E-2</v>
      </c>
      <c r="E342" s="78"/>
      <c r="F342" s="33"/>
      <c r="G342" s="6"/>
      <c r="H342" s="5"/>
      <c r="I342" s="6"/>
      <c r="J342" s="52"/>
      <c r="K342" s="33"/>
      <c r="L342" s="5"/>
    </row>
    <row r="343" spans="1:12" x14ac:dyDescent="0.25">
      <c r="A343" s="33"/>
      <c r="B343" s="34"/>
      <c r="C343" s="6"/>
      <c r="D343" s="50"/>
      <c r="E343" s="78"/>
      <c r="F343" s="33"/>
      <c r="G343" s="6"/>
      <c r="H343" s="5"/>
      <c r="I343" s="6"/>
      <c r="J343" s="52"/>
      <c r="K343" s="33"/>
      <c r="L343" s="5"/>
    </row>
    <row r="344" spans="1:12" x14ac:dyDescent="0.25">
      <c r="A344" s="33"/>
      <c r="B344" s="5"/>
      <c r="C344" s="6"/>
      <c r="D344" s="50"/>
      <c r="E344" s="78"/>
      <c r="F344" s="33"/>
      <c r="G344" s="2"/>
      <c r="H344" s="2"/>
      <c r="I344" s="2"/>
      <c r="J344" s="54"/>
      <c r="K344" s="33"/>
      <c r="L344" s="2"/>
    </row>
    <row r="345" spans="1:12" x14ac:dyDescent="0.25">
      <c r="A345" s="33"/>
      <c r="B345" s="5"/>
      <c r="C345" s="6"/>
      <c r="D345" s="50"/>
      <c r="E345" s="78"/>
      <c r="F345" s="33"/>
      <c r="G345" s="2"/>
      <c r="H345" s="2"/>
      <c r="I345" s="2"/>
      <c r="J345" s="54"/>
      <c r="K345" s="33"/>
      <c r="L345" s="2"/>
    </row>
    <row r="346" spans="1:12" ht="16.5" x14ac:dyDescent="0.3">
      <c r="A346" s="33"/>
      <c r="B346" s="5"/>
      <c r="C346" s="6"/>
      <c r="D346" s="50"/>
      <c r="E346" s="78"/>
      <c r="F346" s="36"/>
      <c r="G346" s="2"/>
      <c r="H346" s="2"/>
      <c r="I346" s="2"/>
      <c r="J346" s="54"/>
      <c r="K346" s="36"/>
      <c r="L346" s="2"/>
    </row>
    <row r="347" spans="1:12" ht="16.5" x14ac:dyDescent="0.3">
      <c r="A347" s="36"/>
      <c r="B347" s="5"/>
      <c r="C347" s="6"/>
      <c r="D347" s="14"/>
      <c r="E347" s="78"/>
      <c r="F347" s="36"/>
      <c r="G347" s="2"/>
      <c r="H347" s="2"/>
      <c r="I347" s="2"/>
      <c r="J347" s="54"/>
      <c r="K347" s="36"/>
      <c r="L347" s="2"/>
    </row>
    <row r="348" spans="1:12" x14ac:dyDescent="0.25">
      <c r="A348" s="3" t="s">
        <v>2</v>
      </c>
      <c r="B348" s="5">
        <f>SUM(B340:B347)</f>
        <v>9.7200000000000006</v>
      </c>
      <c r="C348" s="6"/>
      <c r="D348" s="14">
        <f>SUM(D340:D347)</f>
        <v>1.0089314900000002</v>
      </c>
      <c r="E348" s="78"/>
      <c r="F348" s="3" t="s">
        <v>2</v>
      </c>
      <c r="G348" s="5">
        <f>SUM(G340:G347)</f>
        <v>0</v>
      </c>
      <c r="H348" s="6"/>
      <c r="I348" s="7">
        <f t="shared" ref="I348" si="24">SUM(I340:I347)</f>
        <v>0</v>
      </c>
      <c r="J348" s="55"/>
      <c r="K348" s="3" t="s">
        <v>2</v>
      </c>
      <c r="L348" s="5">
        <f>SUM(L340:L347)</f>
        <v>0</v>
      </c>
    </row>
    <row r="351" spans="1:12" x14ac:dyDescent="0.25">
      <c r="A351" s="79" t="s">
        <v>141</v>
      </c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1"/>
    </row>
    <row r="352" spans="1:12" x14ac:dyDescent="0.25">
      <c r="A352" s="77" t="s">
        <v>102</v>
      </c>
      <c r="B352" s="77"/>
      <c r="C352" s="77"/>
      <c r="D352" s="77"/>
      <c r="E352" s="78"/>
      <c r="F352" s="77" t="s">
        <v>103</v>
      </c>
      <c r="G352" s="77"/>
      <c r="H352" s="77"/>
      <c r="I352" s="77"/>
      <c r="J352" s="53"/>
      <c r="K352" s="77" t="s">
        <v>25</v>
      </c>
      <c r="L352" s="77"/>
    </row>
    <row r="353" spans="1:12" x14ac:dyDescent="0.25">
      <c r="A353" s="28" t="s">
        <v>90</v>
      </c>
      <c r="B353" s="3" t="s">
        <v>3</v>
      </c>
      <c r="C353" s="3" t="s">
        <v>0</v>
      </c>
      <c r="D353" s="3" t="s">
        <v>1</v>
      </c>
      <c r="E353" s="78"/>
      <c r="F353" s="28" t="s">
        <v>90</v>
      </c>
      <c r="G353" s="3" t="s">
        <v>105</v>
      </c>
      <c r="H353" s="3" t="s">
        <v>0</v>
      </c>
      <c r="I353" s="3" t="s">
        <v>1</v>
      </c>
      <c r="J353" s="53"/>
      <c r="K353" s="3" t="s">
        <v>90</v>
      </c>
      <c r="L353" s="3" t="s">
        <v>105</v>
      </c>
    </row>
    <row r="354" spans="1:12" x14ac:dyDescent="0.25">
      <c r="A354" s="33">
        <f>N7</f>
        <v>0</v>
      </c>
      <c r="B354" s="34">
        <v>63.88</v>
      </c>
      <c r="C354" s="5">
        <f>B354/D354</f>
        <v>291.59999382837833</v>
      </c>
      <c r="D354" s="50">
        <v>0.21906722000000001</v>
      </c>
      <c r="E354" s="78"/>
      <c r="F354" s="33">
        <v>46120</v>
      </c>
      <c r="G354" s="6">
        <v>1.97</v>
      </c>
      <c r="H354" s="5">
        <f>G354/I354</f>
        <v>297.20013336290248</v>
      </c>
      <c r="I354" s="6">
        <v>6.6285299999999997E-3</v>
      </c>
      <c r="J354" s="52"/>
      <c r="K354" s="33"/>
      <c r="L354" s="5"/>
    </row>
    <row r="355" spans="1:12" x14ac:dyDescent="0.25">
      <c r="A355" s="33">
        <v>46125</v>
      </c>
      <c r="B355" s="34">
        <v>0.95</v>
      </c>
      <c r="C355" s="5">
        <f>B355/D355</f>
        <v>296.69976170324401</v>
      </c>
      <c r="D355" s="50">
        <v>3.2018900000000002E-3</v>
      </c>
      <c r="E355" s="78"/>
      <c r="F355" s="33"/>
      <c r="G355" s="6"/>
      <c r="H355" s="5"/>
      <c r="I355" s="6"/>
      <c r="J355" s="52"/>
      <c r="K355" s="33"/>
      <c r="L355" s="5"/>
    </row>
    <row r="356" spans="1:12" x14ac:dyDescent="0.25">
      <c r="A356" s="33"/>
      <c r="B356" s="34"/>
      <c r="C356" s="6"/>
      <c r="D356" s="50"/>
      <c r="E356" s="78"/>
      <c r="F356" s="33"/>
      <c r="G356" s="6"/>
      <c r="H356" s="5"/>
      <c r="I356" s="6"/>
      <c r="J356" s="52"/>
      <c r="K356" s="33"/>
      <c r="L356" s="5"/>
    </row>
    <row r="357" spans="1:12" x14ac:dyDescent="0.25">
      <c r="A357" s="33"/>
      <c r="B357" s="34"/>
      <c r="C357" s="6"/>
      <c r="D357" s="50"/>
      <c r="E357" s="78"/>
      <c r="F357" s="33"/>
      <c r="G357" s="6"/>
      <c r="H357" s="5"/>
      <c r="I357" s="6"/>
      <c r="J357" s="52"/>
      <c r="K357" s="33"/>
      <c r="L357" s="5"/>
    </row>
    <row r="358" spans="1:12" x14ac:dyDescent="0.25">
      <c r="A358" s="33"/>
      <c r="B358" s="5"/>
      <c r="C358" s="6"/>
      <c r="D358" s="50"/>
      <c r="E358" s="78"/>
      <c r="F358" s="33"/>
      <c r="G358" s="2"/>
      <c r="H358" s="2"/>
      <c r="I358" s="2"/>
      <c r="J358" s="54"/>
      <c r="K358" s="33"/>
      <c r="L358" s="2"/>
    </row>
    <row r="359" spans="1:12" x14ac:dyDescent="0.25">
      <c r="A359" s="33"/>
      <c r="B359" s="5"/>
      <c r="C359" s="6"/>
      <c r="D359" s="50"/>
      <c r="E359" s="78"/>
      <c r="F359" s="33"/>
      <c r="G359" s="2"/>
      <c r="H359" s="2"/>
      <c r="I359" s="2"/>
      <c r="J359" s="54"/>
      <c r="K359" s="33"/>
      <c r="L359" s="2"/>
    </row>
    <row r="360" spans="1:12" ht="16.5" x14ac:dyDescent="0.3">
      <c r="A360" s="33"/>
      <c r="B360" s="5"/>
      <c r="C360" s="6"/>
      <c r="D360" s="50"/>
      <c r="E360" s="78"/>
      <c r="F360" s="36"/>
      <c r="G360" s="2"/>
      <c r="H360" s="2"/>
      <c r="I360" s="2"/>
      <c r="J360" s="54"/>
      <c r="K360" s="36"/>
      <c r="L360" s="2"/>
    </row>
    <row r="361" spans="1:12" ht="16.5" x14ac:dyDescent="0.3">
      <c r="A361" s="36"/>
      <c r="B361" s="5"/>
      <c r="C361" s="6"/>
      <c r="D361" s="14"/>
      <c r="E361" s="78"/>
      <c r="F361" s="36"/>
      <c r="G361" s="2"/>
      <c r="H361" s="2"/>
      <c r="I361" s="2"/>
      <c r="J361" s="54"/>
      <c r="K361" s="36"/>
      <c r="L361" s="2"/>
    </row>
    <row r="362" spans="1:12" x14ac:dyDescent="0.25">
      <c r="A362" s="3" t="s">
        <v>2</v>
      </c>
      <c r="B362" s="5">
        <f>SUM(B354:B361)</f>
        <v>64.83</v>
      </c>
      <c r="C362" s="6"/>
      <c r="D362" s="14">
        <f>SUM(D354:D361)</f>
        <v>0.22226911000000002</v>
      </c>
      <c r="E362" s="78"/>
      <c r="F362" s="3" t="s">
        <v>2</v>
      </c>
      <c r="G362" s="5">
        <f>SUM(G354:G361)</f>
        <v>1.97</v>
      </c>
      <c r="H362" s="6"/>
      <c r="I362" s="14">
        <f t="shared" ref="I362" si="25">SUM(I354:I361)</f>
        <v>6.6285299999999997E-3</v>
      </c>
      <c r="J362" s="55"/>
      <c r="K362" s="3" t="s">
        <v>2</v>
      </c>
      <c r="L362" s="5">
        <f>SUM(L354:L361)</f>
        <v>0</v>
      </c>
    </row>
    <row r="365" spans="1:12" x14ac:dyDescent="0.25">
      <c r="A365" s="79" t="s">
        <v>144</v>
      </c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1"/>
    </row>
    <row r="366" spans="1:12" x14ac:dyDescent="0.25">
      <c r="A366" s="77" t="s">
        <v>102</v>
      </c>
      <c r="B366" s="77"/>
      <c r="C366" s="77"/>
      <c r="D366" s="77"/>
      <c r="E366" s="78"/>
      <c r="F366" s="77" t="s">
        <v>103</v>
      </c>
      <c r="G366" s="77"/>
      <c r="H366" s="77"/>
      <c r="I366" s="77"/>
      <c r="J366" s="53"/>
      <c r="K366" s="77" t="s">
        <v>25</v>
      </c>
      <c r="L366" s="77"/>
    </row>
    <row r="367" spans="1:12" x14ac:dyDescent="0.25">
      <c r="A367" s="28" t="s">
        <v>90</v>
      </c>
      <c r="B367" s="3" t="s">
        <v>3</v>
      </c>
      <c r="C367" s="3" t="s">
        <v>0</v>
      </c>
      <c r="D367" s="3" t="s">
        <v>1</v>
      </c>
      <c r="E367" s="78"/>
      <c r="F367" s="28" t="s">
        <v>90</v>
      </c>
      <c r="G367" s="3" t="s">
        <v>105</v>
      </c>
      <c r="H367" s="3" t="s">
        <v>0</v>
      </c>
      <c r="I367" s="3" t="s">
        <v>1</v>
      </c>
      <c r="J367" s="53"/>
      <c r="K367" s="3" t="s">
        <v>90</v>
      </c>
      <c r="L367" s="3" t="s">
        <v>105</v>
      </c>
    </row>
    <row r="368" spans="1:12" x14ac:dyDescent="0.25">
      <c r="A368" s="33">
        <f>N7</f>
        <v>0</v>
      </c>
      <c r="B368" s="34">
        <v>19.170000000000002</v>
      </c>
      <c r="C368" s="5">
        <f>B368/D368</f>
        <v>414.45001488517664</v>
      </c>
      <c r="D368" s="50">
        <v>4.6254070000000001E-2</v>
      </c>
      <c r="E368" s="78"/>
      <c r="F368" s="33">
        <v>46120</v>
      </c>
      <c r="G368" s="6">
        <v>9.76</v>
      </c>
      <c r="H368" s="5">
        <f>G368/I368</f>
        <v>421.80270524202223</v>
      </c>
      <c r="I368" s="6">
        <v>2.3138780000000001E-2</v>
      </c>
      <c r="J368" s="52"/>
      <c r="K368" s="33"/>
      <c r="L368" s="5"/>
    </row>
    <row r="369" spans="1:12" x14ac:dyDescent="0.25">
      <c r="A369" s="33">
        <v>46125</v>
      </c>
      <c r="B369" s="34">
        <v>0.02</v>
      </c>
      <c r="C369" s="5">
        <f>B369/D369</f>
        <v>420.69835927639883</v>
      </c>
      <c r="D369" s="50">
        <v>4.7540000000000002E-5</v>
      </c>
      <c r="E369" s="78"/>
      <c r="F369" s="33"/>
      <c r="G369" s="6"/>
      <c r="H369" s="5"/>
      <c r="I369" s="6"/>
      <c r="J369" s="52"/>
      <c r="K369" s="33"/>
      <c r="L369" s="5"/>
    </row>
    <row r="370" spans="1:12" x14ac:dyDescent="0.25">
      <c r="A370" s="33"/>
      <c r="B370" s="34"/>
      <c r="C370" s="6"/>
      <c r="D370" s="50"/>
      <c r="E370" s="78"/>
      <c r="F370" s="33"/>
      <c r="G370" s="6"/>
      <c r="H370" s="5"/>
      <c r="I370" s="6"/>
      <c r="J370" s="52"/>
      <c r="K370" s="33"/>
      <c r="L370" s="5"/>
    </row>
    <row r="371" spans="1:12" x14ac:dyDescent="0.25">
      <c r="A371" s="33"/>
      <c r="B371" s="34"/>
      <c r="C371" s="6"/>
      <c r="D371" s="50"/>
      <c r="E371" s="78"/>
      <c r="F371" s="33"/>
      <c r="G371" s="6"/>
      <c r="H371" s="5"/>
      <c r="I371" s="6"/>
      <c r="J371" s="52"/>
      <c r="K371" s="33"/>
      <c r="L371" s="5"/>
    </row>
    <row r="372" spans="1:12" x14ac:dyDescent="0.25">
      <c r="A372" s="33"/>
      <c r="B372" s="5"/>
      <c r="C372" s="6"/>
      <c r="D372" s="50"/>
      <c r="E372" s="78"/>
      <c r="F372" s="33"/>
      <c r="G372" s="2"/>
      <c r="H372" s="2"/>
      <c r="I372" s="2"/>
      <c r="J372" s="54"/>
      <c r="K372" s="33"/>
      <c r="L372" s="2"/>
    </row>
    <row r="373" spans="1:12" x14ac:dyDescent="0.25">
      <c r="A373" s="33"/>
      <c r="B373" s="5"/>
      <c r="C373" s="6"/>
      <c r="D373" s="50"/>
      <c r="E373" s="78"/>
      <c r="F373" s="33"/>
      <c r="G373" s="2"/>
      <c r="H373" s="2"/>
      <c r="I373" s="2"/>
      <c r="J373" s="54"/>
      <c r="K373" s="33"/>
      <c r="L373" s="2"/>
    </row>
    <row r="374" spans="1:12" ht="16.5" x14ac:dyDescent="0.3">
      <c r="A374" s="33"/>
      <c r="B374" s="5"/>
      <c r="C374" s="6"/>
      <c r="D374" s="50"/>
      <c r="E374" s="78"/>
      <c r="F374" s="36"/>
      <c r="G374" s="2"/>
      <c r="H374" s="2"/>
      <c r="I374" s="2"/>
      <c r="J374" s="54"/>
      <c r="K374" s="36"/>
      <c r="L374" s="2"/>
    </row>
    <row r="375" spans="1:12" ht="16.5" x14ac:dyDescent="0.3">
      <c r="A375" s="36"/>
      <c r="B375" s="5"/>
      <c r="C375" s="6"/>
      <c r="D375" s="14"/>
      <c r="E375" s="78"/>
      <c r="F375" s="36"/>
      <c r="G375" s="2"/>
      <c r="H375" s="2"/>
      <c r="I375" s="2"/>
      <c r="J375" s="54"/>
      <c r="K375" s="36"/>
      <c r="L375" s="2"/>
    </row>
    <row r="376" spans="1:12" x14ac:dyDescent="0.25">
      <c r="A376" s="3" t="s">
        <v>2</v>
      </c>
      <c r="B376" s="5">
        <f>SUM(B368:B375)</f>
        <v>19.190000000000001</v>
      </c>
      <c r="C376" s="6"/>
      <c r="D376" s="14">
        <f>SUM(D368:D375)</f>
        <v>4.630161E-2</v>
      </c>
      <c r="E376" s="78"/>
      <c r="F376" s="3" t="s">
        <v>2</v>
      </c>
      <c r="G376" s="5">
        <f>SUM(G368:G375)</f>
        <v>9.76</v>
      </c>
      <c r="H376" s="6"/>
      <c r="I376" s="14">
        <f t="shared" ref="I376" si="26">SUM(I368:I375)</f>
        <v>2.3138780000000001E-2</v>
      </c>
      <c r="J376" s="55"/>
      <c r="K376" s="3" t="s">
        <v>2</v>
      </c>
      <c r="L376" s="5">
        <f>SUM(L368:L375)</f>
        <v>0</v>
      </c>
    </row>
    <row r="379" spans="1:12" x14ac:dyDescent="0.25">
      <c r="A379" s="79" t="s">
        <v>145</v>
      </c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1"/>
    </row>
    <row r="380" spans="1:12" x14ac:dyDescent="0.25">
      <c r="A380" s="77" t="s">
        <v>102</v>
      </c>
      <c r="B380" s="77"/>
      <c r="C380" s="77"/>
      <c r="D380" s="77"/>
      <c r="E380" s="78"/>
      <c r="F380" s="77" t="s">
        <v>103</v>
      </c>
      <c r="G380" s="77"/>
      <c r="H380" s="77"/>
      <c r="I380" s="77"/>
      <c r="J380" s="53"/>
      <c r="K380" s="77" t="s">
        <v>25</v>
      </c>
      <c r="L380" s="77"/>
    </row>
    <row r="381" spans="1:12" x14ac:dyDescent="0.25">
      <c r="A381" s="28" t="s">
        <v>90</v>
      </c>
      <c r="B381" s="3" t="s">
        <v>3</v>
      </c>
      <c r="C381" s="3" t="s">
        <v>0</v>
      </c>
      <c r="D381" s="3" t="s">
        <v>1</v>
      </c>
      <c r="E381" s="78"/>
      <c r="F381" s="28" t="s">
        <v>90</v>
      </c>
      <c r="G381" s="3" t="s">
        <v>105</v>
      </c>
      <c r="H381" s="3" t="s">
        <v>0</v>
      </c>
      <c r="I381" s="3" t="s">
        <v>1</v>
      </c>
      <c r="J381" s="53"/>
      <c r="K381" s="3" t="s">
        <v>90</v>
      </c>
      <c r="L381" s="3" t="s">
        <v>105</v>
      </c>
    </row>
    <row r="382" spans="1:12" x14ac:dyDescent="0.25">
      <c r="A382" s="33">
        <f>N7</f>
        <v>0</v>
      </c>
      <c r="B382" s="34">
        <v>4.26</v>
      </c>
      <c r="C382" s="5">
        <f>B382/D382</f>
        <v>103.26001064596166</v>
      </c>
      <c r="D382" s="50">
        <v>4.125508E-2</v>
      </c>
      <c r="E382" s="78"/>
      <c r="F382" s="33">
        <v>46120</v>
      </c>
      <c r="G382" s="6">
        <v>2.17</v>
      </c>
      <c r="H382" s="5">
        <f>G382/I382</f>
        <v>104.63998780968252</v>
      </c>
      <c r="I382" s="6">
        <v>2.0737769999999999E-2</v>
      </c>
      <c r="J382" s="52"/>
      <c r="K382" s="33"/>
      <c r="L382" s="5"/>
    </row>
    <row r="383" spans="1:12" x14ac:dyDescent="0.25">
      <c r="A383" s="33">
        <v>46125</v>
      </c>
      <c r="B383" s="34">
        <v>0.02</v>
      </c>
      <c r="C383" s="5">
        <f>B383/D383</f>
        <v>104.77787091366304</v>
      </c>
      <c r="D383" s="50">
        <v>1.9087999999999999E-4</v>
      </c>
      <c r="E383" s="78"/>
      <c r="F383" s="33"/>
      <c r="G383" s="6"/>
      <c r="H383" s="5"/>
      <c r="I383" s="6"/>
      <c r="J383" s="52"/>
      <c r="K383" s="33"/>
      <c r="L383" s="5"/>
    </row>
    <row r="384" spans="1:12" x14ac:dyDescent="0.25">
      <c r="A384" s="33"/>
      <c r="B384" s="34"/>
      <c r="C384" s="6"/>
      <c r="D384" s="50"/>
      <c r="E384" s="78"/>
      <c r="F384" s="33"/>
      <c r="G384" s="6"/>
      <c r="H384" s="5"/>
      <c r="I384" s="6"/>
      <c r="J384" s="52"/>
      <c r="K384" s="33"/>
      <c r="L384" s="5"/>
    </row>
    <row r="385" spans="1:12" x14ac:dyDescent="0.25">
      <c r="A385" s="33"/>
      <c r="B385" s="34"/>
      <c r="C385" s="6"/>
      <c r="D385" s="50"/>
      <c r="E385" s="78"/>
      <c r="F385" s="33"/>
      <c r="G385" s="6"/>
      <c r="H385" s="5"/>
      <c r="I385" s="6"/>
      <c r="J385" s="52"/>
      <c r="K385" s="33"/>
      <c r="L385" s="5"/>
    </row>
    <row r="386" spans="1:12" x14ac:dyDescent="0.25">
      <c r="A386" s="33"/>
      <c r="B386" s="5"/>
      <c r="C386" s="6"/>
      <c r="D386" s="50"/>
      <c r="E386" s="78"/>
      <c r="F386" s="33"/>
      <c r="G386" s="2"/>
      <c r="H386" s="2"/>
      <c r="I386" s="2"/>
      <c r="J386" s="54"/>
      <c r="K386" s="33"/>
      <c r="L386" s="2"/>
    </row>
    <row r="387" spans="1:12" x14ac:dyDescent="0.25">
      <c r="A387" s="33"/>
      <c r="B387" s="5"/>
      <c r="C387" s="6"/>
      <c r="D387" s="50"/>
      <c r="E387" s="78"/>
      <c r="F387" s="33"/>
      <c r="G387" s="2"/>
      <c r="H387" s="2"/>
      <c r="I387" s="2"/>
      <c r="J387" s="54"/>
      <c r="K387" s="33"/>
      <c r="L387" s="2"/>
    </row>
    <row r="388" spans="1:12" ht="16.5" x14ac:dyDescent="0.3">
      <c r="A388" s="33"/>
      <c r="B388" s="5"/>
      <c r="C388" s="6"/>
      <c r="D388" s="50"/>
      <c r="E388" s="78"/>
      <c r="F388" s="36"/>
      <c r="G388" s="2"/>
      <c r="H388" s="2"/>
      <c r="I388" s="2"/>
      <c r="J388" s="54"/>
      <c r="K388" s="36"/>
      <c r="L388" s="2"/>
    </row>
    <row r="389" spans="1:12" ht="16.5" x14ac:dyDescent="0.3">
      <c r="A389" s="36"/>
      <c r="B389" s="5"/>
      <c r="C389" s="6"/>
      <c r="D389" s="14"/>
      <c r="E389" s="78"/>
      <c r="F389" s="36"/>
      <c r="G389" s="2"/>
      <c r="H389" s="2"/>
      <c r="I389" s="2"/>
      <c r="J389" s="54"/>
      <c r="K389" s="36"/>
      <c r="L389" s="2"/>
    </row>
    <row r="390" spans="1:12" x14ac:dyDescent="0.25">
      <c r="A390" s="3" t="s">
        <v>2</v>
      </c>
      <c r="B390" s="5">
        <f>SUM(B382:B389)</f>
        <v>4.2799999999999994</v>
      </c>
      <c r="C390" s="6"/>
      <c r="D390" s="14">
        <f>SUM(D382:D389)</f>
        <v>4.1445959999999997E-2</v>
      </c>
      <c r="E390" s="78"/>
      <c r="F390" s="3" t="s">
        <v>2</v>
      </c>
      <c r="G390" s="5">
        <f>SUM(G382:G389)</f>
        <v>2.17</v>
      </c>
      <c r="H390" s="6"/>
      <c r="I390" s="14">
        <f t="shared" ref="I390" si="27">SUM(I382:I389)</f>
        <v>2.0737769999999999E-2</v>
      </c>
      <c r="J390" s="55"/>
      <c r="K390" s="3" t="s">
        <v>2</v>
      </c>
      <c r="L390" s="5">
        <f>SUM(L382:L389)</f>
        <v>0</v>
      </c>
    </row>
  </sheetData>
  <mergeCells count="142">
    <mergeCell ref="N3:T3"/>
    <mergeCell ref="A15:L15"/>
    <mergeCell ref="A2:L2"/>
    <mergeCell ref="A3:D3"/>
    <mergeCell ref="E3:E13"/>
    <mergeCell ref="F3:I3"/>
    <mergeCell ref="K3:L3"/>
    <mergeCell ref="N2:T2"/>
    <mergeCell ref="A43:L43"/>
    <mergeCell ref="A44:D44"/>
    <mergeCell ref="E44:E54"/>
    <mergeCell ref="F44:I44"/>
    <mergeCell ref="K44:L44"/>
    <mergeCell ref="A57:L57"/>
    <mergeCell ref="A16:D16"/>
    <mergeCell ref="E16:E26"/>
    <mergeCell ref="F16:I16"/>
    <mergeCell ref="K16:L16"/>
    <mergeCell ref="A29:L29"/>
    <mergeCell ref="A30:D30"/>
    <mergeCell ref="E30:E40"/>
    <mergeCell ref="F30:I30"/>
    <mergeCell ref="K30:L30"/>
    <mergeCell ref="A85:L85"/>
    <mergeCell ref="A86:D86"/>
    <mergeCell ref="E86:E96"/>
    <mergeCell ref="F86:I86"/>
    <mergeCell ref="K86:L86"/>
    <mergeCell ref="A99:L99"/>
    <mergeCell ref="A58:D58"/>
    <mergeCell ref="E58:E68"/>
    <mergeCell ref="F58:I58"/>
    <mergeCell ref="K58:L58"/>
    <mergeCell ref="A71:L71"/>
    <mergeCell ref="A72:D72"/>
    <mergeCell ref="E72:E82"/>
    <mergeCell ref="F72:I72"/>
    <mergeCell ref="K72:L72"/>
    <mergeCell ref="A127:L127"/>
    <mergeCell ref="A128:D128"/>
    <mergeCell ref="E128:E138"/>
    <mergeCell ref="F128:I128"/>
    <mergeCell ref="K128:L128"/>
    <mergeCell ref="A141:L141"/>
    <mergeCell ref="A100:D100"/>
    <mergeCell ref="E100:E110"/>
    <mergeCell ref="F100:I100"/>
    <mergeCell ref="K100:L100"/>
    <mergeCell ref="A113:L113"/>
    <mergeCell ref="A114:D114"/>
    <mergeCell ref="E114:E124"/>
    <mergeCell ref="F114:I114"/>
    <mergeCell ref="K114:L114"/>
    <mergeCell ref="A169:L169"/>
    <mergeCell ref="A170:D170"/>
    <mergeCell ref="E170:E180"/>
    <mergeCell ref="F170:I170"/>
    <mergeCell ref="K170:L170"/>
    <mergeCell ref="A183:L183"/>
    <mergeCell ref="A142:D142"/>
    <mergeCell ref="E142:E152"/>
    <mergeCell ref="F142:I142"/>
    <mergeCell ref="K142:L142"/>
    <mergeCell ref="A155:L155"/>
    <mergeCell ref="A156:D156"/>
    <mergeCell ref="E156:E166"/>
    <mergeCell ref="F156:I156"/>
    <mergeCell ref="K156:L156"/>
    <mergeCell ref="A211:L211"/>
    <mergeCell ref="A212:D212"/>
    <mergeCell ref="E212:E222"/>
    <mergeCell ref="F212:I212"/>
    <mergeCell ref="K212:L212"/>
    <mergeCell ref="A225:L225"/>
    <mergeCell ref="A184:D184"/>
    <mergeCell ref="E184:E194"/>
    <mergeCell ref="F184:I184"/>
    <mergeCell ref="K184:L184"/>
    <mergeCell ref="A197:L197"/>
    <mergeCell ref="A198:D198"/>
    <mergeCell ref="E198:E208"/>
    <mergeCell ref="F198:I198"/>
    <mergeCell ref="K198:L198"/>
    <mergeCell ref="A253:L253"/>
    <mergeCell ref="A254:D254"/>
    <mergeCell ref="E254:E264"/>
    <mergeCell ref="F254:I254"/>
    <mergeCell ref="K254:L254"/>
    <mergeCell ref="A267:L267"/>
    <mergeCell ref="A226:D226"/>
    <mergeCell ref="E226:E236"/>
    <mergeCell ref="F226:I226"/>
    <mergeCell ref="K226:L226"/>
    <mergeCell ref="A239:L239"/>
    <mergeCell ref="A240:D240"/>
    <mergeCell ref="E240:E250"/>
    <mergeCell ref="F240:I240"/>
    <mergeCell ref="K240:L240"/>
    <mergeCell ref="A295:L295"/>
    <mergeCell ref="A296:D296"/>
    <mergeCell ref="E296:E306"/>
    <mergeCell ref="F296:I296"/>
    <mergeCell ref="K296:L296"/>
    <mergeCell ref="A309:L309"/>
    <mergeCell ref="A268:D268"/>
    <mergeCell ref="E268:E278"/>
    <mergeCell ref="F268:I268"/>
    <mergeCell ref="K268:L268"/>
    <mergeCell ref="A281:L281"/>
    <mergeCell ref="A282:D282"/>
    <mergeCell ref="E282:E292"/>
    <mergeCell ref="F282:I282"/>
    <mergeCell ref="K282:L282"/>
    <mergeCell ref="A337:L337"/>
    <mergeCell ref="A338:D338"/>
    <mergeCell ref="E338:E348"/>
    <mergeCell ref="F338:I338"/>
    <mergeCell ref="K338:L338"/>
    <mergeCell ref="A351:L351"/>
    <mergeCell ref="A310:D310"/>
    <mergeCell ref="E310:E320"/>
    <mergeCell ref="F310:I310"/>
    <mergeCell ref="K310:L310"/>
    <mergeCell ref="A323:L323"/>
    <mergeCell ref="A324:D324"/>
    <mergeCell ref="E324:E334"/>
    <mergeCell ref="F324:I324"/>
    <mergeCell ref="K324:L324"/>
    <mergeCell ref="A379:L379"/>
    <mergeCell ref="A380:D380"/>
    <mergeCell ref="E380:E390"/>
    <mergeCell ref="F380:I380"/>
    <mergeCell ref="K380:L380"/>
    <mergeCell ref="A352:D352"/>
    <mergeCell ref="E352:E362"/>
    <mergeCell ref="F352:I352"/>
    <mergeCell ref="K352:L352"/>
    <mergeCell ref="A365:L365"/>
    <mergeCell ref="A366:D366"/>
    <mergeCell ref="E366:E376"/>
    <mergeCell ref="F366:I366"/>
    <mergeCell ref="K366:L366"/>
  </mergeCells>
  <pageMargins left="0.7" right="0.7" top="0.75" bottom="0.75" header="0.3" footer="0.3"/>
  <pageSetup orientation="portrait" r:id="rId1"/>
  <ignoredErrors>
    <ignoredError sqref="N2" numberStoredAsText="1"/>
  </ignoredError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8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21">
        <v>2026.03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8">
        <v>46083</v>
      </c>
      <c r="B4" s="5">
        <v>15</v>
      </c>
      <c r="C4" s="5">
        <f t="shared" ref="C4" si="0">B16+B28+B40+B52+B64+B76+B88+B100</f>
        <v>14.39</v>
      </c>
      <c r="D4" s="5">
        <f t="shared" ref="D4" si="1">B4-C4</f>
        <v>0.60999999999999943</v>
      </c>
      <c r="E4" s="6"/>
      <c r="F4" s="5"/>
    </row>
    <row r="5" spans="1:6" x14ac:dyDescent="0.25">
      <c r="A5" s="10"/>
      <c r="B5" s="5"/>
      <c r="C5" s="5"/>
      <c r="D5" s="5"/>
      <c r="E5" s="6"/>
      <c r="F5" s="6"/>
    </row>
    <row r="6" spans="1:6" x14ac:dyDescent="0.25">
      <c r="A6" s="10"/>
      <c r="B6" s="5"/>
      <c r="C6" s="5"/>
      <c r="D6" s="5"/>
      <c r="E6" s="6"/>
      <c r="F6" s="2"/>
    </row>
    <row r="7" spans="1:6" x14ac:dyDescent="0.25">
      <c r="A7" s="10"/>
      <c r="B7" s="5"/>
      <c r="C7" s="5"/>
      <c r="D7" s="5"/>
      <c r="E7" s="6"/>
      <c r="F7" s="2"/>
    </row>
    <row r="8" spans="1:6" x14ac:dyDescent="0.25">
      <c r="A8" s="10"/>
      <c r="B8" s="5"/>
      <c r="C8" s="5"/>
      <c r="D8" s="5"/>
      <c r="E8" s="6"/>
      <c r="F8" s="2"/>
    </row>
    <row r="9" spans="1:6" x14ac:dyDescent="0.25">
      <c r="A9" s="10"/>
      <c r="B9" s="5"/>
      <c r="C9" s="5"/>
      <c r="D9" s="5"/>
      <c r="E9" s="6"/>
      <c r="F9" s="2"/>
    </row>
    <row r="10" spans="1:6" x14ac:dyDescent="0.25">
      <c r="A10" s="10"/>
      <c r="B10" s="5"/>
      <c r="C10" s="5"/>
      <c r="D10" s="5"/>
      <c r="E10" s="6"/>
      <c r="F10" s="2"/>
    </row>
    <row r="11" spans="1:6" x14ac:dyDescent="0.25">
      <c r="A11" s="2"/>
      <c r="B11" s="5"/>
      <c r="C11" s="2"/>
      <c r="D11" s="2"/>
      <c r="E11" s="6"/>
      <c r="F11" s="2"/>
    </row>
    <row r="12" spans="1:6" x14ac:dyDescent="0.25">
      <c r="A12" s="2" t="s">
        <v>2</v>
      </c>
      <c r="B12" s="5">
        <f>SUM(B4:B11)</f>
        <v>15</v>
      </c>
      <c r="C12" s="5">
        <f t="shared" ref="C12:D12" si="2">SUM(C4:C11)</f>
        <v>14.39</v>
      </c>
      <c r="D12" s="5">
        <f t="shared" si="2"/>
        <v>0.60999999999999943</v>
      </c>
      <c r="E12" s="5">
        <f>E24+E36+E48+E60+E72+E84+E96+E108</f>
        <v>0.03</v>
      </c>
      <c r="F12" s="5">
        <v>0.2</v>
      </c>
    </row>
    <row r="15" spans="1:6" x14ac:dyDescent="0.25">
      <c r="A15" s="11" t="s">
        <v>14</v>
      </c>
      <c r="B15" s="3" t="s">
        <v>3</v>
      </c>
      <c r="C15" s="3" t="s">
        <v>0</v>
      </c>
      <c r="D15" s="3" t="s">
        <v>1</v>
      </c>
      <c r="E15" s="3" t="s">
        <v>25</v>
      </c>
    </row>
    <row r="16" spans="1:6" x14ac:dyDescent="0.25">
      <c r="A16" s="17">
        <f t="shared" ref="A16" si="3">A4</f>
        <v>46083</v>
      </c>
      <c r="B16" s="5">
        <v>3.28</v>
      </c>
      <c r="C16" s="7">
        <f>B16/D16</f>
        <v>93.780012105627165</v>
      </c>
      <c r="D16" s="14">
        <v>3.4975470000000002E-2</v>
      </c>
      <c r="E16" s="6"/>
    </row>
    <row r="17" spans="1:5" x14ac:dyDescent="0.25">
      <c r="A17" s="17"/>
      <c r="B17" s="5"/>
      <c r="C17" s="7"/>
      <c r="D17" s="14"/>
      <c r="E17" s="6"/>
    </row>
    <row r="18" spans="1:5" ht="15" customHeight="1" x14ac:dyDescent="0.25">
      <c r="A18" s="17"/>
      <c r="B18" s="5"/>
      <c r="C18" s="7"/>
      <c r="D18" s="14"/>
      <c r="E18" s="6"/>
    </row>
    <row r="19" spans="1:5" ht="15" customHeight="1" x14ac:dyDescent="0.25">
      <c r="A19" s="17"/>
      <c r="B19" s="5"/>
      <c r="C19" s="7"/>
      <c r="D19" s="6"/>
      <c r="E19" s="6"/>
    </row>
    <row r="20" spans="1:5" ht="15" customHeight="1" x14ac:dyDescent="0.25">
      <c r="A20" s="17"/>
      <c r="B20" s="5"/>
      <c r="C20" s="7"/>
      <c r="D20" s="6"/>
      <c r="E20" s="6"/>
    </row>
    <row r="21" spans="1:5" ht="15" customHeight="1" x14ac:dyDescent="0.25">
      <c r="A21" s="17"/>
      <c r="B21" s="5"/>
      <c r="C21" s="6"/>
      <c r="D21" s="14"/>
      <c r="E21" s="6"/>
    </row>
    <row r="22" spans="1:5" ht="15" customHeight="1" x14ac:dyDescent="0.25">
      <c r="A22" s="17"/>
      <c r="B22" s="5"/>
      <c r="C22" s="6"/>
      <c r="D22" s="14"/>
      <c r="E22" s="6"/>
    </row>
    <row r="23" spans="1:5" x14ac:dyDescent="0.25">
      <c r="A23" s="19"/>
      <c r="B23" s="6"/>
      <c r="C23" s="6"/>
      <c r="D23" s="6"/>
      <c r="E23" s="6"/>
    </row>
    <row r="24" spans="1:5" x14ac:dyDescent="0.25">
      <c r="A24" s="2" t="s">
        <v>2</v>
      </c>
      <c r="B24" s="5">
        <f>SUM(B16:B23)</f>
        <v>3.28</v>
      </c>
      <c r="C24" s="6"/>
      <c r="D24" s="14">
        <f>SUM(D16:D23)</f>
        <v>3.4975470000000002E-2</v>
      </c>
      <c r="E24" s="5">
        <f>SUM(E16:E23)</f>
        <v>0</v>
      </c>
    </row>
    <row r="25" spans="1:5" x14ac:dyDescent="0.25">
      <c r="B25" s="9"/>
      <c r="C25" s="1"/>
      <c r="D25" s="12"/>
    </row>
    <row r="26" spans="1:5" x14ac:dyDescent="0.25">
      <c r="B26" s="1"/>
      <c r="C26" s="1"/>
      <c r="D26" s="1"/>
    </row>
    <row r="27" spans="1:5" x14ac:dyDescent="0.25">
      <c r="A27" s="11" t="s">
        <v>15</v>
      </c>
      <c r="B27" s="3" t="s">
        <v>3</v>
      </c>
      <c r="C27" s="3" t="s">
        <v>0</v>
      </c>
      <c r="D27" s="3" t="s">
        <v>1</v>
      </c>
      <c r="E27" s="3" t="s">
        <v>25</v>
      </c>
    </row>
    <row r="28" spans="1:5" x14ac:dyDescent="0.25">
      <c r="A28" s="17">
        <f t="shared" ref="A28" si="4">A4</f>
        <v>46083</v>
      </c>
      <c r="B28" s="5">
        <v>2.21</v>
      </c>
      <c r="C28" s="7">
        <f t="shared" ref="C28" si="5">B28/D28</f>
        <v>75.282992515984859</v>
      </c>
      <c r="D28" s="14">
        <v>2.9355900000000001E-2</v>
      </c>
      <c r="E28" s="5"/>
    </row>
    <row r="29" spans="1:5" x14ac:dyDescent="0.25">
      <c r="A29" s="17"/>
      <c r="B29" s="5"/>
      <c r="C29" s="7"/>
      <c r="D29" s="14"/>
      <c r="E29" s="6"/>
    </row>
    <row r="30" spans="1:5" x14ac:dyDescent="0.25">
      <c r="A30" s="17"/>
      <c r="B30" s="5"/>
      <c r="C30" s="7"/>
      <c r="D30" s="14"/>
      <c r="E30" s="6"/>
    </row>
    <row r="31" spans="1:5" x14ac:dyDescent="0.25">
      <c r="A31" s="17"/>
      <c r="B31" s="5"/>
      <c r="C31" s="7"/>
      <c r="D31" s="14"/>
      <c r="E31" s="6"/>
    </row>
    <row r="32" spans="1:5" x14ac:dyDescent="0.25">
      <c r="A32" s="17"/>
      <c r="B32" s="5"/>
      <c r="C32" s="7"/>
      <c r="D32" s="14"/>
      <c r="E32" s="6"/>
    </row>
    <row r="33" spans="1:5" x14ac:dyDescent="0.25">
      <c r="A33" s="17"/>
      <c r="B33" s="5"/>
      <c r="C33" s="7"/>
      <c r="D33" s="6"/>
      <c r="E33" s="6"/>
    </row>
    <row r="34" spans="1:5" x14ac:dyDescent="0.25">
      <c r="A34" s="17"/>
      <c r="B34" s="5"/>
      <c r="C34" s="7"/>
      <c r="D34" s="6"/>
      <c r="E34" s="6"/>
    </row>
    <row r="35" spans="1:5" x14ac:dyDescent="0.25">
      <c r="A35" s="19"/>
      <c r="B35" s="6"/>
      <c r="C35" s="6"/>
      <c r="D35" s="6"/>
      <c r="E35" s="6"/>
    </row>
    <row r="36" spans="1:5" x14ac:dyDescent="0.25">
      <c r="A36" s="2" t="s">
        <v>2</v>
      </c>
      <c r="B36" s="5">
        <f>SUM(B28:B35)</f>
        <v>2.21</v>
      </c>
      <c r="C36" s="6"/>
      <c r="D36" s="14">
        <f>SUM(D28:D35)</f>
        <v>2.9355900000000001E-2</v>
      </c>
      <c r="E36" s="5">
        <f>SUM(E28:E35)</f>
        <v>0</v>
      </c>
    </row>
    <row r="39" spans="1:5" x14ac:dyDescent="0.25">
      <c r="A39" s="11" t="s">
        <v>16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7">
        <f t="shared" ref="A40" si="6">A4</f>
        <v>46083</v>
      </c>
      <c r="B40" s="5">
        <v>1.48</v>
      </c>
      <c r="C40" s="7">
        <f t="shared" ref="C40" si="7">B40/D40</f>
        <v>4.3365999749356243</v>
      </c>
      <c r="D40" s="14">
        <v>0.34128119000000001</v>
      </c>
      <c r="E40" s="6"/>
    </row>
    <row r="41" spans="1:5" x14ac:dyDescent="0.25">
      <c r="A41" s="17"/>
      <c r="B41" s="5"/>
      <c r="C41" s="7"/>
      <c r="D41" s="14"/>
      <c r="E41" s="6"/>
    </row>
    <row r="42" spans="1:5" x14ac:dyDescent="0.25">
      <c r="A42" s="17"/>
      <c r="B42" s="5"/>
      <c r="C42" s="7"/>
      <c r="D42" s="14"/>
      <c r="E42" s="6"/>
    </row>
    <row r="43" spans="1:5" x14ac:dyDescent="0.25">
      <c r="A43" s="17"/>
      <c r="B43" s="5"/>
      <c r="C43" s="7"/>
      <c r="D43" s="14"/>
      <c r="E43" s="6"/>
    </row>
    <row r="44" spans="1:5" x14ac:dyDescent="0.25">
      <c r="A44" s="17"/>
      <c r="B44" s="5"/>
      <c r="C44" s="7"/>
      <c r="D44" s="14"/>
      <c r="E44" s="6"/>
    </row>
    <row r="45" spans="1:5" x14ac:dyDescent="0.25">
      <c r="A45" s="17"/>
      <c r="B45" s="5"/>
      <c r="C45" s="7"/>
      <c r="D45" s="6"/>
      <c r="E45" s="6"/>
    </row>
    <row r="46" spans="1:5" x14ac:dyDescent="0.25">
      <c r="A46" s="17"/>
      <c r="B46" s="5"/>
      <c r="C46" s="7"/>
      <c r="D46" s="6"/>
      <c r="E46" s="6"/>
    </row>
    <row r="47" spans="1:5" x14ac:dyDescent="0.25">
      <c r="A47" s="19"/>
      <c r="B47" s="6"/>
      <c r="C47" s="6"/>
      <c r="D47" s="6"/>
      <c r="E47" s="6"/>
    </row>
    <row r="48" spans="1:5" x14ac:dyDescent="0.25">
      <c r="A48" s="2" t="s">
        <v>2</v>
      </c>
      <c r="B48" s="5">
        <f>SUM(B40:B47)</f>
        <v>1.48</v>
      </c>
      <c r="C48" s="6"/>
      <c r="D48" s="14">
        <f>SUM(D40:D47)</f>
        <v>0.34128119000000001</v>
      </c>
      <c r="E48" s="6">
        <f>SUM(E40:E47)</f>
        <v>0</v>
      </c>
    </row>
    <row r="51" spans="1:5" x14ac:dyDescent="0.25">
      <c r="A51" s="11" t="s">
        <v>17</v>
      </c>
      <c r="B51" s="3" t="s">
        <v>3</v>
      </c>
      <c r="C51" s="3" t="s">
        <v>0</v>
      </c>
      <c r="D51" s="3" t="s">
        <v>1</v>
      </c>
      <c r="E51" s="3" t="s">
        <v>25</v>
      </c>
    </row>
    <row r="52" spans="1:5" x14ac:dyDescent="0.25">
      <c r="A52" s="17">
        <f t="shared" ref="A52" si="8">A16</f>
        <v>46083</v>
      </c>
      <c r="B52" s="5">
        <v>1.08</v>
      </c>
      <c r="C52" s="7">
        <f t="shared" ref="C52" si="9">B52/D52</f>
        <v>88.810238833757111</v>
      </c>
      <c r="D52" s="14">
        <v>1.216076E-2</v>
      </c>
      <c r="E52" s="6"/>
    </row>
    <row r="53" spans="1:5" x14ac:dyDescent="0.25">
      <c r="A53" s="17"/>
      <c r="B53" s="5"/>
      <c r="C53" s="7"/>
      <c r="D53" s="14"/>
      <c r="E53" s="5"/>
    </row>
    <row r="54" spans="1:5" x14ac:dyDescent="0.25">
      <c r="A54" s="17"/>
      <c r="B54" s="5"/>
      <c r="C54" s="7"/>
      <c r="D54" s="14"/>
      <c r="E54" s="5"/>
    </row>
    <row r="55" spans="1:5" x14ac:dyDescent="0.25">
      <c r="A55" s="17"/>
      <c r="B55" s="5"/>
      <c r="C55" s="7"/>
      <c r="D55" s="14"/>
      <c r="E55" s="5"/>
    </row>
    <row r="56" spans="1:5" x14ac:dyDescent="0.25">
      <c r="A56" s="17"/>
      <c r="B56" s="5"/>
      <c r="C56" s="7"/>
      <c r="D56" s="14"/>
      <c r="E56" s="6"/>
    </row>
    <row r="57" spans="1:5" x14ac:dyDescent="0.25">
      <c r="A57" s="17"/>
      <c r="B57" s="5"/>
      <c r="C57" s="7"/>
      <c r="D57" s="14"/>
      <c r="E57" s="6"/>
    </row>
    <row r="58" spans="1:5" x14ac:dyDescent="0.25">
      <c r="A58" s="17"/>
      <c r="B58" s="5"/>
      <c r="C58" s="7"/>
      <c r="D58" s="14"/>
      <c r="E58" s="6"/>
    </row>
    <row r="59" spans="1:5" x14ac:dyDescent="0.25">
      <c r="A59" s="19"/>
      <c r="B59" s="6"/>
      <c r="C59" s="6"/>
      <c r="D59" s="6"/>
      <c r="E59" s="6"/>
    </row>
    <row r="60" spans="1:5" x14ac:dyDescent="0.25">
      <c r="A60" s="2" t="s">
        <v>2</v>
      </c>
      <c r="B60" s="5">
        <f>SUM(B52:B59)</f>
        <v>1.08</v>
      </c>
      <c r="C60" s="6"/>
      <c r="D60" s="14">
        <f>SUM(D52:D59)</f>
        <v>1.216076E-2</v>
      </c>
      <c r="E60" s="5">
        <f>SUM(E52:E59)</f>
        <v>0</v>
      </c>
    </row>
    <row r="63" spans="1:5" x14ac:dyDescent="0.25">
      <c r="A63" s="11" t="s">
        <v>18</v>
      </c>
      <c r="B63" s="3" t="s">
        <v>3</v>
      </c>
      <c r="C63" s="3" t="s">
        <v>0</v>
      </c>
      <c r="D63" s="3" t="s">
        <v>1</v>
      </c>
      <c r="E63" s="3" t="s">
        <v>25</v>
      </c>
    </row>
    <row r="64" spans="1:5" x14ac:dyDescent="0.25">
      <c r="A64" s="17">
        <f t="shared" ref="A64" si="10">A28</f>
        <v>46083</v>
      </c>
      <c r="B64" s="5">
        <v>1.74</v>
      </c>
      <c r="C64" s="7">
        <f t="shared" ref="C64" si="11">B64/D64</f>
        <v>70.569998746774161</v>
      </c>
      <c r="D64" s="14">
        <v>2.465637E-2</v>
      </c>
      <c r="E64" s="6"/>
    </row>
    <row r="65" spans="1:5" x14ac:dyDescent="0.25">
      <c r="A65" s="17"/>
      <c r="B65" s="5"/>
      <c r="C65" s="7"/>
      <c r="D65" s="14"/>
      <c r="E65" s="6"/>
    </row>
    <row r="66" spans="1:5" x14ac:dyDescent="0.25">
      <c r="A66" s="17"/>
      <c r="B66" s="5"/>
      <c r="C66" s="7"/>
      <c r="D66" s="14"/>
      <c r="E66" s="6"/>
    </row>
    <row r="67" spans="1:5" x14ac:dyDescent="0.25">
      <c r="A67" s="17"/>
      <c r="B67" s="5"/>
      <c r="C67" s="7"/>
      <c r="D67" s="14"/>
      <c r="E67" s="6"/>
    </row>
    <row r="68" spans="1:5" x14ac:dyDescent="0.25">
      <c r="A68" s="17"/>
      <c r="B68" s="5"/>
      <c r="C68" s="7"/>
      <c r="D68" s="14"/>
      <c r="E68" s="6"/>
    </row>
    <row r="69" spans="1:5" x14ac:dyDescent="0.25">
      <c r="A69" s="17"/>
      <c r="B69" s="5"/>
      <c r="C69" s="7"/>
      <c r="D69" s="6"/>
      <c r="E69" s="6"/>
    </row>
    <row r="70" spans="1:5" x14ac:dyDescent="0.25">
      <c r="A70" s="17"/>
      <c r="B70" s="5"/>
      <c r="C70" s="7"/>
      <c r="D70" s="6"/>
      <c r="E70" s="6"/>
    </row>
    <row r="71" spans="1:5" x14ac:dyDescent="0.25">
      <c r="A71" s="19"/>
      <c r="B71" s="6"/>
      <c r="C71" s="6"/>
      <c r="D71" s="6"/>
      <c r="E71" s="6"/>
    </row>
    <row r="72" spans="1:5" x14ac:dyDescent="0.25">
      <c r="A72" s="2" t="s">
        <v>2</v>
      </c>
      <c r="B72" s="5">
        <f>SUM(B64:B71)</f>
        <v>1.74</v>
      </c>
      <c r="C72" s="6"/>
      <c r="D72" s="14">
        <f>SUM(D64:D71)</f>
        <v>2.465637E-2</v>
      </c>
      <c r="E72" s="5">
        <f>SUM(E64:E71)</f>
        <v>0</v>
      </c>
    </row>
    <row r="75" spans="1:5" x14ac:dyDescent="0.25">
      <c r="A75" s="15" t="s">
        <v>19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7">
        <f t="shared" ref="A76" si="12">A40</f>
        <v>46083</v>
      </c>
      <c r="B76" s="5">
        <v>1.19</v>
      </c>
      <c r="C76" s="7">
        <f t="shared" ref="C76" si="13">B76/D76</f>
        <v>111.1451499618931</v>
      </c>
      <c r="D76" s="14">
        <v>1.0706719999999999E-2</v>
      </c>
      <c r="E76" s="5"/>
    </row>
    <row r="77" spans="1:5" x14ac:dyDescent="0.25">
      <c r="A77" s="17"/>
      <c r="B77" s="5"/>
      <c r="C77" s="7"/>
      <c r="D77" s="14"/>
      <c r="E77" s="6"/>
    </row>
    <row r="78" spans="1:5" x14ac:dyDescent="0.25">
      <c r="A78" s="17"/>
      <c r="B78" s="5"/>
      <c r="C78" s="7"/>
      <c r="D78" s="14"/>
      <c r="E78" s="6"/>
    </row>
    <row r="79" spans="1:5" x14ac:dyDescent="0.25">
      <c r="A79" s="17"/>
      <c r="B79" s="5"/>
      <c r="C79" s="7"/>
      <c r="D79" s="14"/>
      <c r="E79" s="6"/>
    </row>
    <row r="80" spans="1:5" x14ac:dyDescent="0.25">
      <c r="A80" s="17"/>
      <c r="B80" s="5"/>
      <c r="C80" s="7"/>
      <c r="D80" s="14"/>
      <c r="E80" s="6"/>
    </row>
    <row r="81" spans="1:5" x14ac:dyDescent="0.25">
      <c r="A81" s="17"/>
      <c r="B81" s="5"/>
      <c r="C81" s="7"/>
      <c r="D81" s="6"/>
      <c r="E81" s="6"/>
    </row>
    <row r="82" spans="1:5" x14ac:dyDescent="0.25">
      <c r="A82" s="17"/>
      <c r="B82" s="5"/>
      <c r="C82" s="7"/>
      <c r="D82" s="6"/>
      <c r="E82" s="6"/>
    </row>
    <row r="83" spans="1:5" x14ac:dyDescent="0.25">
      <c r="A83" s="19"/>
      <c r="B83" s="6"/>
      <c r="C83" s="6"/>
      <c r="D83" s="6"/>
      <c r="E83" s="6"/>
    </row>
    <row r="84" spans="1:5" x14ac:dyDescent="0.25">
      <c r="A84" s="2" t="s">
        <v>2</v>
      </c>
      <c r="B84" s="5">
        <f>SUM(B76:B83)</f>
        <v>1.19</v>
      </c>
      <c r="C84" s="6"/>
      <c r="D84" s="14">
        <f>SUM(D76:D83)</f>
        <v>1.0706719999999999E-2</v>
      </c>
      <c r="E84" s="5">
        <f>SUM(E76:E83)</f>
        <v>0</v>
      </c>
    </row>
    <row r="87" spans="1:5" x14ac:dyDescent="0.25">
      <c r="A87" s="15" t="s">
        <v>20</v>
      </c>
      <c r="B87" s="3" t="s">
        <v>3</v>
      </c>
      <c r="C87" s="3" t="s">
        <v>0</v>
      </c>
      <c r="D87" s="3" t="s">
        <v>1</v>
      </c>
      <c r="E87" s="3" t="s">
        <v>25</v>
      </c>
    </row>
    <row r="88" spans="1:5" x14ac:dyDescent="0.25">
      <c r="A88" s="17">
        <f t="shared" ref="A88" si="14">A52</f>
        <v>46083</v>
      </c>
      <c r="B88" s="5">
        <v>3.41</v>
      </c>
      <c r="C88" s="7">
        <f t="shared" ref="C88" si="15">B88/D88</f>
        <v>98.889996044400164</v>
      </c>
      <c r="D88" s="14">
        <v>3.4482760000000001E-2</v>
      </c>
      <c r="E88" s="6">
        <v>0.03</v>
      </c>
    </row>
    <row r="89" spans="1:5" x14ac:dyDescent="0.25">
      <c r="A89" s="17"/>
      <c r="B89" s="5"/>
      <c r="C89" s="7"/>
      <c r="D89" s="14"/>
      <c r="E89" s="6"/>
    </row>
    <row r="90" spans="1:5" x14ac:dyDescent="0.25">
      <c r="A90" s="17"/>
      <c r="B90" s="5"/>
      <c r="C90" s="7"/>
      <c r="D90" s="14"/>
      <c r="E90" s="6"/>
    </row>
    <row r="91" spans="1:5" x14ac:dyDescent="0.25">
      <c r="A91" s="17"/>
      <c r="B91" s="5"/>
      <c r="C91" s="7"/>
      <c r="D91" s="14"/>
      <c r="E91" s="6"/>
    </row>
    <row r="92" spans="1:5" x14ac:dyDescent="0.25">
      <c r="A92" s="17"/>
      <c r="B92" s="5"/>
      <c r="C92" s="7"/>
      <c r="D92" s="14"/>
      <c r="E92" s="6"/>
    </row>
    <row r="93" spans="1:5" x14ac:dyDescent="0.25">
      <c r="A93" s="17"/>
      <c r="B93" s="5"/>
      <c r="C93" s="6"/>
      <c r="D93" s="14"/>
      <c r="E93" s="6"/>
    </row>
    <row r="94" spans="1:5" x14ac:dyDescent="0.25">
      <c r="A94" s="17"/>
      <c r="B94" s="5"/>
      <c r="C94" s="7"/>
      <c r="D94" s="14"/>
      <c r="E94" s="6"/>
    </row>
    <row r="95" spans="1:5" x14ac:dyDescent="0.25">
      <c r="A95" s="19"/>
      <c r="B95" s="6"/>
      <c r="C95" s="6"/>
      <c r="D95" s="6"/>
      <c r="E95" s="6"/>
    </row>
    <row r="96" spans="1:5" x14ac:dyDescent="0.25">
      <c r="A96" s="2" t="s">
        <v>2</v>
      </c>
      <c r="B96" s="5">
        <f>SUM(B88:B95)</f>
        <v>3.41</v>
      </c>
      <c r="C96" s="6"/>
      <c r="D96" s="14">
        <f>SUM(D88:D95)</f>
        <v>3.4482760000000001E-2</v>
      </c>
      <c r="E96" s="6">
        <f>SUM(E88:E95)</f>
        <v>0.03</v>
      </c>
    </row>
    <row r="99" spans="1:5" x14ac:dyDescent="0.25">
      <c r="A99" s="15" t="s">
        <v>21</v>
      </c>
      <c r="B99" s="3" t="s">
        <v>3</v>
      </c>
      <c r="C99" s="3" t="s">
        <v>0</v>
      </c>
      <c r="D99" s="3" t="s">
        <v>1</v>
      </c>
      <c r="E99" s="3" t="s">
        <v>25</v>
      </c>
    </row>
    <row r="100" spans="1:5" x14ac:dyDescent="0.25">
      <c r="A100" s="17">
        <f t="shared" ref="A100" si="16">A64</f>
        <v>46083</v>
      </c>
      <c r="B100" s="5">
        <v>0</v>
      </c>
      <c r="C100" s="7" t="e">
        <f t="shared" ref="C100" si="17">B100/D100</f>
        <v>#DIV/0!</v>
      </c>
      <c r="D100" s="14">
        <v>0</v>
      </c>
      <c r="E100" s="6"/>
    </row>
    <row r="101" spans="1:5" x14ac:dyDescent="0.25">
      <c r="A101" s="17"/>
      <c r="B101" s="5"/>
      <c r="C101" s="7"/>
      <c r="D101" s="14"/>
      <c r="E101" s="6"/>
    </row>
    <row r="102" spans="1:5" x14ac:dyDescent="0.25">
      <c r="A102" s="17"/>
      <c r="B102" s="5"/>
      <c r="C102" s="7"/>
      <c r="D102" s="14"/>
      <c r="E102" s="6"/>
    </row>
    <row r="103" spans="1:5" x14ac:dyDescent="0.25">
      <c r="A103" s="17"/>
      <c r="B103" s="5"/>
      <c r="C103" s="7"/>
      <c r="D103" s="14"/>
      <c r="E103" s="6"/>
    </row>
    <row r="104" spans="1:5" x14ac:dyDescent="0.25">
      <c r="A104" s="17"/>
      <c r="B104" s="5"/>
      <c r="C104" s="7"/>
      <c r="D104" s="14"/>
      <c r="E104" s="6"/>
    </row>
    <row r="105" spans="1:5" x14ac:dyDescent="0.25">
      <c r="A105" s="17"/>
      <c r="B105" s="5"/>
      <c r="C105" s="7"/>
      <c r="D105" s="6"/>
      <c r="E105" s="6"/>
    </row>
    <row r="106" spans="1:5" x14ac:dyDescent="0.25">
      <c r="A106" s="17"/>
      <c r="B106" s="5"/>
      <c r="C106" s="7"/>
      <c r="D106" s="14"/>
      <c r="E106" s="6"/>
    </row>
    <row r="107" spans="1:5" x14ac:dyDescent="0.25">
      <c r="A107" s="19"/>
      <c r="B107" s="6"/>
      <c r="C107" s="6"/>
      <c r="D107" s="6"/>
      <c r="E107" s="6"/>
    </row>
    <row r="108" spans="1:5" x14ac:dyDescent="0.25">
      <c r="A108" s="2" t="s">
        <v>2</v>
      </c>
      <c r="B108" s="5">
        <f>SUM(B100:B107)</f>
        <v>0</v>
      </c>
      <c r="C108" s="6"/>
      <c r="D108" s="14">
        <f>SUM(D100:D107)</f>
        <v>0</v>
      </c>
      <c r="E108" s="5">
        <f>SUM(E100:E107)</f>
        <v>0</v>
      </c>
    </row>
  </sheetData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8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21">
        <v>2026.02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8">
        <v>46056</v>
      </c>
      <c r="B4" s="5">
        <v>15</v>
      </c>
      <c r="C4" s="5">
        <f t="shared" ref="C4" si="0">B16+B28+B40+B52+B64+B76+B88+B100</f>
        <v>14.509999999999998</v>
      </c>
      <c r="D4" s="5">
        <f t="shared" ref="D4" si="1">B4-C4</f>
        <v>0.49000000000000199</v>
      </c>
      <c r="E4" s="6"/>
      <c r="F4" s="5"/>
    </row>
    <row r="5" spans="1:6" x14ac:dyDescent="0.25">
      <c r="A5" s="10"/>
      <c r="B5" s="5"/>
      <c r="C5" s="5"/>
      <c r="D5" s="5"/>
      <c r="E5" s="6"/>
      <c r="F5" s="6"/>
    </row>
    <row r="6" spans="1:6" x14ac:dyDescent="0.25">
      <c r="A6" s="10"/>
      <c r="B6" s="5"/>
      <c r="C6" s="5"/>
      <c r="D6" s="5"/>
      <c r="E6" s="6"/>
      <c r="F6" s="2"/>
    </row>
    <row r="7" spans="1:6" x14ac:dyDescent="0.25">
      <c r="A7" s="10"/>
      <c r="B7" s="5"/>
      <c r="C7" s="5"/>
      <c r="D7" s="5"/>
      <c r="E7" s="6"/>
      <c r="F7" s="2"/>
    </row>
    <row r="8" spans="1:6" x14ac:dyDescent="0.25">
      <c r="A8" s="10"/>
      <c r="B8" s="5"/>
      <c r="C8" s="5"/>
      <c r="D8" s="5"/>
      <c r="E8" s="6"/>
      <c r="F8" s="2"/>
    </row>
    <row r="9" spans="1:6" x14ac:dyDescent="0.25">
      <c r="A9" s="10"/>
      <c r="B9" s="5"/>
      <c r="C9" s="5"/>
      <c r="D9" s="5"/>
      <c r="E9" s="6"/>
      <c r="F9" s="2"/>
    </row>
    <row r="10" spans="1:6" x14ac:dyDescent="0.25">
      <c r="A10" s="10"/>
      <c r="B10" s="5"/>
      <c r="C10" s="5"/>
      <c r="D10" s="5"/>
      <c r="E10" s="6"/>
      <c r="F10" s="2"/>
    </row>
    <row r="11" spans="1:6" x14ac:dyDescent="0.25">
      <c r="A11" s="2"/>
      <c r="B11" s="5"/>
      <c r="C11" s="2"/>
      <c r="D11" s="2"/>
      <c r="E11" s="6"/>
      <c r="F11" s="2"/>
    </row>
    <row r="12" spans="1:6" x14ac:dyDescent="0.25">
      <c r="A12" s="2" t="s">
        <v>2</v>
      </c>
      <c r="B12" s="5">
        <f>SUM(B4:B11)</f>
        <v>15</v>
      </c>
      <c r="C12" s="5">
        <f t="shared" ref="C12:D12" si="2">SUM(C4:C11)</f>
        <v>14.509999999999998</v>
      </c>
      <c r="D12" s="5">
        <f t="shared" si="2"/>
        <v>0.49000000000000199</v>
      </c>
      <c r="E12" s="5">
        <f>E24+E36+E48+E60+E72+E84+E96+E108</f>
        <v>0</v>
      </c>
      <c r="F12" s="5">
        <v>0.21</v>
      </c>
    </row>
    <row r="15" spans="1:6" x14ac:dyDescent="0.25">
      <c r="A15" s="11" t="s">
        <v>14</v>
      </c>
      <c r="B15" s="3" t="s">
        <v>3</v>
      </c>
      <c r="C15" s="3" t="s">
        <v>0</v>
      </c>
      <c r="D15" s="3" t="s">
        <v>1</v>
      </c>
      <c r="E15" s="3" t="s">
        <v>25</v>
      </c>
    </row>
    <row r="16" spans="1:6" x14ac:dyDescent="0.25">
      <c r="A16" s="17">
        <f t="shared" ref="A16" si="3">A4</f>
        <v>46056</v>
      </c>
      <c r="B16" s="5">
        <v>2.93</v>
      </c>
      <c r="C16" s="7">
        <f>B16/D16</f>
        <v>99.100016268637489</v>
      </c>
      <c r="D16" s="14">
        <v>2.956609E-2</v>
      </c>
      <c r="E16" s="6"/>
    </row>
    <row r="17" spans="1:5" x14ac:dyDescent="0.25">
      <c r="A17" s="17"/>
      <c r="B17" s="5"/>
      <c r="C17" s="7"/>
      <c r="D17" s="14"/>
      <c r="E17" s="6"/>
    </row>
    <row r="18" spans="1:5" ht="15" customHeight="1" x14ac:dyDescent="0.25">
      <c r="A18" s="17"/>
      <c r="B18" s="5"/>
      <c r="C18" s="7"/>
      <c r="D18" s="14"/>
      <c r="E18" s="6"/>
    </row>
    <row r="19" spans="1:5" ht="15" customHeight="1" x14ac:dyDescent="0.25">
      <c r="A19" s="17"/>
      <c r="B19" s="5"/>
      <c r="C19" s="7"/>
      <c r="D19" s="6"/>
      <c r="E19" s="6"/>
    </row>
    <row r="20" spans="1:5" ht="15" customHeight="1" x14ac:dyDescent="0.25">
      <c r="A20" s="17"/>
      <c r="B20" s="5"/>
      <c r="C20" s="7"/>
      <c r="D20" s="6"/>
      <c r="E20" s="6"/>
    </row>
    <row r="21" spans="1:5" ht="15" customHeight="1" x14ac:dyDescent="0.25">
      <c r="A21" s="17"/>
      <c r="B21" s="5"/>
      <c r="C21" s="6"/>
      <c r="D21" s="14"/>
      <c r="E21" s="6"/>
    </row>
    <row r="22" spans="1:5" ht="15" customHeight="1" x14ac:dyDescent="0.25">
      <c r="A22" s="17"/>
      <c r="B22" s="5"/>
      <c r="C22" s="6"/>
      <c r="D22" s="14"/>
      <c r="E22" s="6"/>
    </row>
    <row r="23" spans="1:5" x14ac:dyDescent="0.25">
      <c r="A23" s="19"/>
      <c r="B23" s="6"/>
      <c r="C23" s="6"/>
      <c r="D23" s="6"/>
      <c r="E23" s="6"/>
    </row>
    <row r="24" spans="1:5" x14ac:dyDescent="0.25">
      <c r="A24" s="2" t="s">
        <v>2</v>
      </c>
      <c r="B24" s="5">
        <f>SUM(B16:B23)</f>
        <v>2.93</v>
      </c>
      <c r="C24" s="6"/>
      <c r="D24" s="14">
        <f>SUM(D16:D23)</f>
        <v>2.956609E-2</v>
      </c>
      <c r="E24" s="5">
        <f>SUM(E16:E23)</f>
        <v>0</v>
      </c>
    </row>
    <row r="25" spans="1:5" x14ac:dyDescent="0.25">
      <c r="B25" s="9"/>
      <c r="C25" s="1"/>
      <c r="D25" s="12"/>
    </row>
    <row r="26" spans="1:5" x14ac:dyDescent="0.25">
      <c r="B26" s="1"/>
      <c r="C26" s="1"/>
      <c r="D26" s="1"/>
    </row>
    <row r="27" spans="1:5" x14ac:dyDescent="0.25">
      <c r="A27" s="11" t="s">
        <v>15</v>
      </c>
      <c r="B27" s="3" t="s">
        <v>3</v>
      </c>
      <c r="C27" s="3" t="s">
        <v>0</v>
      </c>
      <c r="D27" s="3" t="s">
        <v>1</v>
      </c>
      <c r="E27" s="3" t="s">
        <v>25</v>
      </c>
    </row>
    <row r="28" spans="1:5" x14ac:dyDescent="0.25">
      <c r="A28" s="17">
        <f t="shared" ref="A28" si="4">A4</f>
        <v>46056</v>
      </c>
      <c r="B28" s="5">
        <v>2.36</v>
      </c>
      <c r="C28" s="7">
        <f t="shared" ref="C28" si="5">B28/D28</f>
        <v>74.96999611807901</v>
      </c>
      <c r="D28" s="14">
        <v>3.1479260000000002E-2</v>
      </c>
      <c r="E28" s="5"/>
    </row>
    <row r="29" spans="1:5" x14ac:dyDescent="0.25">
      <c r="A29" s="17"/>
      <c r="B29" s="5"/>
      <c r="C29" s="7"/>
      <c r="D29" s="14"/>
      <c r="E29" s="6"/>
    </row>
    <row r="30" spans="1:5" x14ac:dyDescent="0.25">
      <c r="A30" s="17"/>
      <c r="B30" s="5"/>
      <c r="C30" s="7"/>
      <c r="D30" s="14"/>
      <c r="E30" s="6"/>
    </row>
    <row r="31" spans="1:5" x14ac:dyDescent="0.25">
      <c r="A31" s="17"/>
      <c r="B31" s="5"/>
      <c r="C31" s="7"/>
      <c r="D31" s="14"/>
      <c r="E31" s="6"/>
    </row>
    <row r="32" spans="1:5" x14ac:dyDescent="0.25">
      <c r="A32" s="17"/>
      <c r="B32" s="5"/>
      <c r="C32" s="7"/>
      <c r="D32" s="14"/>
      <c r="E32" s="6"/>
    </row>
    <row r="33" spans="1:5" x14ac:dyDescent="0.25">
      <c r="A33" s="17"/>
      <c r="B33" s="5"/>
      <c r="C33" s="7"/>
      <c r="D33" s="6"/>
      <c r="E33" s="6"/>
    </row>
    <row r="34" spans="1:5" x14ac:dyDescent="0.25">
      <c r="A34" s="17"/>
      <c r="B34" s="5"/>
      <c r="C34" s="7"/>
      <c r="D34" s="6"/>
      <c r="E34" s="6"/>
    </row>
    <row r="35" spans="1:5" x14ac:dyDescent="0.25">
      <c r="A35" s="19"/>
      <c r="B35" s="6"/>
      <c r="C35" s="6"/>
      <c r="D35" s="6"/>
      <c r="E35" s="6"/>
    </row>
    <row r="36" spans="1:5" x14ac:dyDescent="0.25">
      <c r="A36" s="2" t="s">
        <v>2</v>
      </c>
      <c r="B36" s="5">
        <f>SUM(B28:B35)</f>
        <v>2.36</v>
      </c>
      <c r="C36" s="6"/>
      <c r="D36" s="14">
        <f>SUM(D28:D35)</f>
        <v>3.1479260000000002E-2</v>
      </c>
      <c r="E36" s="5">
        <f>SUM(E28:E35)</f>
        <v>0</v>
      </c>
    </row>
    <row r="39" spans="1:5" x14ac:dyDescent="0.25">
      <c r="A39" s="11" t="s">
        <v>16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7">
        <f t="shared" ref="A40" si="6">A4</f>
        <v>46056</v>
      </c>
      <c r="B40" s="5">
        <v>1.9</v>
      </c>
      <c r="C40" s="7">
        <f t="shared" ref="C40" si="7">B40/D40</f>
        <v>4.2928999546895703</v>
      </c>
      <c r="D40" s="14">
        <v>0.44259125999999999</v>
      </c>
      <c r="E40" s="6"/>
    </row>
    <row r="41" spans="1:5" x14ac:dyDescent="0.25">
      <c r="A41" s="17"/>
      <c r="B41" s="5"/>
      <c r="C41" s="7"/>
      <c r="D41" s="14"/>
      <c r="E41" s="6"/>
    </row>
    <row r="42" spans="1:5" x14ac:dyDescent="0.25">
      <c r="A42" s="17"/>
      <c r="B42" s="5"/>
      <c r="C42" s="7"/>
      <c r="D42" s="14"/>
      <c r="E42" s="6"/>
    </row>
    <row r="43" spans="1:5" x14ac:dyDescent="0.25">
      <c r="A43" s="17"/>
      <c r="B43" s="5"/>
      <c r="C43" s="7"/>
      <c r="D43" s="14"/>
      <c r="E43" s="6"/>
    </row>
    <row r="44" spans="1:5" x14ac:dyDescent="0.25">
      <c r="A44" s="17"/>
      <c r="B44" s="5"/>
      <c r="C44" s="7"/>
      <c r="D44" s="14"/>
      <c r="E44" s="6"/>
    </row>
    <row r="45" spans="1:5" x14ac:dyDescent="0.25">
      <c r="A45" s="17"/>
      <c r="B45" s="5"/>
      <c r="C45" s="7"/>
      <c r="D45" s="6"/>
      <c r="E45" s="6"/>
    </row>
    <row r="46" spans="1:5" x14ac:dyDescent="0.25">
      <c r="A46" s="17"/>
      <c r="B46" s="5"/>
      <c r="C46" s="7"/>
      <c r="D46" s="6"/>
      <c r="E46" s="6"/>
    </row>
    <row r="47" spans="1:5" x14ac:dyDescent="0.25">
      <c r="A47" s="19"/>
      <c r="B47" s="6"/>
      <c r="C47" s="6"/>
      <c r="D47" s="6"/>
      <c r="E47" s="6"/>
    </row>
    <row r="48" spans="1:5" x14ac:dyDescent="0.25">
      <c r="A48" s="2" t="s">
        <v>2</v>
      </c>
      <c r="B48" s="5">
        <f>SUM(B40:B47)</f>
        <v>1.9</v>
      </c>
      <c r="C48" s="6"/>
      <c r="D48" s="14">
        <f>SUM(D40:D47)</f>
        <v>0.44259125999999999</v>
      </c>
      <c r="E48" s="6">
        <f>SUM(E40:E47)</f>
        <v>0</v>
      </c>
    </row>
    <row r="51" spans="1:5" x14ac:dyDescent="0.25">
      <c r="A51" s="11" t="s">
        <v>17</v>
      </c>
      <c r="B51" s="3" t="s">
        <v>3</v>
      </c>
      <c r="C51" s="3" t="s">
        <v>0</v>
      </c>
      <c r="D51" s="3" t="s">
        <v>1</v>
      </c>
      <c r="E51" s="3" t="s">
        <v>25</v>
      </c>
    </row>
    <row r="52" spans="1:5" x14ac:dyDescent="0.25">
      <c r="A52" s="17">
        <f t="shared" ref="A52" si="8">A16</f>
        <v>46056</v>
      </c>
      <c r="B52" s="5">
        <v>1.76</v>
      </c>
      <c r="C52" s="7">
        <f t="shared" ref="C52" si="9">B52/D52</f>
        <v>87.455893160700711</v>
      </c>
      <c r="D52" s="14">
        <v>2.0124429999999999E-2</v>
      </c>
      <c r="E52" s="6"/>
    </row>
    <row r="53" spans="1:5" x14ac:dyDescent="0.25">
      <c r="A53" s="17"/>
      <c r="B53" s="5"/>
      <c r="C53" s="7"/>
      <c r="D53" s="14"/>
      <c r="E53" s="5"/>
    </row>
    <row r="54" spans="1:5" x14ac:dyDescent="0.25">
      <c r="A54" s="17"/>
      <c r="B54" s="5"/>
      <c r="C54" s="7"/>
      <c r="D54" s="14"/>
      <c r="E54" s="5"/>
    </row>
    <row r="55" spans="1:5" x14ac:dyDescent="0.25">
      <c r="A55" s="17"/>
      <c r="B55" s="5"/>
      <c r="C55" s="7"/>
      <c r="D55" s="14"/>
      <c r="E55" s="5"/>
    </row>
    <row r="56" spans="1:5" x14ac:dyDescent="0.25">
      <c r="A56" s="17"/>
      <c r="B56" s="5"/>
      <c r="C56" s="7"/>
      <c r="D56" s="14"/>
      <c r="E56" s="6"/>
    </row>
    <row r="57" spans="1:5" x14ac:dyDescent="0.25">
      <c r="A57" s="17"/>
      <c r="B57" s="5"/>
      <c r="C57" s="7"/>
      <c r="D57" s="14"/>
      <c r="E57" s="6"/>
    </row>
    <row r="58" spans="1:5" x14ac:dyDescent="0.25">
      <c r="A58" s="17"/>
      <c r="B58" s="5"/>
      <c r="C58" s="7"/>
      <c r="D58" s="14"/>
      <c r="E58" s="6"/>
    </row>
    <row r="59" spans="1:5" x14ac:dyDescent="0.25">
      <c r="A59" s="19"/>
      <c r="B59" s="6"/>
      <c r="C59" s="6"/>
      <c r="D59" s="6"/>
      <c r="E59" s="6"/>
    </row>
    <row r="60" spans="1:5" x14ac:dyDescent="0.25">
      <c r="A60" s="2" t="s">
        <v>2</v>
      </c>
      <c r="B60" s="5">
        <f>SUM(B52:B59)</f>
        <v>1.76</v>
      </c>
      <c r="C60" s="6"/>
      <c r="D60" s="14">
        <f>SUM(D52:D59)</f>
        <v>2.0124429999999999E-2</v>
      </c>
      <c r="E60" s="5">
        <f>SUM(E52:E59)</f>
        <v>0</v>
      </c>
    </row>
    <row r="63" spans="1:5" x14ac:dyDescent="0.25">
      <c r="A63" s="11" t="s">
        <v>18</v>
      </c>
      <c r="B63" s="3" t="s">
        <v>3</v>
      </c>
      <c r="C63" s="3" t="s">
        <v>0</v>
      </c>
      <c r="D63" s="3" t="s">
        <v>1</v>
      </c>
      <c r="E63" s="3" t="s">
        <v>25</v>
      </c>
    </row>
    <row r="64" spans="1:5" x14ac:dyDescent="0.25">
      <c r="A64" s="17">
        <f t="shared" ref="A64" si="10">A28</f>
        <v>46056</v>
      </c>
      <c r="B64" s="5">
        <v>1.41</v>
      </c>
      <c r="C64" s="7">
        <f t="shared" ref="C64" si="11">B64/D64</f>
        <v>70.380002096425599</v>
      </c>
      <c r="D64" s="14">
        <v>2.0034099999999999E-2</v>
      </c>
      <c r="E64" s="6"/>
    </row>
    <row r="65" spans="1:5" x14ac:dyDescent="0.25">
      <c r="A65" s="17"/>
      <c r="B65" s="5"/>
      <c r="C65" s="7"/>
      <c r="D65" s="14"/>
      <c r="E65" s="6"/>
    </row>
    <row r="66" spans="1:5" x14ac:dyDescent="0.25">
      <c r="A66" s="17"/>
      <c r="B66" s="5"/>
      <c r="C66" s="7"/>
      <c r="D66" s="14"/>
      <c r="E66" s="6"/>
    </row>
    <row r="67" spans="1:5" x14ac:dyDescent="0.25">
      <c r="A67" s="17"/>
      <c r="B67" s="5"/>
      <c r="C67" s="7"/>
      <c r="D67" s="14"/>
      <c r="E67" s="6"/>
    </row>
    <row r="68" spans="1:5" x14ac:dyDescent="0.25">
      <c r="A68" s="17"/>
      <c r="B68" s="5"/>
      <c r="C68" s="7"/>
      <c r="D68" s="14"/>
      <c r="E68" s="6"/>
    </row>
    <row r="69" spans="1:5" x14ac:dyDescent="0.25">
      <c r="A69" s="17"/>
      <c r="B69" s="5"/>
      <c r="C69" s="7"/>
      <c r="D69" s="6"/>
      <c r="E69" s="6"/>
    </row>
    <row r="70" spans="1:5" x14ac:dyDescent="0.25">
      <c r="A70" s="17"/>
      <c r="B70" s="5"/>
      <c r="C70" s="7"/>
      <c r="D70" s="6"/>
      <c r="E70" s="6"/>
    </row>
    <row r="71" spans="1:5" x14ac:dyDescent="0.25">
      <c r="A71" s="19"/>
      <c r="B71" s="6"/>
      <c r="C71" s="6"/>
      <c r="D71" s="6"/>
      <c r="E71" s="6"/>
    </row>
    <row r="72" spans="1:5" x14ac:dyDescent="0.25">
      <c r="A72" s="2" t="s">
        <v>2</v>
      </c>
      <c r="B72" s="5">
        <f>SUM(B64:B71)</f>
        <v>1.41</v>
      </c>
      <c r="C72" s="6"/>
      <c r="D72" s="14">
        <f>SUM(D64:D71)</f>
        <v>2.0034099999999999E-2</v>
      </c>
      <c r="E72" s="5">
        <f>SUM(E64:E71)</f>
        <v>0</v>
      </c>
    </row>
    <row r="75" spans="1:5" x14ac:dyDescent="0.25">
      <c r="A75" s="15" t="s">
        <v>19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7">
        <f t="shared" ref="A76" si="12">A40</f>
        <v>46056</v>
      </c>
      <c r="B76" s="5">
        <v>1.63</v>
      </c>
      <c r="C76" s="7">
        <f t="shared" ref="C76" si="13">B76/D76</f>
        <v>109.76977977353754</v>
      </c>
      <c r="D76" s="14">
        <v>1.484926E-2</v>
      </c>
      <c r="E76" s="5"/>
    </row>
    <row r="77" spans="1:5" x14ac:dyDescent="0.25">
      <c r="A77" s="17"/>
      <c r="B77" s="5"/>
      <c r="C77" s="7"/>
      <c r="D77" s="14"/>
      <c r="E77" s="6"/>
    </row>
    <row r="78" spans="1:5" x14ac:dyDescent="0.25">
      <c r="A78" s="17"/>
      <c r="B78" s="5"/>
      <c r="C78" s="7"/>
      <c r="D78" s="14"/>
      <c r="E78" s="6"/>
    </row>
    <row r="79" spans="1:5" x14ac:dyDescent="0.25">
      <c r="A79" s="17"/>
      <c r="B79" s="5"/>
      <c r="C79" s="7"/>
      <c r="D79" s="14"/>
      <c r="E79" s="6"/>
    </row>
    <row r="80" spans="1:5" x14ac:dyDescent="0.25">
      <c r="A80" s="17"/>
      <c r="B80" s="5"/>
      <c r="C80" s="7"/>
      <c r="D80" s="14"/>
      <c r="E80" s="6"/>
    </row>
    <row r="81" spans="1:5" x14ac:dyDescent="0.25">
      <c r="A81" s="17"/>
      <c r="B81" s="5"/>
      <c r="C81" s="7"/>
      <c r="D81" s="6"/>
      <c r="E81" s="6"/>
    </row>
    <row r="82" spans="1:5" x14ac:dyDescent="0.25">
      <c r="A82" s="17"/>
      <c r="B82" s="5"/>
      <c r="C82" s="7"/>
      <c r="D82" s="6"/>
      <c r="E82" s="6"/>
    </row>
    <row r="83" spans="1:5" x14ac:dyDescent="0.25">
      <c r="A83" s="19"/>
      <c r="B83" s="6"/>
      <c r="C83" s="6"/>
      <c r="D83" s="6"/>
      <c r="E83" s="6"/>
    </row>
    <row r="84" spans="1:5" x14ac:dyDescent="0.25">
      <c r="A84" s="2" t="s">
        <v>2</v>
      </c>
      <c r="B84" s="5">
        <f>SUM(B76:B83)</f>
        <v>1.63</v>
      </c>
      <c r="C84" s="6"/>
      <c r="D84" s="14">
        <f>SUM(D76:D83)</f>
        <v>1.484926E-2</v>
      </c>
      <c r="E84" s="5">
        <f>SUM(E76:E83)</f>
        <v>0</v>
      </c>
    </row>
    <row r="87" spans="1:5" x14ac:dyDescent="0.25">
      <c r="A87" s="15" t="s">
        <v>20</v>
      </c>
      <c r="B87" s="3" t="s">
        <v>3</v>
      </c>
      <c r="C87" s="3" t="s">
        <v>0</v>
      </c>
      <c r="D87" s="3" t="s">
        <v>1</v>
      </c>
      <c r="E87" s="3" t="s">
        <v>25</v>
      </c>
    </row>
    <row r="88" spans="1:5" x14ac:dyDescent="0.25">
      <c r="A88" s="17">
        <f t="shared" ref="A88" si="14">A52</f>
        <v>46056</v>
      </c>
      <c r="B88" s="5">
        <v>2.52</v>
      </c>
      <c r="C88" s="7">
        <f t="shared" ref="C88" si="15">B88/D88</f>
        <v>101.6600029610493</v>
      </c>
      <c r="D88" s="14">
        <v>2.478851E-2</v>
      </c>
      <c r="E88" s="6"/>
    </row>
    <row r="89" spans="1:5" x14ac:dyDescent="0.25">
      <c r="A89" s="17"/>
      <c r="B89" s="5"/>
      <c r="C89" s="7"/>
      <c r="D89" s="14"/>
      <c r="E89" s="6"/>
    </row>
    <row r="90" spans="1:5" x14ac:dyDescent="0.25">
      <c r="A90" s="17"/>
      <c r="B90" s="5"/>
      <c r="C90" s="7"/>
      <c r="D90" s="14"/>
      <c r="E90" s="6"/>
    </row>
    <row r="91" spans="1:5" x14ac:dyDescent="0.25">
      <c r="A91" s="17"/>
      <c r="B91" s="5"/>
      <c r="C91" s="7"/>
      <c r="D91" s="14"/>
      <c r="E91" s="6"/>
    </row>
    <row r="92" spans="1:5" x14ac:dyDescent="0.25">
      <c r="A92" s="17"/>
      <c r="B92" s="5"/>
      <c r="C92" s="7"/>
      <c r="D92" s="14"/>
      <c r="E92" s="6"/>
    </row>
    <row r="93" spans="1:5" x14ac:dyDescent="0.25">
      <c r="A93" s="17"/>
      <c r="B93" s="5"/>
      <c r="C93" s="6"/>
      <c r="D93" s="14"/>
      <c r="E93" s="6"/>
    </row>
    <row r="94" spans="1:5" x14ac:dyDescent="0.25">
      <c r="A94" s="17"/>
      <c r="B94" s="5"/>
      <c r="C94" s="7"/>
      <c r="D94" s="14"/>
      <c r="E94" s="6"/>
    </row>
    <row r="95" spans="1:5" x14ac:dyDescent="0.25">
      <c r="A95" s="19"/>
      <c r="B95" s="6"/>
      <c r="C95" s="6"/>
      <c r="D95" s="6"/>
      <c r="E95" s="6"/>
    </row>
    <row r="96" spans="1:5" x14ac:dyDescent="0.25">
      <c r="A96" s="2" t="s">
        <v>2</v>
      </c>
      <c r="B96" s="5">
        <f>SUM(B88:B95)</f>
        <v>2.52</v>
      </c>
      <c r="C96" s="6"/>
      <c r="D96" s="14">
        <f>SUM(D88:D95)</f>
        <v>2.478851E-2</v>
      </c>
      <c r="E96" s="6">
        <f>SUM(E88:E95)</f>
        <v>0</v>
      </c>
    </row>
    <row r="99" spans="1:5" x14ac:dyDescent="0.25">
      <c r="A99" s="15" t="s">
        <v>21</v>
      </c>
      <c r="B99" s="3" t="s">
        <v>3</v>
      </c>
      <c r="C99" s="3" t="s">
        <v>0</v>
      </c>
      <c r="D99" s="3" t="s">
        <v>1</v>
      </c>
      <c r="E99" s="3" t="s">
        <v>25</v>
      </c>
    </row>
    <row r="100" spans="1:5" x14ac:dyDescent="0.25">
      <c r="A100" s="17">
        <f t="shared" ref="A100" si="16">A64</f>
        <v>46056</v>
      </c>
      <c r="B100" s="5">
        <v>0</v>
      </c>
      <c r="C100" s="7" t="e">
        <f t="shared" ref="C100" si="17">B100/D100</f>
        <v>#DIV/0!</v>
      </c>
      <c r="D100" s="14">
        <v>0</v>
      </c>
      <c r="E100" s="6"/>
    </row>
    <row r="101" spans="1:5" x14ac:dyDescent="0.25">
      <c r="A101" s="17"/>
      <c r="B101" s="5"/>
      <c r="C101" s="7"/>
      <c r="D101" s="14"/>
      <c r="E101" s="6"/>
    </row>
    <row r="102" spans="1:5" x14ac:dyDescent="0.25">
      <c r="A102" s="17"/>
      <c r="B102" s="5"/>
      <c r="C102" s="7"/>
      <c r="D102" s="14"/>
      <c r="E102" s="6"/>
    </row>
    <row r="103" spans="1:5" x14ac:dyDescent="0.25">
      <c r="A103" s="17"/>
      <c r="B103" s="5"/>
      <c r="C103" s="7"/>
      <c r="D103" s="14"/>
      <c r="E103" s="6"/>
    </row>
    <row r="104" spans="1:5" x14ac:dyDescent="0.25">
      <c r="A104" s="17"/>
      <c r="B104" s="5"/>
      <c r="C104" s="7"/>
      <c r="D104" s="14"/>
      <c r="E104" s="6"/>
    </row>
    <row r="105" spans="1:5" x14ac:dyDescent="0.25">
      <c r="A105" s="17"/>
      <c r="B105" s="5"/>
      <c r="C105" s="7"/>
      <c r="D105" s="6"/>
      <c r="E105" s="6"/>
    </row>
    <row r="106" spans="1:5" x14ac:dyDescent="0.25">
      <c r="A106" s="17"/>
      <c r="B106" s="5"/>
      <c r="C106" s="7"/>
      <c r="D106" s="14"/>
      <c r="E106" s="6"/>
    </row>
    <row r="107" spans="1:5" x14ac:dyDescent="0.25">
      <c r="A107" s="19"/>
      <c r="B107" s="6"/>
      <c r="C107" s="6"/>
      <c r="D107" s="6"/>
      <c r="E107" s="6"/>
    </row>
    <row r="108" spans="1:5" x14ac:dyDescent="0.25">
      <c r="A108" s="2" t="s">
        <v>2</v>
      </c>
      <c r="B108" s="5">
        <f>SUM(B100:B107)</f>
        <v>0</v>
      </c>
      <c r="C108" s="6"/>
      <c r="D108" s="14">
        <f>SUM(D100:D107)</f>
        <v>0</v>
      </c>
      <c r="E108" s="5">
        <f>SUM(E100:E107)</f>
        <v>0</v>
      </c>
    </row>
  </sheetData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8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21" t="s">
        <v>94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8">
        <v>46024</v>
      </c>
      <c r="B4" s="5">
        <v>15</v>
      </c>
      <c r="C4" s="5">
        <f t="shared" ref="C4" si="0">B16+B28+B40+B52+B64+B76+B88+B100</f>
        <v>13.610000000000001</v>
      </c>
      <c r="D4" s="5">
        <f t="shared" ref="D4" si="1">B4-C4</f>
        <v>1.3899999999999988</v>
      </c>
      <c r="E4" s="6"/>
      <c r="F4" s="5"/>
    </row>
    <row r="5" spans="1:6" x14ac:dyDescent="0.25">
      <c r="A5" s="10"/>
      <c r="B5" s="5"/>
      <c r="C5" s="5"/>
      <c r="D5" s="5"/>
      <c r="E5" s="6"/>
      <c r="F5" s="6"/>
    </row>
    <row r="6" spans="1:6" x14ac:dyDescent="0.25">
      <c r="A6" s="10"/>
      <c r="B6" s="5"/>
      <c r="C6" s="5"/>
      <c r="D6" s="5"/>
      <c r="E6" s="6"/>
      <c r="F6" s="2"/>
    </row>
    <row r="7" spans="1:6" x14ac:dyDescent="0.25">
      <c r="A7" s="10"/>
      <c r="B7" s="5"/>
      <c r="C7" s="5"/>
      <c r="D7" s="5"/>
      <c r="E7" s="6"/>
      <c r="F7" s="2"/>
    </row>
    <row r="8" spans="1:6" x14ac:dyDescent="0.25">
      <c r="A8" s="10"/>
      <c r="B8" s="5"/>
      <c r="C8" s="5"/>
      <c r="D8" s="5"/>
      <c r="E8" s="6"/>
      <c r="F8" s="2"/>
    </row>
    <row r="9" spans="1:6" x14ac:dyDescent="0.25">
      <c r="A9" s="10"/>
      <c r="B9" s="5"/>
      <c r="C9" s="5"/>
      <c r="D9" s="5"/>
      <c r="E9" s="6"/>
      <c r="F9" s="2"/>
    </row>
    <row r="10" spans="1:6" x14ac:dyDescent="0.25">
      <c r="A10" s="10"/>
      <c r="B10" s="5"/>
      <c r="C10" s="5"/>
      <c r="D10" s="5"/>
      <c r="E10" s="6"/>
      <c r="F10" s="2"/>
    </row>
    <row r="11" spans="1:6" x14ac:dyDescent="0.25">
      <c r="A11" s="2"/>
      <c r="B11" s="5"/>
      <c r="C11" s="2"/>
      <c r="D11" s="2"/>
      <c r="E11" s="6"/>
      <c r="F11" s="2"/>
    </row>
    <row r="12" spans="1:6" x14ac:dyDescent="0.25">
      <c r="A12" s="2" t="s">
        <v>2</v>
      </c>
      <c r="B12" s="5">
        <f>SUM(B4:B11)</f>
        <v>15</v>
      </c>
      <c r="C12" s="5">
        <f t="shared" ref="C12:D12" si="2">SUM(C4:C11)</f>
        <v>13.610000000000001</v>
      </c>
      <c r="D12" s="5">
        <f t="shared" si="2"/>
        <v>1.3899999999999988</v>
      </c>
      <c r="E12" s="5">
        <f>E24+E36+E48+E60+E72+E84+E96+E108</f>
        <v>0</v>
      </c>
      <c r="F12" s="5">
        <v>0.2</v>
      </c>
    </row>
    <row r="15" spans="1:6" x14ac:dyDescent="0.25">
      <c r="A15" s="11" t="s">
        <v>14</v>
      </c>
      <c r="B15" s="3" t="s">
        <v>3</v>
      </c>
      <c r="C15" s="3" t="s">
        <v>0</v>
      </c>
      <c r="D15" s="3" t="s">
        <v>1</v>
      </c>
      <c r="E15" s="3" t="s">
        <v>25</v>
      </c>
    </row>
    <row r="16" spans="1:6" x14ac:dyDescent="0.25">
      <c r="A16" s="17">
        <f t="shared" ref="A16" si="3">A4</f>
        <v>46024</v>
      </c>
      <c r="B16" s="5">
        <v>1.33</v>
      </c>
      <c r="C16" s="7">
        <f>B16/D16</f>
        <v>101.29999116481281</v>
      </c>
      <c r="D16" s="14">
        <v>1.312932E-2</v>
      </c>
      <c r="E16" s="6"/>
    </row>
    <row r="17" spans="1:5" x14ac:dyDescent="0.25">
      <c r="A17" s="17"/>
      <c r="B17" s="5"/>
      <c r="C17" s="7"/>
      <c r="D17" s="14"/>
      <c r="E17" s="6"/>
    </row>
    <row r="18" spans="1:5" ht="15" customHeight="1" x14ac:dyDescent="0.25">
      <c r="A18" s="17"/>
      <c r="B18" s="5"/>
      <c r="C18" s="7"/>
      <c r="D18" s="14"/>
      <c r="E18" s="6"/>
    </row>
    <row r="19" spans="1:5" ht="15" customHeight="1" x14ac:dyDescent="0.25">
      <c r="A19" s="17"/>
      <c r="B19" s="5"/>
      <c r="C19" s="7"/>
      <c r="D19" s="6"/>
      <c r="E19" s="6"/>
    </row>
    <row r="20" spans="1:5" ht="15" customHeight="1" x14ac:dyDescent="0.25">
      <c r="A20" s="17"/>
      <c r="B20" s="5"/>
      <c r="C20" s="7"/>
      <c r="D20" s="6"/>
      <c r="E20" s="6"/>
    </row>
    <row r="21" spans="1:5" ht="15" customHeight="1" x14ac:dyDescent="0.25">
      <c r="A21" s="17"/>
      <c r="B21" s="5"/>
      <c r="C21" s="6"/>
      <c r="D21" s="14"/>
      <c r="E21" s="6"/>
    </row>
    <row r="22" spans="1:5" ht="15" customHeight="1" x14ac:dyDescent="0.25">
      <c r="A22" s="17"/>
      <c r="B22" s="5"/>
      <c r="C22" s="6"/>
      <c r="D22" s="14"/>
      <c r="E22" s="6"/>
    </row>
    <row r="23" spans="1:5" x14ac:dyDescent="0.25">
      <c r="A23" s="19"/>
      <c r="B23" s="6"/>
      <c r="C23" s="6"/>
      <c r="D23" s="6"/>
      <c r="E23" s="6"/>
    </row>
    <row r="24" spans="1:5" x14ac:dyDescent="0.25">
      <c r="A24" s="2" t="s">
        <v>2</v>
      </c>
      <c r="B24" s="5">
        <f>SUM(B16:B23)</f>
        <v>1.33</v>
      </c>
      <c r="C24" s="6"/>
      <c r="D24" s="14">
        <f>SUM(D16:D23)</f>
        <v>1.312932E-2</v>
      </c>
      <c r="E24" s="5">
        <f>SUM(E16:E23)</f>
        <v>0</v>
      </c>
    </row>
    <row r="25" spans="1:5" x14ac:dyDescent="0.25">
      <c r="B25" s="9"/>
      <c r="C25" s="1"/>
      <c r="D25" s="12"/>
    </row>
    <row r="26" spans="1:5" x14ac:dyDescent="0.25">
      <c r="B26" s="1"/>
      <c r="C26" s="1"/>
      <c r="D26" s="1"/>
    </row>
    <row r="27" spans="1:5" x14ac:dyDescent="0.25">
      <c r="A27" s="11" t="s">
        <v>15</v>
      </c>
      <c r="B27" s="3" t="s">
        <v>3</v>
      </c>
      <c r="C27" s="3" t="s">
        <v>0</v>
      </c>
      <c r="D27" s="3" t="s">
        <v>1</v>
      </c>
      <c r="E27" s="3" t="s">
        <v>25</v>
      </c>
    </row>
    <row r="28" spans="1:5" x14ac:dyDescent="0.25">
      <c r="A28" s="17">
        <f t="shared" ref="A28" si="4">A4</f>
        <v>46024</v>
      </c>
      <c r="B28" s="5">
        <v>4.3899999999999997</v>
      </c>
      <c r="C28" s="7">
        <f t="shared" ref="C28" si="5">B28/D28</f>
        <v>74.940994636000141</v>
      </c>
      <c r="D28" s="14">
        <v>5.857942E-2</v>
      </c>
      <c r="E28" s="5"/>
    </row>
    <row r="29" spans="1:5" x14ac:dyDescent="0.25">
      <c r="A29" s="17"/>
      <c r="B29" s="5"/>
      <c r="C29" s="7"/>
      <c r="D29" s="14"/>
      <c r="E29" s="6"/>
    </row>
    <row r="30" spans="1:5" x14ac:dyDescent="0.25">
      <c r="A30" s="17"/>
      <c r="B30" s="5"/>
      <c r="C30" s="7"/>
      <c r="D30" s="14"/>
      <c r="E30" s="6"/>
    </row>
    <row r="31" spans="1:5" x14ac:dyDescent="0.25">
      <c r="A31" s="17"/>
      <c r="B31" s="5"/>
      <c r="C31" s="7"/>
      <c r="D31" s="14"/>
      <c r="E31" s="6"/>
    </row>
    <row r="32" spans="1:5" x14ac:dyDescent="0.25">
      <c r="A32" s="17"/>
      <c r="B32" s="5"/>
      <c r="C32" s="7"/>
      <c r="D32" s="14"/>
      <c r="E32" s="6"/>
    </row>
    <row r="33" spans="1:5" x14ac:dyDescent="0.25">
      <c r="A33" s="17"/>
      <c r="B33" s="5"/>
      <c r="C33" s="7"/>
      <c r="D33" s="6"/>
      <c r="E33" s="6"/>
    </row>
    <row r="34" spans="1:5" x14ac:dyDescent="0.25">
      <c r="A34" s="17"/>
      <c r="B34" s="5"/>
      <c r="C34" s="7"/>
      <c r="D34" s="6"/>
      <c r="E34" s="6"/>
    </row>
    <row r="35" spans="1:5" x14ac:dyDescent="0.25">
      <c r="A35" s="19"/>
      <c r="B35" s="6"/>
      <c r="C35" s="6"/>
      <c r="D35" s="6"/>
      <c r="E35" s="6"/>
    </row>
    <row r="36" spans="1:5" x14ac:dyDescent="0.25">
      <c r="A36" s="2" t="s">
        <v>2</v>
      </c>
      <c r="B36" s="5">
        <f>SUM(B28:B35)</f>
        <v>4.3899999999999997</v>
      </c>
      <c r="C36" s="6"/>
      <c r="D36" s="14">
        <f>SUM(D28:D35)</f>
        <v>5.857942E-2</v>
      </c>
      <c r="E36" s="5">
        <f>SUM(E28:E35)</f>
        <v>0</v>
      </c>
    </row>
    <row r="39" spans="1:5" x14ac:dyDescent="0.25">
      <c r="A39" s="11" t="s">
        <v>16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7">
        <f t="shared" ref="A40" si="6">A4</f>
        <v>46024</v>
      </c>
      <c r="B40" s="5">
        <v>0</v>
      </c>
      <c r="C40" s="7" t="e">
        <f t="shared" ref="C40" si="7">B40/D40</f>
        <v>#DIV/0!</v>
      </c>
      <c r="D40" s="14">
        <v>0</v>
      </c>
      <c r="E40" s="6"/>
    </row>
    <row r="41" spans="1:5" x14ac:dyDescent="0.25">
      <c r="A41" s="17"/>
      <c r="B41" s="5"/>
      <c r="C41" s="7"/>
      <c r="D41" s="14"/>
      <c r="E41" s="6"/>
    </row>
    <row r="42" spans="1:5" x14ac:dyDescent="0.25">
      <c r="A42" s="17"/>
      <c r="B42" s="5"/>
      <c r="C42" s="7"/>
      <c r="D42" s="14"/>
      <c r="E42" s="6"/>
    </row>
    <row r="43" spans="1:5" x14ac:dyDescent="0.25">
      <c r="A43" s="17"/>
      <c r="B43" s="5"/>
      <c r="C43" s="7"/>
      <c r="D43" s="14"/>
      <c r="E43" s="6"/>
    </row>
    <row r="44" spans="1:5" x14ac:dyDescent="0.25">
      <c r="A44" s="17"/>
      <c r="B44" s="5"/>
      <c r="C44" s="7"/>
      <c r="D44" s="14"/>
      <c r="E44" s="6"/>
    </row>
    <row r="45" spans="1:5" x14ac:dyDescent="0.25">
      <c r="A45" s="17"/>
      <c r="B45" s="5"/>
      <c r="C45" s="7"/>
      <c r="D45" s="6"/>
      <c r="E45" s="6"/>
    </row>
    <row r="46" spans="1:5" x14ac:dyDescent="0.25">
      <c r="A46" s="17"/>
      <c r="B46" s="5"/>
      <c r="C46" s="7"/>
      <c r="D46" s="6"/>
      <c r="E46" s="6"/>
    </row>
    <row r="47" spans="1:5" x14ac:dyDescent="0.25">
      <c r="A47" s="19"/>
      <c r="B47" s="6"/>
      <c r="C47" s="6"/>
      <c r="D47" s="6"/>
      <c r="E47" s="6"/>
    </row>
    <row r="48" spans="1:5" x14ac:dyDescent="0.25">
      <c r="A48" s="2" t="s">
        <v>2</v>
      </c>
      <c r="B48" s="5">
        <f>SUM(B40:B47)</f>
        <v>0</v>
      </c>
      <c r="C48" s="6"/>
      <c r="D48" s="14">
        <f>SUM(D40:D47)</f>
        <v>0</v>
      </c>
      <c r="E48" s="6">
        <f>SUM(E40:E47)</f>
        <v>0</v>
      </c>
    </row>
    <row r="51" spans="1:5" x14ac:dyDescent="0.25">
      <c r="A51" s="11" t="s">
        <v>17</v>
      </c>
      <c r="B51" s="3" t="s">
        <v>3</v>
      </c>
      <c r="C51" s="3" t="s">
        <v>0</v>
      </c>
      <c r="D51" s="3" t="s">
        <v>1</v>
      </c>
      <c r="E51" s="3" t="s">
        <v>25</v>
      </c>
    </row>
    <row r="52" spans="1:5" x14ac:dyDescent="0.25">
      <c r="A52" s="17">
        <f t="shared" ref="A52" si="8">A16</f>
        <v>46024</v>
      </c>
      <c r="B52" s="5">
        <v>2.83</v>
      </c>
      <c r="C52" s="7">
        <f t="shared" ref="C52" si="9">B52/D52</f>
        <v>87.671905088811954</v>
      </c>
      <c r="D52" s="14">
        <v>3.227944E-2</v>
      </c>
      <c r="E52" s="6"/>
    </row>
    <row r="53" spans="1:5" x14ac:dyDescent="0.25">
      <c r="A53" s="17"/>
      <c r="B53" s="5"/>
      <c r="C53" s="7"/>
      <c r="D53" s="14"/>
      <c r="E53" s="5"/>
    </row>
    <row r="54" spans="1:5" x14ac:dyDescent="0.25">
      <c r="A54" s="17"/>
      <c r="B54" s="5"/>
      <c r="C54" s="7"/>
      <c r="D54" s="14"/>
      <c r="E54" s="5"/>
    </row>
    <row r="55" spans="1:5" x14ac:dyDescent="0.25">
      <c r="A55" s="17"/>
      <c r="B55" s="5"/>
      <c r="C55" s="7"/>
      <c r="D55" s="14"/>
      <c r="E55" s="5"/>
    </row>
    <row r="56" spans="1:5" x14ac:dyDescent="0.25">
      <c r="A56" s="17"/>
      <c r="B56" s="5"/>
      <c r="C56" s="7"/>
      <c r="D56" s="14"/>
      <c r="E56" s="6"/>
    </row>
    <row r="57" spans="1:5" x14ac:dyDescent="0.25">
      <c r="A57" s="17"/>
      <c r="B57" s="5"/>
      <c r="C57" s="7"/>
      <c r="D57" s="14"/>
      <c r="E57" s="6"/>
    </row>
    <row r="58" spans="1:5" x14ac:dyDescent="0.25">
      <c r="A58" s="17"/>
      <c r="B58" s="5"/>
      <c r="C58" s="7"/>
      <c r="D58" s="14"/>
      <c r="E58" s="6"/>
    </row>
    <row r="59" spans="1:5" x14ac:dyDescent="0.25">
      <c r="A59" s="19"/>
      <c r="B59" s="6"/>
      <c r="C59" s="6"/>
      <c r="D59" s="6"/>
      <c r="E59" s="6"/>
    </row>
    <row r="60" spans="1:5" x14ac:dyDescent="0.25">
      <c r="A60" s="2" t="s">
        <v>2</v>
      </c>
      <c r="B60" s="5">
        <f>SUM(B52:B59)</f>
        <v>2.83</v>
      </c>
      <c r="C60" s="6"/>
      <c r="D60" s="14">
        <f>SUM(D52:D59)</f>
        <v>3.227944E-2</v>
      </c>
      <c r="E60" s="5">
        <f>SUM(E52:E59)</f>
        <v>0</v>
      </c>
    </row>
    <row r="63" spans="1:5" x14ac:dyDescent="0.25">
      <c r="A63" s="11" t="s">
        <v>18</v>
      </c>
      <c r="B63" s="3" t="s">
        <v>3</v>
      </c>
      <c r="C63" s="3" t="s">
        <v>0</v>
      </c>
      <c r="D63" s="3" t="s">
        <v>1</v>
      </c>
      <c r="E63" s="3" t="s">
        <v>25</v>
      </c>
    </row>
    <row r="64" spans="1:5" x14ac:dyDescent="0.25">
      <c r="A64" s="17">
        <f t="shared" ref="A64" si="10">A28</f>
        <v>46024</v>
      </c>
      <c r="B64" s="5">
        <v>2.46</v>
      </c>
      <c r="C64" s="7">
        <f t="shared" ref="C64" si="11">B64/D64</f>
        <v>68.319991957126149</v>
      </c>
      <c r="D64" s="14">
        <v>3.6007030000000002E-2</v>
      </c>
      <c r="E64" s="6"/>
    </row>
    <row r="65" spans="1:5" x14ac:dyDescent="0.25">
      <c r="A65" s="17"/>
      <c r="B65" s="5"/>
      <c r="C65" s="7"/>
      <c r="D65" s="14"/>
      <c r="E65" s="6"/>
    </row>
    <row r="66" spans="1:5" x14ac:dyDescent="0.25">
      <c r="A66" s="17"/>
      <c r="B66" s="5"/>
      <c r="C66" s="7"/>
      <c r="D66" s="14"/>
      <c r="E66" s="6"/>
    </row>
    <row r="67" spans="1:5" x14ac:dyDescent="0.25">
      <c r="A67" s="17"/>
      <c r="B67" s="5"/>
      <c r="C67" s="7"/>
      <c r="D67" s="14"/>
      <c r="E67" s="6"/>
    </row>
    <row r="68" spans="1:5" x14ac:dyDescent="0.25">
      <c r="A68" s="17"/>
      <c r="B68" s="5"/>
      <c r="C68" s="7"/>
      <c r="D68" s="14"/>
      <c r="E68" s="6"/>
    </row>
    <row r="69" spans="1:5" x14ac:dyDescent="0.25">
      <c r="A69" s="17"/>
      <c r="B69" s="5"/>
      <c r="C69" s="7"/>
      <c r="D69" s="6"/>
      <c r="E69" s="6"/>
    </row>
    <row r="70" spans="1:5" x14ac:dyDescent="0.25">
      <c r="A70" s="17"/>
      <c r="B70" s="5"/>
      <c r="C70" s="7"/>
      <c r="D70" s="6"/>
      <c r="E70" s="6"/>
    </row>
    <row r="71" spans="1:5" x14ac:dyDescent="0.25">
      <c r="A71" s="19"/>
      <c r="B71" s="6"/>
      <c r="C71" s="6"/>
      <c r="D71" s="6"/>
      <c r="E71" s="6"/>
    </row>
    <row r="72" spans="1:5" x14ac:dyDescent="0.25">
      <c r="A72" s="2" t="s">
        <v>2</v>
      </c>
      <c r="B72" s="5">
        <f>SUM(B64:B71)</f>
        <v>2.46</v>
      </c>
      <c r="C72" s="6"/>
      <c r="D72" s="14">
        <f>SUM(D64:D71)</f>
        <v>3.6007030000000002E-2</v>
      </c>
      <c r="E72" s="5">
        <f>SUM(E64:E71)</f>
        <v>0</v>
      </c>
    </row>
    <row r="75" spans="1:5" x14ac:dyDescent="0.25">
      <c r="A75" s="15" t="s">
        <v>19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7">
        <f t="shared" ref="A76" si="12">A40</f>
        <v>46024</v>
      </c>
      <c r="B76" s="5">
        <v>0</v>
      </c>
      <c r="C76" s="7" t="e">
        <f t="shared" ref="C76" si="13">B76/D76</f>
        <v>#DIV/0!</v>
      </c>
      <c r="D76" s="14">
        <v>0</v>
      </c>
      <c r="E76" s="5"/>
    </row>
    <row r="77" spans="1:5" x14ac:dyDescent="0.25">
      <c r="A77" s="17"/>
      <c r="B77" s="5"/>
      <c r="C77" s="7"/>
      <c r="D77" s="14"/>
      <c r="E77" s="6"/>
    </row>
    <row r="78" spans="1:5" x14ac:dyDescent="0.25">
      <c r="A78" s="17"/>
      <c r="B78" s="5"/>
      <c r="C78" s="7"/>
      <c r="D78" s="14"/>
      <c r="E78" s="6"/>
    </row>
    <row r="79" spans="1:5" x14ac:dyDescent="0.25">
      <c r="A79" s="17"/>
      <c r="B79" s="5"/>
      <c r="C79" s="7"/>
      <c r="D79" s="14"/>
      <c r="E79" s="6"/>
    </row>
    <row r="80" spans="1:5" x14ac:dyDescent="0.25">
      <c r="A80" s="17"/>
      <c r="B80" s="5"/>
      <c r="C80" s="7"/>
      <c r="D80" s="14"/>
      <c r="E80" s="6"/>
    </row>
    <row r="81" spans="1:5" x14ac:dyDescent="0.25">
      <c r="A81" s="17"/>
      <c r="B81" s="5"/>
      <c r="C81" s="7"/>
      <c r="D81" s="6"/>
      <c r="E81" s="6"/>
    </row>
    <row r="82" spans="1:5" x14ac:dyDescent="0.25">
      <c r="A82" s="17"/>
      <c r="B82" s="5"/>
      <c r="C82" s="7"/>
      <c r="D82" s="6"/>
      <c r="E82" s="6"/>
    </row>
    <row r="83" spans="1:5" x14ac:dyDescent="0.25">
      <c r="A83" s="19"/>
      <c r="B83" s="6"/>
      <c r="C83" s="6"/>
      <c r="D83" s="6"/>
      <c r="E83" s="6"/>
    </row>
    <row r="84" spans="1:5" x14ac:dyDescent="0.25">
      <c r="A84" s="2" t="s">
        <v>2</v>
      </c>
      <c r="B84" s="5">
        <f>SUM(B76:B83)</f>
        <v>0</v>
      </c>
      <c r="C84" s="6"/>
      <c r="D84" s="14">
        <f>SUM(D76:D83)</f>
        <v>0</v>
      </c>
      <c r="E84" s="5">
        <f>SUM(E76:E83)</f>
        <v>0</v>
      </c>
    </row>
    <row r="87" spans="1:5" x14ac:dyDescent="0.25">
      <c r="A87" s="15" t="s">
        <v>20</v>
      </c>
      <c r="B87" s="3" t="s">
        <v>3</v>
      </c>
      <c r="C87" s="3" t="s">
        <v>0</v>
      </c>
      <c r="D87" s="3" t="s">
        <v>1</v>
      </c>
      <c r="E87" s="3" t="s">
        <v>25</v>
      </c>
    </row>
    <row r="88" spans="1:5" x14ac:dyDescent="0.25">
      <c r="A88" s="17">
        <f t="shared" ref="A88" si="14">A52</f>
        <v>46024</v>
      </c>
      <c r="B88" s="5">
        <v>2.04</v>
      </c>
      <c r="C88" s="7">
        <f t="shared" ref="C88" si="15">B88/D88</f>
        <v>100.44001589315546</v>
      </c>
      <c r="D88" s="14">
        <v>2.031063E-2</v>
      </c>
      <c r="E88" s="6"/>
    </row>
    <row r="89" spans="1:5" x14ac:dyDescent="0.25">
      <c r="A89" s="17"/>
      <c r="B89" s="5"/>
      <c r="C89" s="7"/>
      <c r="D89" s="14"/>
      <c r="E89" s="6"/>
    </row>
    <row r="90" spans="1:5" x14ac:dyDescent="0.25">
      <c r="A90" s="17"/>
      <c r="B90" s="5"/>
      <c r="C90" s="7"/>
      <c r="D90" s="14"/>
      <c r="E90" s="6"/>
    </row>
    <row r="91" spans="1:5" x14ac:dyDescent="0.25">
      <c r="A91" s="17"/>
      <c r="B91" s="5"/>
      <c r="C91" s="7"/>
      <c r="D91" s="14"/>
      <c r="E91" s="6"/>
    </row>
    <row r="92" spans="1:5" x14ac:dyDescent="0.25">
      <c r="A92" s="17"/>
      <c r="B92" s="5"/>
      <c r="C92" s="7"/>
      <c r="D92" s="14"/>
      <c r="E92" s="6"/>
    </row>
    <row r="93" spans="1:5" x14ac:dyDescent="0.25">
      <c r="A93" s="17"/>
      <c r="B93" s="5"/>
      <c r="C93" s="6"/>
      <c r="D93" s="14"/>
      <c r="E93" s="6"/>
    </row>
    <row r="94" spans="1:5" x14ac:dyDescent="0.25">
      <c r="A94" s="17"/>
      <c r="B94" s="5"/>
      <c r="C94" s="7"/>
      <c r="D94" s="14"/>
      <c r="E94" s="6"/>
    </row>
    <row r="95" spans="1:5" x14ac:dyDescent="0.25">
      <c r="A95" s="19"/>
      <c r="B95" s="6"/>
      <c r="C95" s="6"/>
      <c r="D95" s="6"/>
      <c r="E95" s="6"/>
    </row>
    <row r="96" spans="1:5" x14ac:dyDescent="0.25">
      <c r="A96" s="2" t="s">
        <v>2</v>
      </c>
      <c r="B96" s="5">
        <f>SUM(B88:B95)</f>
        <v>2.04</v>
      </c>
      <c r="C96" s="6"/>
      <c r="D96" s="14">
        <f>SUM(D88:D95)</f>
        <v>2.031063E-2</v>
      </c>
      <c r="E96" s="6">
        <f>SUM(E88:E95)</f>
        <v>0</v>
      </c>
    </row>
    <row r="99" spans="1:5" x14ac:dyDescent="0.25">
      <c r="A99" s="15" t="s">
        <v>21</v>
      </c>
      <c r="B99" s="3" t="s">
        <v>3</v>
      </c>
      <c r="C99" s="3" t="s">
        <v>0</v>
      </c>
      <c r="D99" s="3" t="s">
        <v>1</v>
      </c>
      <c r="E99" s="3" t="s">
        <v>25</v>
      </c>
    </row>
    <row r="100" spans="1:5" x14ac:dyDescent="0.25">
      <c r="A100" s="17">
        <f t="shared" ref="A100" si="16">A64</f>
        <v>46024</v>
      </c>
      <c r="B100" s="5">
        <v>0.56000000000000005</v>
      </c>
      <c r="C100" s="7">
        <f t="shared" ref="C100" si="17">B100/D100</f>
        <v>86.499845535990133</v>
      </c>
      <c r="D100" s="14">
        <v>6.4739999999999997E-3</v>
      </c>
      <c r="E100" s="6"/>
    </row>
    <row r="101" spans="1:5" x14ac:dyDescent="0.25">
      <c r="A101" s="17"/>
      <c r="B101" s="5"/>
      <c r="C101" s="7"/>
      <c r="D101" s="14"/>
      <c r="E101" s="6"/>
    </row>
    <row r="102" spans="1:5" x14ac:dyDescent="0.25">
      <c r="A102" s="17"/>
      <c r="B102" s="5"/>
      <c r="C102" s="7"/>
      <c r="D102" s="14"/>
      <c r="E102" s="6"/>
    </row>
    <row r="103" spans="1:5" x14ac:dyDescent="0.25">
      <c r="A103" s="17"/>
      <c r="B103" s="5"/>
      <c r="C103" s="7"/>
      <c r="D103" s="14"/>
      <c r="E103" s="6"/>
    </row>
    <row r="104" spans="1:5" x14ac:dyDescent="0.25">
      <c r="A104" s="17"/>
      <c r="B104" s="5"/>
      <c r="C104" s="7"/>
      <c r="D104" s="14"/>
      <c r="E104" s="6"/>
    </row>
    <row r="105" spans="1:5" x14ac:dyDescent="0.25">
      <c r="A105" s="17"/>
      <c r="B105" s="5"/>
      <c r="C105" s="7"/>
      <c r="D105" s="6"/>
      <c r="E105" s="6"/>
    </row>
    <row r="106" spans="1:5" x14ac:dyDescent="0.25">
      <c r="A106" s="17"/>
      <c r="B106" s="5"/>
      <c r="C106" s="7"/>
      <c r="D106" s="14"/>
      <c r="E106" s="6"/>
    </row>
    <row r="107" spans="1:5" x14ac:dyDescent="0.25">
      <c r="A107" s="19"/>
      <c r="B107" s="6"/>
      <c r="C107" s="6"/>
      <c r="D107" s="6"/>
      <c r="E107" s="6"/>
    </row>
    <row r="108" spans="1:5" x14ac:dyDescent="0.25">
      <c r="A108" s="2" t="s">
        <v>2</v>
      </c>
      <c r="B108" s="5">
        <f>SUM(B100:B107)</f>
        <v>0.56000000000000005</v>
      </c>
      <c r="C108" s="6"/>
      <c r="D108" s="14">
        <f>SUM(D100:D107)</f>
        <v>6.4739999999999997E-3</v>
      </c>
      <c r="E108" s="5">
        <f>SUM(E100:E107)</f>
        <v>0</v>
      </c>
    </row>
  </sheetData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8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21" t="s">
        <v>95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8">
        <v>45992</v>
      </c>
      <c r="B4" s="5">
        <v>15</v>
      </c>
      <c r="C4" s="5">
        <f t="shared" ref="C4" si="0">B16+B28+B40+B52+B64+B76+B88+B100</f>
        <v>14.579999999999997</v>
      </c>
      <c r="D4" s="5">
        <f t="shared" ref="D4" si="1">B4-C4</f>
        <v>0.42000000000000348</v>
      </c>
      <c r="E4" s="6"/>
      <c r="F4" s="5"/>
    </row>
    <row r="5" spans="1:6" x14ac:dyDescent="0.25">
      <c r="A5" s="10"/>
      <c r="B5" s="5"/>
      <c r="C5" s="5"/>
      <c r="D5" s="5"/>
      <c r="E5" s="6"/>
      <c r="F5" s="6"/>
    </row>
    <row r="6" spans="1:6" x14ac:dyDescent="0.25">
      <c r="A6" s="10"/>
      <c r="B6" s="5"/>
      <c r="C6" s="5"/>
      <c r="D6" s="5"/>
      <c r="E6" s="6"/>
      <c r="F6" s="2"/>
    </row>
    <row r="7" spans="1:6" x14ac:dyDescent="0.25">
      <c r="A7" s="10"/>
      <c r="B7" s="5"/>
      <c r="C7" s="5"/>
      <c r="D7" s="5"/>
      <c r="E7" s="6"/>
      <c r="F7" s="2"/>
    </row>
    <row r="8" spans="1:6" x14ac:dyDescent="0.25">
      <c r="A8" s="10"/>
      <c r="B8" s="5"/>
      <c r="C8" s="5"/>
      <c r="D8" s="5"/>
      <c r="E8" s="6"/>
      <c r="F8" s="2"/>
    </row>
    <row r="9" spans="1:6" x14ac:dyDescent="0.25">
      <c r="A9" s="10"/>
      <c r="B9" s="5"/>
      <c r="C9" s="5"/>
      <c r="D9" s="5"/>
      <c r="E9" s="6"/>
      <c r="F9" s="2"/>
    </row>
    <row r="10" spans="1:6" x14ac:dyDescent="0.25">
      <c r="A10" s="10"/>
      <c r="B10" s="5"/>
      <c r="C10" s="5"/>
      <c r="D10" s="5"/>
      <c r="E10" s="6"/>
      <c r="F10" s="2"/>
    </row>
    <row r="11" spans="1:6" x14ac:dyDescent="0.25">
      <c r="A11" s="2"/>
      <c r="B11" s="5"/>
      <c r="C11" s="2"/>
      <c r="D11" s="2"/>
      <c r="E11" s="6"/>
      <c r="F11" s="2"/>
    </row>
    <row r="12" spans="1:6" x14ac:dyDescent="0.25">
      <c r="A12" s="2" t="s">
        <v>2</v>
      </c>
      <c r="B12" s="5">
        <f>SUM(B4:B11)</f>
        <v>15</v>
      </c>
      <c r="C12" s="5">
        <f t="shared" ref="C12:D12" si="2">SUM(C4:C11)</f>
        <v>14.579999999999997</v>
      </c>
      <c r="D12" s="5">
        <f t="shared" si="2"/>
        <v>0.42000000000000348</v>
      </c>
      <c r="E12" s="5">
        <f>E24+E36+E48+E60+E72+E84+E96+E108</f>
        <v>3.31</v>
      </c>
      <c r="F12" s="5">
        <v>0.19</v>
      </c>
    </row>
    <row r="15" spans="1:6" x14ac:dyDescent="0.25">
      <c r="A15" s="11" t="s">
        <v>14</v>
      </c>
      <c r="B15" s="3" t="s">
        <v>3</v>
      </c>
      <c r="C15" s="3" t="s">
        <v>0</v>
      </c>
      <c r="D15" s="3" t="s">
        <v>1</v>
      </c>
      <c r="E15" s="3" t="s">
        <v>25</v>
      </c>
    </row>
    <row r="16" spans="1:6" x14ac:dyDescent="0.25">
      <c r="A16" s="17">
        <f t="shared" ref="A16" si="3">A4</f>
        <v>45992</v>
      </c>
      <c r="B16" s="5">
        <v>2.88</v>
      </c>
      <c r="C16" s="7">
        <f>B16/D16</f>
        <v>99.750001558593766</v>
      </c>
      <c r="D16" s="14">
        <v>2.8872180000000001E-2</v>
      </c>
      <c r="E16" s="6"/>
    </row>
    <row r="17" spans="1:5" x14ac:dyDescent="0.25">
      <c r="A17" s="17"/>
      <c r="B17" s="5"/>
      <c r="C17" s="7"/>
      <c r="D17" s="14"/>
      <c r="E17" s="6"/>
    </row>
    <row r="18" spans="1:5" ht="15" customHeight="1" x14ac:dyDescent="0.25">
      <c r="A18" s="17"/>
      <c r="B18" s="5"/>
      <c r="C18" s="7"/>
      <c r="D18" s="14"/>
      <c r="E18" s="6"/>
    </row>
    <row r="19" spans="1:5" ht="15" customHeight="1" x14ac:dyDescent="0.25">
      <c r="A19" s="17"/>
      <c r="B19" s="5"/>
      <c r="C19" s="7"/>
      <c r="D19" s="6"/>
      <c r="E19" s="6"/>
    </row>
    <row r="20" spans="1:5" ht="15" customHeight="1" x14ac:dyDescent="0.25">
      <c r="A20" s="17"/>
      <c r="B20" s="5"/>
      <c r="C20" s="7"/>
      <c r="D20" s="6"/>
      <c r="E20" s="6"/>
    </row>
    <row r="21" spans="1:5" ht="15" customHeight="1" x14ac:dyDescent="0.25">
      <c r="A21" s="17"/>
      <c r="B21" s="5"/>
      <c r="C21" s="6"/>
      <c r="D21" s="14"/>
      <c r="E21" s="6"/>
    </row>
    <row r="22" spans="1:5" ht="15" customHeight="1" x14ac:dyDescent="0.25">
      <c r="A22" s="17"/>
      <c r="B22" s="5"/>
      <c r="C22" s="6"/>
      <c r="D22" s="14"/>
      <c r="E22" s="6"/>
    </row>
    <row r="23" spans="1:5" x14ac:dyDescent="0.25">
      <c r="A23" s="19"/>
      <c r="B23" s="6"/>
      <c r="C23" s="6"/>
      <c r="D23" s="6"/>
      <c r="E23" s="6"/>
    </row>
    <row r="24" spans="1:5" x14ac:dyDescent="0.25">
      <c r="A24" s="2" t="s">
        <v>2</v>
      </c>
      <c r="B24" s="5">
        <f>SUM(B16:B23)</f>
        <v>2.88</v>
      </c>
      <c r="C24" s="6"/>
      <c r="D24" s="14">
        <f>SUM(D16:D23)</f>
        <v>2.8872180000000001E-2</v>
      </c>
      <c r="E24" s="5">
        <f>SUM(E16:E23)</f>
        <v>0</v>
      </c>
    </row>
    <row r="25" spans="1:5" x14ac:dyDescent="0.25">
      <c r="B25" s="9"/>
      <c r="C25" s="1"/>
      <c r="D25" s="12"/>
    </row>
    <row r="26" spans="1:5" x14ac:dyDescent="0.25">
      <c r="B26" s="1"/>
      <c r="C26" s="1"/>
      <c r="D26" s="1"/>
    </row>
    <row r="27" spans="1:5" x14ac:dyDescent="0.25">
      <c r="A27" s="11" t="s">
        <v>15</v>
      </c>
      <c r="B27" s="3" t="s">
        <v>3</v>
      </c>
      <c r="C27" s="3" t="s">
        <v>0</v>
      </c>
      <c r="D27" s="3" t="s">
        <v>1</v>
      </c>
      <c r="E27" s="3" t="s">
        <v>25</v>
      </c>
    </row>
    <row r="28" spans="1:5" x14ac:dyDescent="0.25">
      <c r="A28" s="17">
        <f t="shared" ref="A28" si="4">A4</f>
        <v>45992</v>
      </c>
      <c r="B28" s="5">
        <v>1.65</v>
      </c>
      <c r="C28" s="7">
        <f t="shared" ref="C28" si="5">B28/D28</f>
        <v>77.449008042492736</v>
      </c>
      <c r="D28" s="14">
        <v>2.1304340000000001E-2</v>
      </c>
      <c r="E28" s="5">
        <v>1.76</v>
      </c>
    </row>
    <row r="29" spans="1:5" x14ac:dyDescent="0.25">
      <c r="A29" s="17"/>
      <c r="B29" s="5"/>
      <c r="C29" s="7"/>
      <c r="D29" s="14"/>
      <c r="E29" s="6"/>
    </row>
    <row r="30" spans="1:5" x14ac:dyDescent="0.25">
      <c r="A30" s="17"/>
      <c r="B30" s="5"/>
      <c r="C30" s="7"/>
      <c r="D30" s="14"/>
      <c r="E30" s="6"/>
    </row>
    <row r="31" spans="1:5" x14ac:dyDescent="0.25">
      <c r="A31" s="17"/>
      <c r="B31" s="5"/>
      <c r="C31" s="7"/>
      <c r="D31" s="14"/>
      <c r="E31" s="6"/>
    </row>
    <row r="32" spans="1:5" x14ac:dyDescent="0.25">
      <c r="A32" s="17"/>
      <c r="B32" s="5"/>
      <c r="C32" s="7"/>
      <c r="D32" s="14"/>
      <c r="E32" s="6"/>
    </row>
    <row r="33" spans="1:5" x14ac:dyDescent="0.25">
      <c r="A33" s="17"/>
      <c r="B33" s="5"/>
      <c r="C33" s="7"/>
      <c r="D33" s="6"/>
      <c r="E33" s="6"/>
    </row>
    <row r="34" spans="1:5" x14ac:dyDescent="0.25">
      <c r="A34" s="17"/>
      <c r="B34" s="5"/>
      <c r="C34" s="7"/>
      <c r="D34" s="6"/>
      <c r="E34" s="6"/>
    </row>
    <row r="35" spans="1:5" x14ac:dyDescent="0.25">
      <c r="A35" s="19"/>
      <c r="B35" s="6"/>
      <c r="C35" s="6"/>
      <c r="D35" s="6"/>
      <c r="E35" s="6"/>
    </row>
    <row r="36" spans="1:5" x14ac:dyDescent="0.25">
      <c r="A36" s="2" t="s">
        <v>2</v>
      </c>
      <c r="B36" s="5">
        <f>SUM(B28:B35)</f>
        <v>1.65</v>
      </c>
      <c r="C36" s="6"/>
      <c r="D36" s="14">
        <f>SUM(D28:D35)</f>
        <v>2.1304340000000001E-2</v>
      </c>
      <c r="E36" s="5">
        <f>SUM(E28:E35)</f>
        <v>1.76</v>
      </c>
    </row>
    <row r="39" spans="1:5" x14ac:dyDescent="0.25">
      <c r="A39" s="11" t="s">
        <v>16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7">
        <f t="shared" ref="A40" si="6">A4</f>
        <v>45992</v>
      </c>
      <c r="B40" s="5">
        <v>2.44</v>
      </c>
      <c r="C40" s="7">
        <f t="shared" ref="C40" si="7">B40/D40</f>
        <v>4.3121999541669691</v>
      </c>
      <c r="D40" s="14">
        <v>0.56583647000000004</v>
      </c>
      <c r="E40" s="6">
        <v>1.06</v>
      </c>
    </row>
    <row r="41" spans="1:5" x14ac:dyDescent="0.25">
      <c r="A41" s="17"/>
      <c r="B41" s="5"/>
      <c r="C41" s="7"/>
      <c r="D41" s="14"/>
      <c r="E41" s="6"/>
    </row>
    <row r="42" spans="1:5" x14ac:dyDescent="0.25">
      <c r="A42" s="17"/>
      <c r="B42" s="5"/>
      <c r="C42" s="7"/>
      <c r="D42" s="14"/>
      <c r="E42" s="6"/>
    </row>
    <row r="43" spans="1:5" x14ac:dyDescent="0.25">
      <c r="A43" s="17"/>
      <c r="B43" s="5"/>
      <c r="C43" s="7"/>
      <c r="D43" s="14"/>
      <c r="E43" s="6"/>
    </row>
    <row r="44" spans="1:5" x14ac:dyDescent="0.25">
      <c r="A44" s="17"/>
      <c r="B44" s="5"/>
      <c r="C44" s="7"/>
      <c r="D44" s="14"/>
      <c r="E44" s="6"/>
    </row>
    <row r="45" spans="1:5" x14ac:dyDescent="0.25">
      <c r="A45" s="17"/>
      <c r="B45" s="5"/>
      <c r="C45" s="7"/>
      <c r="D45" s="6"/>
      <c r="E45" s="6"/>
    </row>
    <row r="46" spans="1:5" x14ac:dyDescent="0.25">
      <c r="A46" s="17"/>
      <c r="B46" s="5"/>
      <c r="C46" s="7"/>
      <c r="D46" s="6"/>
      <c r="E46" s="6"/>
    </row>
    <row r="47" spans="1:5" x14ac:dyDescent="0.25">
      <c r="A47" s="19"/>
      <c r="B47" s="6"/>
      <c r="C47" s="6"/>
      <c r="D47" s="6"/>
      <c r="E47" s="6"/>
    </row>
    <row r="48" spans="1:5" x14ac:dyDescent="0.25">
      <c r="A48" s="2" t="s">
        <v>2</v>
      </c>
      <c r="B48" s="5">
        <f>SUM(B40:B47)</f>
        <v>2.44</v>
      </c>
      <c r="C48" s="6"/>
      <c r="D48" s="14">
        <f>SUM(D40:D47)</f>
        <v>0.56583647000000004</v>
      </c>
      <c r="E48" s="6">
        <f>SUM(E40:E47)</f>
        <v>1.06</v>
      </c>
    </row>
    <row r="51" spans="1:5" x14ac:dyDescent="0.25">
      <c r="A51" s="11" t="s">
        <v>17</v>
      </c>
      <c r="B51" s="3" t="s">
        <v>3</v>
      </c>
      <c r="C51" s="3" t="s">
        <v>0</v>
      </c>
      <c r="D51" s="3" t="s">
        <v>1</v>
      </c>
      <c r="E51" s="3" t="s">
        <v>25</v>
      </c>
    </row>
    <row r="52" spans="1:5" x14ac:dyDescent="0.25">
      <c r="A52" s="17">
        <f t="shared" ref="A52" si="8">A16</f>
        <v>45992</v>
      </c>
      <c r="B52" s="5">
        <v>1.1299999999999999</v>
      </c>
      <c r="C52" s="7">
        <f t="shared" ref="C52" si="9">B52/D52</f>
        <v>89.849902954153478</v>
      </c>
      <c r="D52" s="14">
        <v>1.2576530000000001E-2</v>
      </c>
      <c r="E52" s="6">
        <v>0.48</v>
      </c>
    </row>
    <row r="53" spans="1:5" x14ac:dyDescent="0.25">
      <c r="A53" s="17"/>
      <c r="B53" s="5"/>
      <c r="C53" s="7"/>
      <c r="D53" s="14"/>
      <c r="E53" s="5"/>
    </row>
    <row r="54" spans="1:5" x14ac:dyDescent="0.25">
      <c r="A54" s="17"/>
      <c r="B54" s="5"/>
      <c r="C54" s="7"/>
      <c r="D54" s="14"/>
      <c r="E54" s="5"/>
    </row>
    <row r="55" spans="1:5" x14ac:dyDescent="0.25">
      <c r="A55" s="17"/>
      <c r="B55" s="5"/>
      <c r="C55" s="7"/>
      <c r="D55" s="14"/>
      <c r="E55" s="5"/>
    </row>
    <row r="56" spans="1:5" x14ac:dyDescent="0.25">
      <c r="A56" s="17"/>
      <c r="B56" s="5"/>
      <c r="C56" s="7"/>
      <c r="D56" s="14"/>
      <c r="E56" s="6"/>
    </row>
    <row r="57" spans="1:5" x14ac:dyDescent="0.25">
      <c r="A57" s="17"/>
      <c r="B57" s="5"/>
      <c r="C57" s="7"/>
      <c r="D57" s="14"/>
      <c r="E57" s="6"/>
    </row>
    <row r="58" spans="1:5" x14ac:dyDescent="0.25">
      <c r="A58" s="17"/>
      <c r="B58" s="5"/>
      <c r="C58" s="7"/>
      <c r="D58" s="14"/>
      <c r="E58" s="6"/>
    </row>
    <row r="59" spans="1:5" x14ac:dyDescent="0.25">
      <c r="A59" s="19"/>
      <c r="B59" s="6"/>
      <c r="C59" s="6"/>
      <c r="D59" s="6"/>
      <c r="E59" s="6"/>
    </row>
    <row r="60" spans="1:5" x14ac:dyDescent="0.25">
      <c r="A60" s="2" t="s">
        <v>2</v>
      </c>
      <c r="B60" s="5">
        <f>SUM(B52:B59)</f>
        <v>1.1299999999999999</v>
      </c>
      <c r="C60" s="6"/>
      <c r="D60" s="14">
        <f>SUM(D52:D59)</f>
        <v>1.2576530000000001E-2</v>
      </c>
      <c r="E60" s="5">
        <f>SUM(E52:E59)</f>
        <v>0.48</v>
      </c>
    </row>
    <row r="63" spans="1:5" x14ac:dyDescent="0.25">
      <c r="A63" s="11" t="s">
        <v>18</v>
      </c>
      <c r="B63" s="3" t="s">
        <v>3</v>
      </c>
      <c r="C63" s="3" t="s">
        <v>0</v>
      </c>
      <c r="D63" s="3" t="s">
        <v>1</v>
      </c>
      <c r="E63" s="3" t="s">
        <v>25</v>
      </c>
    </row>
    <row r="64" spans="1:5" x14ac:dyDescent="0.25">
      <c r="A64" s="17">
        <f t="shared" ref="A64" si="10">A28</f>
        <v>45992</v>
      </c>
      <c r="B64" s="5">
        <v>2.09</v>
      </c>
      <c r="C64" s="7">
        <f t="shared" ref="C64" si="11">B64/D64</f>
        <v>67.340002248962747</v>
      </c>
      <c r="D64" s="14">
        <v>3.103653E-2</v>
      </c>
      <c r="E64" s="6"/>
    </row>
    <row r="65" spans="1:5" x14ac:dyDescent="0.25">
      <c r="A65" s="17"/>
      <c r="B65" s="5"/>
      <c r="C65" s="7"/>
      <c r="D65" s="14"/>
      <c r="E65" s="6"/>
    </row>
    <row r="66" spans="1:5" x14ac:dyDescent="0.25">
      <c r="A66" s="17"/>
      <c r="B66" s="5"/>
      <c r="C66" s="7"/>
      <c r="D66" s="14"/>
      <c r="E66" s="6"/>
    </row>
    <row r="67" spans="1:5" x14ac:dyDescent="0.25">
      <c r="A67" s="17"/>
      <c r="B67" s="5"/>
      <c r="C67" s="7"/>
      <c r="D67" s="14"/>
      <c r="E67" s="6"/>
    </row>
    <row r="68" spans="1:5" x14ac:dyDescent="0.25">
      <c r="A68" s="17"/>
      <c r="B68" s="5"/>
      <c r="C68" s="7"/>
      <c r="D68" s="14"/>
      <c r="E68" s="6"/>
    </row>
    <row r="69" spans="1:5" x14ac:dyDescent="0.25">
      <c r="A69" s="17"/>
      <c r="B69" s="5"/>
      <c r="C69" s="7"/>
      <c r="D69" s="6"/>
      <c r="E69" s="6"/>
    </row>
    <row r="70" spans="1:5" x14ac:dyDescent="0.25">
      <c r="A70" s="17"/>
      <c r="B70" s="5"/>
      <c r="C70" s="7"/>
      <c r="D70" s="6"/>
      <c r="E70" s="6"/>
    </row>
    <row r="71" spans="1:5" x14ac:dyDescent="0.25">
      <c r="A71" s="19"/>
      <c r="B71" s="6"/>
      <c r="C71" s="6"/>
      <c r="D71" s="6"/>
      <c r="E71" s="6"/>
    </row>
    <row r="72" spans="1:5" x14ac:dyDescent="0.25">
      <c r="A72" s="2" t="s">
        <v>2</v>
      </c>
      <c r="B72" s="5">
        <f>SUM(B64:B71)</f>
        <v>2.09</v>
      </c>
      <c r="C72" s="6"/>
      <c r="D72" s="14">
        <f>SUM(D64:D71)</f>
        <v>3.103653E-2</v>
      </c>
      <c r="E72" s="5">
        <f>SUM(E64:E71)</f>
        <v>0</v>
      </c>
    </row>
    <row r="75" spans="1:5" x14ac:dyDescent="0.25">
      <c r="A75" s="15" t="s">
        <v>19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7">
        <f t="shared" ref="A76" si="12">A40</f>
        <v>45992</v>
      </c>
      <c r="B76" s="5">
        <v>1.1299999999999999</v>
      </c>
      <c r="C76" s="7">
        <f t="shared" ref="C76" si="13">B76/D76</f>
        <v>110.64503115685743</v>
      </c>
      <c r="D76" s="14">
        <v>1.0212840000000001E-2</v>
      </c>
      <c r="E76" s="5"/>
    </row>
    <row r="77" spans="1:5" x14ac:dyDescent="0.25">
      <c r="A77" s="17"/>
      <c r="B77" s="5"/>
      <c r="C77" s="7"/>
      <c r="D77" s="14"/>
      <c r="E77" s="6"/>
    </row>
    <row r="78" spans="1:5" x14ac:dyDescent="0.25">
      <c r="A78" s="17"/>
      <c r="B78" s="5"/>
      <c r="C78" s="7"/>
      <c r="D78" s="14"/>
      <c r="E78" s="6"/>
    </row>
    <row r="79" spans="1:5" x14ac:dyDescent="0.25">
      <c r="A79" s="17"/>
      <c r="B79" s="5"/>
      <c r="C79" s="7"/>
      <c r="D79" s="14"/>
      <c r="E79" s="6"/>
    </row>
    <row r="80" spans="1:5" x14ac:dyDescent="0.25">
      <c r="A80" s="17"/>
      <c r="B80" s="5"/>
      <c r="C80" s="7"/>
      <c r="D80" s="14"/>
      <c r="E80" s="6"/>
    </row>
    <row r="81" spans="1:5" x14ac:dyDescent="0.25">
      <c r="A81" s="17"/>
      <c r="B81" s="5"/>
      <c r="C81" s="7"/>
      <c r="D81" s="6"/>
      <c r="E81" s="6"/>
    </row>
    <row r="82" spans="1:5" x14ac:dyDescent="0.25">
      <c r="A82" s="17"/>
      <c r="B82" s="5"/>
      <c r="C82" s="7"/>
      <c r="D82" s="6"/>
      <c r="E82" s="6"/>
    </row>
    <row r="83" spans="1:5" x14ac:dyDescent="0.25">
      <c r="A83" s="19"/>
      <c r="B83" s="6"/>
      <c r="C83" s="6"/>
      <c r="D83" s="6"/>
      <c r="E83" s="6"/>
    </row>
    <row r="84" spans="1:5" x14ac:dyDescent="0.25">
      <c r="A84" s="2" t="s">
        <v>2</v>
      </c>
      <c r="B84" s="5">
        <f>SUM(B76:B83)</f>
        <v>1.1299999999999999</v>
      </c>
      <c r="C84" s="6"/>
      <c r="D84" s="14">
        <f>SUM(D76:D83)</f>
        <v>1.0212840000000001E-2</v>
      </c>
      <c r="E84" s="5">
        <f>SUM(E76:E83)</f>
        <v>0</v>
      </c>
    </row>
    <row r="87" spans="1:5" x14ac:dyDescent="0.25">
      <c r="A87" s="15" t="s">
        <v>20</v>
      </c>
      <c r="B87" s="3" t="s">
        <v>3</v>
      </c>
      <c r="C87" s="3" t="s">
        <v>0</v>
      </c>
      <c r="D87" s="3" t="s">
        <v>1</v>
      </c>
      <c r="E87" s="3" t="s">
        <v>25</v>
      </c>
    </row>
    <row r="88" spans="1:5" x14ac:dyDescent="0.25">
      <c r="A88" s="17">
        <f t="shared" ref="A88" si="14">A52</f>
        <v>45992</v>
      </c>
      <c r="B88" s="5">
        <v>2.44</v>
      </c>
      <c r="C88" s="7">
        <f t="shared" ref="C88" si="15">B88/D88</f>
        <v>99.460062301130833</v>
      </c>
      <c r="D88" s="14">
        <v>2.4532459999999999E-2</v>
      </c>
      <c r="E88" s="6">
        <v>0.01</v>
      </c>
    </row>
    <row r="89" spans="1:5" x14ac:dyDescent="0.25">
      <c r="A89" s="17"/>
      <c r="B89" s="5"/>
      <c r="C89" s="7"/>
      <c r="D89" s="14"/>
      <c r="E89" s="6"/>
    </row>
    <row r="90" spans="1:5" x14ac:dyDescent="0.25">
      <c r="A90" s="17"/>
      <c r="B90" s="5"/>
      <c r="C90" s="7"/>
      <c r="D90" s="14"/>
      <c r="E90" s="6"/>
    </row>
    <row r="91" spans="1:5" x14ac:dyDescent="0.25">
      <c r="A91" s="17"/>
      <c r="B91" s="5"/>
      <c r="C91" s="7"/>
      <c r="D91" s="14"/>
      <c r="E91" s="6"/>
    </row>
    <row r="92" spans="1:5" x14ac:dyDescent="0.25">
      <c r="A92" s="17"/>
      <c r="B92" s="5"/>
      <c r="C92" s="7"/>
      <c r="D92" s="14"/>
      <c r="E92" s="6"/>
    </row>
    <row r="93" spans="1:5" x14ac:dyDescent="0.25">
      <c r="A93" s="17"/>
      <c r="B93" s="5"/>
      <c r="C93" s="6"/>
      <c r="D93" s="14"/>
      <c r="E93" s="6"/>
    </row>
    <row r="94" spans="1:5" x14ac:dyDescent="0.25">
      <c r="A94" s="17"/>
      <c r="B94" s="5"/>
      <c r="C94" s="7"/>
      <c r="D94" s="14"/>
      <c r="E94" s="6"/>
    </row>
    <row r="95" spans="1:5" x14ac:dyDescent="0.25">
      <c r="A95" s="19"/>
      <c r="B95" s="6"/>
      <c r="C95" s="6"/>
      <c r="D95" s="6"/>
      <c r="E95" s="6"/>
    </row>
    <row r="96" spans="1:5" x14ac:dyDescent="0.25">
      <c r="A96" s="2" t="s">
        <v>2</v>
      </c>
      <c r="B96" s="5">
        <f>SUM(B88:B95)</f>
        <v>2.44</v>
      </c>
      <c r="C96" s="6"/>
      <c r="D96" s="14">
        <f>SUM(D88:D95)</f>
        <v>2.4532459999999999E-2</v>
      </c>
      <c r="E96" s="6">
        <f>SUM(E88:E95)</f>
        <v>0.01</v>
      </c>
    </row>
    <row r="99" spans="1:5" x14ac:dyDescent="0.25">
      <c r="A99" s="15" t="s">
        <v>21</v>
      </c>
      <c r="B99" s="3" t="s">
        <v>3</v>
      </c>
      <c r="C99" s="3" t="s">
        <v>0</v>
      </c>
      <c r="D99" s="3" t="s">
        <v>1</v>
      </c>
      <c r="E99" s="3" t="s">
        <v>25</v>
      </c>
    </row>
    <row r="100" spans="1:5" x14ac:dyDescent="0.25">
      <c r="A100" s="17">
        <f t="shared" ref="A100" si="16">A64</f>
        <v>45992</v>
      </c>
      <c r="B100" s="5">
        <v>0.82</v>
      </c>
      <c r="C100" s="7">
        <f t="shared" ref="C100" si="17">B100/D100</f>
        <v>84.96792978747655</v>
      </c>
      <c r="D100" s="14">
        <v>9.6506999999999999E-3</v>
      </c>
      <c r="E100" s="6"/>
    </row>
    <row r="101" spans="1:5" x14ac:dyDescent="0.25">
      <c r="A101" s="17"/>
      <c r="B101" s="5"/>
      <c r="C101" s="7"/>
      <c r="D101" s="14"/>
      <c r="E101" s="6"/>
    </row>
    <row r="102" spans="1:5" x14ac:dyDescent="0.25">
      <c r="A102" s="17"/>
      <c r="B102" s="5"/>
      <c r="C102" s="7"/>
      <c r="D102" s="14"/>
      <c r="E102" s="6"/>
    </row>
    <row r="103" spans="1:5" x14ac:dyDescent="0.25">
      <c r="A103" s="17"/>
      <c r="B103" s="5"/>
      <c r="C103" s="7"/>
      <c r="D103" s="14"/>
      <c r="E103" s="6"/>
    </row>
    <row r="104" spans="1:5" x14ac:dyDescent="0.25">
      <c r="A104" s="17"/>
      <c r="B104" s="5"/>
      <c r="C104" s="7"/>
      <c r="D104" s="14"/>
      <c r="E104" s="6"/>
    </row>
    <row r="105" spans="1:5" x14ac:dyDescent="0.25">
      <c r="A105" s="17"/>
      <c r="B105" s="5"/>
      <c r="C105" s="7"/>
      <c r="D105" s="6"/>
      <c r="E105" s="6"/>
    </row>
    <row r="106" spans="1:5" x14ac:dyDescent="0.25">
      <c r="A106" s="17"/>
      <c r="B106" s="5"/>
      <c r="C106" s="7"/>
      <c r="D106" s="14"/>
      <c r="E106" s="6"/>
    </row>
    <row r="107" spans="1:5" x14ac:dyDescent="0.25">
      <c r="A107" s="19"/>
      <c r="B107" s="6"/>
      <c r="C107" s="6"/>
      <c r="D107" s="6"/>
      <c r="E107" s="6"/>
    </row>
    <row r="108" spans="1:5" x14ac:dyDescent="0.25">
      <c r="A108" s="2" t="s">
        <v>2</v>
      </c>
      <c r="B108" s="5">
        <f>SUM(B100:B107)</f>
        <v>0.82</v>
      </c>
      <c r="C108" s="6"/>
      <c r="D108" s="14">
        <f>SUM(D100:D107)</f>
        <v>9.6506999999999999E-3</v>
      </c>
      <c r="E108" s="5">
        <f>SUM(E100:E107)</f>
        <v>0</v>
      </c>
    </row>
  </sheetData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8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21" t="s">
        <v>96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 t="s">
        <v>89</v>
      </c>
      <c r="B4" s="5">
        <v>15</v>
      </c>
      <c r="C4" s="5">
        <f t="shared" ref="C4" si="0">B16+B28+B40+B52+B64+B76+B88+B100</f>
        <v>14.209999999999999</v>
      </c>
      <c r="D4" s="5">
        <f t="shared" ref="D4" si="1">B4-C4</f>
        <v>0.79000000000000092</v>
      </c>
      <c r="E4" s="6"/>
      <c r="F4" s="5"/>
    </row>
    <row r="5" spans="1:6" x14ac:dyDescent="0.25">
      <c r="A5" s="10"/>
      <c r="B5" s="5"/>
      <c r="C5" s="5"/>
      <c r="D5" s="5"/>
      <c r="E5" s="6"/>
      <c r="F5" s="6"/>
    </row>
    <row r="6" spans="1:6" x14ac:dyDescent="0.25">
      <c r="A6" s="10"/>
      <c r="B6" s="5"/>
      <c r="C6" s="5"/>
      <c r="D6" s="5"/>
      <c r="E6" s="6"/>
      <c r="F6" s="2"/>
    </row>
    <row r="7" spans="1:6" x14ac:dyDescent="0.25">
      <c r="A7" s="10"/>
      <c r="B7" s="5"/>
      <c r="C7" s="5"/>
      <c r="D7" s="5"/>
      <c r="E7" s="6"/>
      <c r="F7" s="2"/>
    </row>
    <row r="8" spans="1:6" x14ac:dyDescent="0.25">
      <c r="A8" s="10"/>
      <c r="B8" s="5"/>
      <c r="C8" s="5"/>
      <c r="D8" s="5"/>
      <c r="E8" s="6"/>
      <c r="F8" s="2"/>
    </row>
    <row r="9" spans="1:6" x14ac:dyDescent="0.25">
      <c r="A9" s="10"/>
      <c r="B9" s="5"/>
      <c r="C9" s="5"/>
      <c r="D9" s="5"/>
      <c r="E9" s="6"/>
      <c r="F9" s="2"/>
    </row>
    <row r="10" spans="1:6" x14ac:dyDescent="0.25">
      <c r="A10" s="10"/>
      <c r="B10" s="5"/>
      <c r="C10" s="5"/>
      <c r="D10" s="5"/>
      <c r="E10" s="6"/>
      <c r="F10" s="2"/>
    </row>
    <row r="11" spans="1:6" x14ac:dyDescent="0.25">
      <c r="A11" s="2"/>
      <c r="B11" s="5"/>
      <c r="C11" s="2"/>
      <c r="D11" s="2"/>
      <c r="E11" s="6"/>
      <c r="F11" s="2"/>
    </row>
    <row r="12" spans="1:6" x14ac:dyDescent="0.25">
      <c r="A12" s="2" t="s">
        <v>2</v>
      </c>
      <c r="B12" s="5">
        <f>SUM(B4:B11)</f>
        <v>15</v>
      </c>
      <c r="C12" s="5">
        <f t="shared" ref="C12:D12" si="2">SUM(C4:C11)</f>
        <v>14.209999999999999</v>
      </c>
      <c r="D12" s="5">
        <f t="shared" si="2"/>
        <v>0.79000000000000092</v>
      </c>
      <c r="E12" s="5">
        <f>E24+E36+E48+E60+E72+E84+E96+E108</f>
        <v>0</v>
      </c>
      <c r="F12" s="5">
        <v>0.19</v>
      </c>
    </row>
    <row r="15" spans="1:6" x14ac:dyDescent="0.25">
      <c r="A15" s="11" t="s">
        <v>14</v>
      </c>
      <c r="B15" s="3" t="s">
        <v>3</v>
      </c>
      <c r="C15" s="3" t="s">
        <v>0</v>
      </c>
      <c r="D15" s="3" t="s">
        <v>1</v>
      </c>
      <c r="E15" s="3" t="s">
        <v>25</v>
      </c>
    </row>
    <row r="16" spans="1:6" x14ac:dyDescent="0.25">
      <c r="A16" s="11" t="str">
        <f t="shared" ref="A16" si="3">A4</f>
        <v>2025.11.01</v>
      </c>
      <c r="B16" s="5">
        <v>0</v>
      </c>
      <c r="C16" s="7"/>
      <c r="D16" s="14"/>
      <c r="E16" s="6"/>
    </row>
    <row r="17" spans="1:5" x14ac:dyDescent="0.25">
      <c r="A17" s="11"/>
      <c r="B17" s="5"/>
      <c r="C17" s="7"/>
      <c r="D17" s="14"/>
      <c r="E17" s="6"/>
    </row>
    <row r="18" spans="1:5" ht="15" customHeight="1" x14ac:dyDescent="0.25">
      <c r="A18" s="11"/>
      <c r="B18" s="5"/>
      <c r="C18" s="7"/>
      <c r="D18" s="14"/>
      <c r="E18" s="6"/>
    </row>
    <row r="19" spans="1:5" ht="15" customHeight="1" x14ac:dyDescent="0.25">
      <c r="A19" s="11"/>
      <c r="B19" s="5"/>
      <c r="C19" s="7"/>
      <c r="D19" s="6"/>
      <c r="E19" s="6"/>
    </row>
    <row r="20" spans="1:5" ht="15" customHeight="1" x14ac:dyDescent="0.25">
      <c r="A20" s="11"/>
      <c r="B20" s="5"/>
      <c r="C20" s="7"/>
      <c r="D20" s="6"/>
      <c r="E20" s="6"/>
    </row>
    <row r="21" spans="1:5" ht="15" customHeight="1" x14ac:dyDescent="0.25">
      <c r="A21" s="11"/>
      <c r="B21" s="5"/>
      <c r="C21" s="6"/>
      <c r="D21" s="14"/>
      <c r="E21" s="6"/>
    </row>
    <row r="22" spans="1:5" ht="15" customHeight="1" x14ac:dyDescent="0.25">
      <c r="A22" s="11"/>
      <c r="B22" s="5"/>
      <c r="C22" s="6"/>
      <c r="D22" s="14"/>
      <c r="E22" s="6"/>
    </row>
    <row r="23" spans="1:5" x14ac:dyDescent="0.25">
      <c r="A23" s="2"/>
      <c r="B23" s="6"/>
      <c r="C23" s="6"/>
      <c r="D23" s="6"/>
      <c r="E23" s="6"/>
    </row>
    <row r="24" spans="1:5" x14ac:dyDescent="0.25">
      <c r="A24" s="2" t="s">
        <v>2</v>
      </c>
      <c r="B24" s="5">
        <f>SUM(B16:B23)</f>
        <v>0</v>
      </c>
      <c r="C24" s="6"/>
      <c r="D24" s="14">
        <f>SUM(D16:D23)</f>
        <v>0</v>
      </c>
      <c r="E24" s="6">
        <f>SUM(E16:E23)</f>
        <v>0</v>
      </c>
    </row>
    <row r="25" spans="1:5" x14ac:dyDescent="0.25">
      <c r="B25" s="9"/>
      <c r="C25" s="1"/>
      <c r="D25" s="12"/>
    </row>
    <row r="26" spans="1:5" x14ac:dyDescent="0.25">
      <c r="B26" s="1"/>
      <c r="C26" s="1"/>
      <c r="D26" s="1"/>
    </row>
    <row r="27" spans="1:5" x14ac:dyDescent="0.25">
      <c r="A27" s="11" t="s">
        <v>15</v>
      </c>
      <c r="B27" s="3" t="s">
        <v>3</v>
      </c>
      <c r="C27" s="3" t="s">
        <v>0</v>
      </c>
      <c r="D27" s="3" t="s">
        <v>1</v>
      </c>
      <c r="E27" s="3" t="s">
        <v>25</v>
      </c>
    </row>
    <row r="28" spans="1:5" x14ac:dyDescent="0.25">
      <c r="A28" s="11" t="str">
        <f t="shared" ref="A28" si="4">A4</f>
        <v>2025.11.01</v>
      </c>
      <c r="B28" s="5">
        <v>3.18</v>
      </c>
      <c r="C28" s="7">
        <f t="shared" ref="C28" si="5">B28/D28</f>
        <v>77.971008025374431</v>
      </c>
      <c r="D28" s="14">
        <v>4.0784389999999997E-2</v>
      </c>
      <c r="E28" s="5"/>
    </row>
    <row r="29" spans="1:5" x14ac:dyDescent="0.25">
      <c r="A29" s="11"/>
      <c r="B29" s="5"/>
      <c r="C29" s="7"/>
      <c r="D29" s="14"/>
      <c r="E29" s="6"/>
    </row>
    <row r="30" spans="1:5" x14ac:dyDescent="0.25">
      <c r="A30" s="11"/>
      <c r="B30" s="5"/>
      <c r="C30" s="7"/>
      <c r="D30" s="14"/>
      <c r="E30" s="6"/>
    </row>
    <row r="31" spans="1:5" x14ac:dyDescent="0.25">
      <c r="A31" s="11"/>
      <c r="B31" s="5"/>
      <c r="C31" s="7"/>
      <c r="D31" s="14"/>
      <c r="E31" s="6"/>
    </row>
    <row r="32" spans="1:5" x14ac:dyDescent="0.25">
      <c r="A32" s="11"/>
      <c r="B32" s="5"/>
      <c r="C32" s="7"/>
      <c r="D32" s="14"/>
      <c r="E32" s="6"/>
    </row>
    <row r="33" spans="1:5" x14ac:dyDescent="0.25">
      <c r="A33" s="11"/>
      <c r="B33" s="5"/>
      <c r="C33" s="7"/>
      <c r="D33" s="6"/>
      <c r="E33" s="6"/>
    </row>
    <row r="34" spans="1:5" x14ac:dyDescent="0.25">
      <c r="A34" s="11"/>
      <c r="B34" s="5"/>
      <c r="C34" s="7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SUM(B28:B35)</f>
        <v>3.18</v>
      </c>
      <c r="C36" s="6"/>
      <c r="D36" s="14">
        <f>SUM(D28:D35)</f>
        <v>4.0784389999999997E-2</v>
      </c>
      <c r="E36" s="5">
        <f>SUM(E28:E35)</f>
        <v>0</v>
      </c>
    </row>
    <row r="39" spans="1:5" x14ac:dyDescent="0.25">
      <c r="A39" s="11" t="s">
        <v>16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 t="str">
        <f t="shared" ref="A40" si="6">A4</f>
        <v>2025.11.01</v>
      </c>
      <c r="B40" s="5">
        <v>2.5</v>
      </c>
      <c r="C40" s="7">
        <f t="shared" ref="C40" si="7">B40/D40</f>
        <v>4.4567000129440393</v>
      </c>
      <c r="D40" s="14">
        <v>0.56095317</v>
      </c>
      <c r="E40" s="6"/>
    </row>
    <row r="41" spans="1:5" x14ac:dyDescent="0.25">
      <c r="A41" s="11"/>
      <c r="B41" s="5"/>
      <c r="C41" s="7"/>
      <c r="D41" s="14"/>
      <c r="E41" s="6"/>
    </row>
    <row r="42" spans="1:5" x14ac:dyDescent="0.25">
      <c r="A42" s="11"/>
      <c r="B42" s="5"/>
      <c r="C42" s="7"/>
      <c r="D42" s="14"/>
      <c r="E42" s="6"/>
    </row>
    <row r="43" spans="1:5" x14ac:dyDescent="0.25">
      <c r="A43" s="11"/>
      <c r="B43" s="5"/>
      <c r="C43" s="7"/>
      <c r="D43" s="14"/>
      <c r="E43" s="6"/>
    </row>
    <row r="44" spans="1:5" x14ac:dyDescent="0.25">
      <c r="A44" s="11"/>
      <c r="B44" s="5"/>
      <c r="C44" s="7"/>
      <c r="D44" s="14"/>
      <c r="E44" s="6"/>
    </row>
    <row r="45" spans="1:5" x14ac:dyDescent="0.25">
      <c r="A45" s="11"/>
      <c r="B45" s="5"/>
      <c r="C45" s="7"/>
      <c r="D45" s="6"/>
      <c r="E45" s="6"/>
    </row>
    <row r="46" spans="1:5" x14ac:dyDescent="0.25">
      <c r="A46" s="11"/>
      <c r="B46" s="5"/>
      <c r="C46" s="7"/>
      <c r="D46" s="6"/>
      <c r="E46" s="6"/>
    </row>
    <row r="47" spans="1:5" x14ac:dyDescent="0.25">
      <c r="A47" s="2"/>
      <c r="B47" s="6"/>
      <c r="C47" s="6"/>
      <c r="D47" s="6"/>
      <c r="E47" s="6"/>
    </row>
    <row r="48" spans="1:5" x14ac:dyDescent="0.25">
      <c r="A48" s="2" t="s">
        <v>2</v>
      </c>
      <c r="B48" s="5">
        <f>SUM(B40:B47)</f>
        <v>2.5</v>
      </c>
      <c r="C48" s="6"/>
      <c r="D48" s="14">
        <f>SUM(D40:D47)</f>
        <v>0.56095317</v>
      </c>
      <c r="E48" s="6">
        <f>SUM(E40:E47)</f>
        <v>0</v>
      </c>
    </row>
    <row r="51" spans="1:5" x14ac:dyDescent="0.25">
      <c r="A51" s="11" t="s">
        <v>17</v>
      </c>
      <c r="B51" s="3" t="s">
        <v>3</v>
      </c>
      <c r="C51" s="3" t="s">
        <v>0</v>
      </c>
      <c r="D51" s="3" t="s">
        <v>1</v>
      </c>
      <c r="E51" s="3" t="s">
        <v>25</v>
      </c>
    </row>
    <row r="52" spans="1:5" x14ac:dyDescent="0.25">
      <c r="A52" s="11" t="str">
        <f t="shared" ref="A52" si="8">A4</f>
        <v>2025.11.01</v>
      </c>
      <c r="B52" s="5">
        <v>2.35</v>
      </c>
      <c r="C52" s="7">
        <f t="shared" ref="C52" si="9">B52/D52</f>
        <v>90.105910871067266</v>
      </c>
      <c r="D52" s="14">
        <v>2.608042E-2</v>
      </c>
      <c r="E52" s="6"/>
    </row>
    <row r="53" spans="1:5" x14ac:dyDescent="0.25">
      <c r="A53" s="11"/>
      <c r="B53" s="5"/>
      <c r="C53" s="7"/>
      <c r="D53" s="14"/>
      <c r="E53" s="5"/>
    </row>
    <row r="54" spans="1:5" x14ac:dyDescent="0.25">
      <c r="A54" s="17"/>
      <c r="B54" s="5"/>
      <c r="C54" s="7"/>
      <c r="D54" s="14"/>
      <c r="E54" s="5"/>
    </row>
    <row r="55" spans="1:5" x14ac:dyDescent="0.25">
      <c r="A55" s="11"/>
      <c r="B55" s="5"/>
      <c r="C55" s="7"/>
      <c r="D55" s="14"/>
      <c r="E55" s="5"/>
    </row>
    <row r="56" spans="1:5" x14ac:dyDescent="0.25">
      <c r="A56" s="11"/>
      <c r="B56" s="5"/>
      <c r="C56" s="7"/>
      <c r="D56" s="14"/>
      <c r="E56" s="6"/>
    </row>
    <row r="57" spans="1:5" x14ac:dyDescent="0.25">
      <c r="A57" s="11"/>
      <c r="B57" s="5"/>
      <c r="C57" s="7"/>
      <c r="D57" s="14"/>
      <c r="E57" s="6"/>
    </row>
    <row r="58" spans="1:5" x14ac:dyDescent="0.25">
      <c r="A58" s="11"/>
      <c r="B58" s="5"/>
      <c r="C58" s="7"/>
      <c r="D58" s="14"/>
      <c r="E58" s="6"/>
    </row>
    <row r="59" spans="1:5" x14ac:dyDescent="0.25">
      <c r="A59" s="2"/>
      <c r="B59" s="6"/>
      <c r="C59" s="6"/>
      <c r="D59" s="6"/>
      <c r="E59" s="6"/>
    </row>
    <row r="60" spans="1:5" x14ac:dyDescent="0.25">
      <c r="A60" s="2" t="s">
        <v>2</v>
      </c>
      <c r="B60" s="5">
        <f>SUM(B52:B59)</f>
        <v>2.35</v>
      </c>
      <c r="C60" s="6"/>
      <c r="D60" s="14">
        <f>SUM(D52:D59)</f>
        <v>2.608042E-2</v>
      </c>
      <c r="E60" s="5">
        <f>SUM(E52:E59)</f>
        <v>0</v>
      </c>
    </row>
    <row r="63" spans="1:5" x14ac:dyDescent="0.25">
      <c r="A63" s="11" t="s">
        <v>18</v>
      </c>
      <c r="B63" s="3" t="s">
        <v>3</v>
      </c>
      <c r="C63" s="3" t="s">
        <v>0</v>
      </c>
      <c r="D63" s="3" t="s">
        <v>1</v>
      </c>
      <c r="E63" s="3" t="s">
        <v>25</v>
      </c>
    </row>
    <row r="64" spans="1:5" x14ac:dyDescent="0.25">
      <c r="A64" s="11" t="str">
        <f t="shared" ref="A64" si="10">A4</f>
        <v>2025.11.01</v>
      </c>
      <c r="B64" s="5">
        <v>3.48</v>
      </c>
      <c r="C64" s="7">
        <f t="shared" ref="C64" si="11">B64/D64</f>
        <v>67.860001696500035</v>
      </c>
      <c r="D64" s="14">
        <v>5.1282050000000003E-2</v>
      </c>
      <c r="E64" s="6"/>
    </row>
    <row r="65" spans="1:5" x14ac:dyDescent="0.25">
      <c r="A65" s="11"/>
      <c r="B65" s="5"/>
      <c r="C65" s="7"/>
      <c r="D65" s="14"/>
      <c r="E65" s="6"/>
    </row>
    <row r="66" spans="1:5" x14ac:dyDescent="0.25">
      <c r="A66" s="11"/>
      <c r="B66" s="5"/>
      <c r="C66" s="7"/>
      <c r="D66" s="14"/>
      <c r="E66" s="6"/>
    </row>
    <row r="67" spans="1:5" x14ac:dyDescent="0.25">
      <c r="A67" s="11"/>
      <c r="B67" s="5"/>
      <c r="C67" s="7"/>
      <c r="D67" s="14"/>
      <c r="E67" s="6"/>
    </row>
    <row r="68" spans="1:5" x14ac:dyDescent="0.25">
      <c r="A68" s="11"/>
      <c r="B68" s="5"/>
      <c r="C68" s="7"/>
      <c r="D68" s="14"/>
      <c r="E68" s="6"/>
    </row>
    <row r="69" spans="1:5" x14ac:dyDescent="0.25">
      <c r="A69" s="11"/>
      <c r="B69" s="5"/>
      <c r="C69" s="7"/>
      <c r="D69" s="6"/>
      <c r="E69" s="6"/>
    </row>
    <row r="70" spans="1:5" x14ac:dyDescent="0.25">
      <c r="A70" s="11"/>
      <c r="B70" s="5"/>
      <c r="C70" s="7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SUM(B64:B71)</f>
        <v>3.48</v>
      </c>
      <c r="C72" s="6"/>
      <c r="D72" s="14">
        <f>SUM(D64:D71)</f>
        <v>5.1282050000000003E-2</v>
      </c>
      <c r="E72" s="6">
        <f>SUM(E64:E71)</f>
        <v>0</v>
      </c>
    </row>
    <row r="75" spans="1:5" x14ac:dyDescent="0.25">
      <c r="A75" s="15" t="s">
        <v>19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 t="str">
        <f t="shared" ref="A76" si="12">A4</f>
        <v>2025.11.01</v>
      </c>
      <c r="B76" s="5">
        <v>2.1</v>
      </c>
      <c r="C76" s="7">
        <f t="shared" ref="C76" si="13">B76/D76</f>
        <v>111.41990341486088</v>
      </c>
      <c r="D76" s="14">
        <v>1.8847619999999999E-2</v>
      </c>
      <c r="E76" s="5"/>
    </row>
    <row r="77" spans="1:5" x14ac:dyDescent="0.25">
      <c r="A77" s="11"/>
      <c r="B77" s="5"/>
      <c r="C77" s="7"/>
      <c r="D77" s="14"/>
      <c r="E77" s="6"/>
    </row>
    <row r="78" spans="1:5" x14ac:dyDescent="0.25">
      <c r="A78" s="17"/>
      <c r="B78" s="5"/>
      <c r="C78" s="7"/>
      <c r="D78" s="14"/>
      <c r="E78" s="6"/>
    </row>
    <row r="79" spans="1:5" x14ac:dyDescent="0.25">
      <c r="A79" s="11"/>
      <c r="B79" s="5"/>
      <c r="C79" s="7"/>
      <c r="D79" s="14"/>
      <c r="E79" s="6"/>
    </row>
    <row r="80" spans="1:5" x14ac:dyDescent="0.25">
      <c r="A80" s="11"/>
      <c r="B80" s="5"/>
      <c r="C80" s="7"/>
      <c r="D80" s="14"/>
      <c r="E80" s="6"/>
    </row>
    <row r="81" spans="1:5" x14ac:dyDescent="0.25">
      <c r="A81" s="11"/>
      <c r="B81" s="5"/>
      <c r="C81" s="7"/>
      <c r="D81" s="6"/>
      <c r="E81" s="6"/>
    </row>
    <row r="82" spans="1:5" x14ac:dyDescent="0.25">
      <c r="A82" s="11"/>
      <c r="B82" s="5"/>
      <c r="C82" s="7"/>
      <c r="D82" s="6"/>
      <c r="E82" s="6"/>
    </row>
    <row r="83" spans="1:5" x14ac:dyDescent="0.25">
      <c r="A83" s="2"/>
      <c r="B83" s="6"/>
      <c r="C83" s="6"/>
      <c r="D83" s="6"/>
      <c r="E83" s="6"/>
    </row>
    <row r="84" spans="1:5" x14ac:dyDescent="0.25">
      <c r="A84" s="2" t="s">
        <v>2</v>
      </c>
      <c r="B84" s="5">
        <f>SUM(B76:B83)</f>
        <v>2.1</v>
      </c>
      <c r="C84" s="6"/>
      <c r="D84" s="14">
        <f>SUM(D76:D83)</f>
        <v>1.8847619999999999E-2</v>
      </c>
      <c r="E84" s="5">
        <f>SUM(E76:E83)</f>
        <v>0</v>
      </c>
    </row>
    <row r="87" spans="1:5" x14ac:dyDescent="0.25">
      <c r="A87" s="15" t="s">
        <v>20</v>
      </c>
      <c r="B87" s="3" t="s">
        <v>3</v>
      </c>
      <c r="C87" s="3" t="s">
        <v>0</v>
      </c>
      <c r="D87" s="3" t="s">
        <v>1</v>
      </c>
      <c r="E87" s="3" t="s">
        <v>25</v>
      </c>
    </row>
    <row r="88" spans="1:5" x14ac:dyDescent="0.25">
      <c r="A88" s="11" t="str">
        <f t="shared" ref="A88" si="14">A4</f>
        <v>2025.11.01</v>
      </c>
      <c r="B88" s="5">
        <v>0.19</v>
      </c>
      <c r="C88" s="7">
        <f t="shared" ref="C88" si="15">B88/D88</f>
        <v>101.44045445323596</v>
      </c>
      <c r="D88" s="14">
        <v>1.87302E-3</v>
      </c>
      <c r="E88" s="6"/>
    </row>
    <row r="89" spans="1:5" x14ac:dyDescent="0.25">
      <c r="A89" s="11"/>
      <c r="B89" s="5"/>
      <c r="C89" s="7"/>
      <c r="D89" s="14"/>
      <c r="E89" s="6"/>
    </row>
    <row r="90" spans="1:5" x14ac:dyDescent="0.25">
      <c r="A90" s="11"/>
      <c r="B90" s="5"/>
      <c r="C90" s="7"/>
      <c r="D90" s="14"/>
      <c r="E90" s="6"/>
    </row>
    <row r="91" spans="1:5" x14ac:dyDescent="0.25">
      <c r="A91" s="11"/>
      <c r="B91" s="5"/>
      <c r="C91" s="7"/>
      <c r="D91" s="14"/>
      <c r="E91" s="6"/>
    </row>
    <row r="92" spans="1:5" x14ac:dyDescent="0.25">
      <c r="A92" s="11"/>
      <c r="B92" s="5"/>
      <c r="C92" s="7"/>
      <c r="D92" s="14"/>
      <c r="E92" s="6"/>
    </row>
    <row r="93" spans="1:5" x14ac:dyDescent="0.25">
      <c r="A93" s="11"/>
      <c r="B93" s="5"/>
      <c r="C93" s="6"/>
      <c r="D93" s="14"/>
      <c r="E93" s="6"/>
    </row>
    <row r="94" spans="1:5" x14ac:dyDescent="0.25">
      <c r="A94" s="11"/>
      <c r="B94" s="5"/>
      <c r="C94" s="7"/>
      <c r="D94" s="14"/>
      <c r="E94" s="6"/>
    </row>
    <row r="95" spans="1:5" x14ac:dyDescent="0.25">
      <c r="A95" s="2"/>
      <c r="B95" s="6"/>
      <c r="C95" s="6"/>
      <c r="D95" s="6"/>
      <c r="E95" s="6"/>
    </row>
    <row r="96" spans="1:5" x14ac:dyDescent="0.25">
      <c r="A96" s="2" t="s">
        <v>2</v>
      </c>
      <c r="B96" s="5">
        <f>SUM(B88:B95)</f>
        <v>0.19</v>
      </c>
      <c r="C96" s="6"/>
      <c r="D96" s="14">
        <f>SUM(D88:D95)</f>
        <v>1.87302E-3</v>
      </c>
      <c r="E96" s="6">
        <f>SUM(E88:E95)</f>
        <v>0</v>
      </c>
    </row>
    <row r="99" spans="1:5" x14ac:dyDescent="0.25">
      <c r="A99" s="15" t="s">
        <v>21</v>
      </c>
      <c r="B99" s="3" t="s">
        <v>3</v>
      </c>
      <c r="C99" s="3" t="s">
        <v>0</v>
      </c>
      <c r="D99" s="3" t="s">
        <v>1</v>
      </c>
      <c r="E99" s="3" t="s">
        <v>25</v>
      </c>
    </row>
    <row r="100" spans="1:5" x14ac:dyDescent="0.25">
      <c r="A100" s="11" t="str">
        <f t="shared" ref="A100" si="16">A4</f>
        <v>2025.11.01</v>
      </c>
      <c r="B100" s="5">
        <v>0.41</v>
      </c>
      <c r="C100" s="7">
        <f t="shared" ref="C100" si="17">B100/D100</f>
        <v>87.003944886183973</v>
      </c>
      <c r="D100" s="14">
        <v>4.7124300000000001E-3</v>
      </c>
      <c r="E100" s="6"/>
    </row>
    <row r="101" spans="1:5" x14ac:dyDescent="0.25">
      <c r="A101" s="11"/>
      <c r="B101" s="5"/>
      <c r="C101" s="7"/>
      <c r="D101" s="14"/>
      <c r="E101" s="6"/>
    </row>
    <row r="102" spans="1:5" x14ac:dyDescent="0.25">
      <c r="A102" s="11"/>
      <c r="B102" s="5"/>
      <c r="C102" s="7"/>
      <c r="D102" s="14"/>
      <c r="E102" s="6"/>
    </row>
    <row r="103" spans="1:5" x14ac:dyDescent="0.25">
      <c r="A103" s="11"/>
      <c r="B103" s="5"/>
      <c r="C103" s="7"/>
      <c r="D103" s="14"/>
      <c r="E103" s="6"/>
    </row>
    <row r="104" spans="1:5" x14ac:dyDescent="0.25">
      <c r="A104" s="11"/>
      <c r="B104" s="5"/>
      <c r="C104" s="7"/>
      <c r="D104" s="14"/>
      <c r="E104" s="6"/>
    </row>
    <row r="105" spans="1:5" x14ac:dyDescent="0.25">
      <c r="A105" s="11"/>
      <c r="B105" s="5"/>
      <c r="C105" s="7"/>
      <c r="D105" s="6"/>
      <c r="E105" s="6"/>
    </row>
    <row r="106" spans="1:5" x14ac:dyDescent="0.25">
      <c r="A106" s="11"/>
      <c r="B106" s="5"/>
      <c r="C106" s="7"/>
      <c r="D106" s="14"/>
      <c r="E106" s="6"/>
    </row>
    <row r="107" spans="1:5" x14ac:dyDescent="0.25">
      <c r="A107" s="2"/>
      <c r="B107" s="6"/>
      <c r="C107" s="6"/>
      <c r="D107" s="6"/>
      <c r="E107" s="6"/>
    </row>
    <row r="108" spans="1:5" x14ac:dyDescent="0.25">
      <c r="A108" s="2" t="s">
        <v>2</v>
      </c>
      <c r="B108" s="5">
        <f>SUM(B100:B107)</f>
        <v>0.41</v>
      </c>
      <c r="C108" s="6"/>
      <c r="D108" s="14">
        <f>SUM(D100:D107)</f>
        <v>4.7124300000000001E-3</v>
      </c>
      <c r="E108" s="6">
        <f>SUM(E100:E107)</f>
        <v>0</v>
      </c>
    </row>
  </sheetData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8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23" t="s">
        <v>97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 t="s">
        <v>88</v>
      </c>
      <c r="B4" s="5">
        <v>15</v>
      </c>
      <c r="C4" s="5">
        <f t="shared" ref="C4" si="0">B16+B28+B40+B52+B64+B76+B88+B100</f>
        <v>15.430000000000001</v>
      </c>
      <c r="D4" s="5">
        <f t="shared" ref="D4" si="1">B4-C4</f>
        <v>-0.43000000000000149</v>
      </c>
      <c r="E4" s="6"/>
      <c r="F4" s="5"/>
    </row>
    <row r="5" spans="1:6" x14ac:dyDescent="0.25">
      <c r="A5" s="10"/>
      <c r="B5" s="5"/>
      <c r="C5" s="5"/>
      <c r="D5" s="5"/>
      <c r="E5" s="6"/>
      <c r="F5" s="6"/>
    </row>
    <row r="6" spans="1:6" x14ac:dyDescent="0.25">
      <c r="A6" s="10"/>
      <c r="B6" s="5"/>
      <c r="C6" s="5"/>
      <c r="D6" s="5"/>
      <c r="E6" s="6"/>
      <c r="F6" s="2"/>
    </row>
    <row r="7" spans="1:6" x14ac:dyDescent="0.25">
      <c r="A7" s="10"/>
      <c r="B7" s="5"/>
      <c r="C7" s="5"/>
      <c r="D7" s="5"/>
      <c r="E7" s="6"/>
      <c r="F7" s="2"/>
    </row>
    <row r="8" spans="1:6" x14ac:dyDescent="0.25">
      <c r="A8" s="10"/>
      <c r="B8" s="5"/>
      <c r="C8" s="5"/>
      <c r="D8" s="5"/>
      <c r="E8" s="6"/>
      <c r="F8" s="2"/>
    </row>
    <row r="9" spans="1:6" x14ac:dyDescent="0.25">
      <c r="A9" s="10"/>
      <c r="B9" s="5"/>
      <c r="C9" s="5"/>
      <c r="D9" s="5"/>
      <c r="E9" s="6"/>
      <c r="F9" s="2"/>
    </row>
    <row r="10" spans="1:6" x14ac:dyDescent="0.25">
      <c r="A10" s="10"/>
      <c r="B10" s="5"/>
      <c r="C10" s="5"/>
      <c r="D10" s="5"/>
      <c r="E10" s="6"/>
      <c r="F10" s="2"/>
    </row>
    <row r="11" spans="1:6" x14ac:dyDescent="0.25">
      <c r="A11" s="2"/>
      <c r="B11" s="5"/>
      <c r="C11" s="2"/>
      <c r="D11" s="2"/>
      <c r="E11" s="6"/>
      <c r="F11" s="2"/>
    </row>
    <row r="12" spans="1:6" x14ac:dyDescent="0.25">
      <c r="A12" s="2" t="s">
        <v>2</v>
      </c>
      <c r="B12" s="5">
        <f>SUM(B4:B11)</f>
        <v>15</v>
      </c>
      <c r="C12" s="5">
        <f t="shared" ref="C12:D12" si="2">SUM(C4:C11)</f>
        <v>15.430000000000001</v>
      </c>
      <c r="D12" s="5">
        <f t="shared" si="2"/>
        <v>-0.43000000000000149</v>
      </c>
      <c r="E12" s="5">
        <f>E24+E36+E48+E60+E72+E84+E96+E108</f>
        <v>0</v>
      </c>
      <c r="F12" s="5">
        <v>0.17</v>
      </c>
    </row>
    <row r="15" spans="1:6" x14ac:dyDescent="0.25">
      <c r="A15" s="11" t="s">
        <v>14</v>
      </c>
      <c r="B15" s="3" t="s">
        <v>3</v>
      </c>
      <c r="C15" s="3" t="s">
        <v>0</v>
      </c>
      <c r="D15" s="3" t="s">
        <v>1</v>
      </c>
      <c r="E15" s="3" t="s">
        <v>25</v>
      </c>
    </row>
    <row r="16" spans="1:6" x14ac:dyDescent="0.25">
      <c r="A16" s="11" t="str">
        <f t="shared" ref="A16" si="3">A4</f>
        <v>2025.10.01</v>
      </c>
      <c r="B16" s="5">
        <v>0.23</v>
      </c>
      <c r="C16" s="7">
        <f t="shared" ref="C16" si="4">B16/D16</f>
        <v>98.190309897156325</v>
      </c>
      <c r="D16" s="14">
        <v>2.3423900000000002E-3</v>
      </c>
      <c r="E16" s="6"/>
    </row>
    <row r="17" spans="1:5" x14ac:dyDescent="0.25">
      <c r="A17" s="11"/>
      <c r="B17" s="5"/>
      <c r="C17" s="7"/>
      <c r="D17" s="14"/>
      <c r="E17" s="6"/>
    </row>
    <row r="18" spans="1:5" ht="15" customHeight="1" x14ac:dyDescent="0.25">
      <c r="A18" s="11"/>
      <c r="B18" s="5"/>
      <c r="C18" s="7"/>
      <c r="D18" s="14"/>
      <c r="E18" s="6"/>
    </row>
    <row r="19" spans="1:5" ht="15" customHeight="1" x14ac:dyDescent="0.25">
      <c r="A19" s="11"/>
      <c r="B19" s="5"/>
      <c r="C19" s="7"/>
      <c r="D19" s="6"/>
      <c r="E19" s="6"/>
    </row>
    <row r="20" spans="1:5" ht="15" customHeight="1" x14ac:dyDescent="0.25">
      <c r="A20" s="11"/>
      <c r="B20" s="5"/>
      <c r="C20" s="7"/>
      <c r="D20" s="6"/>
      <c r="E20" s="6"/>
    </row>
    <row r="21" spans="1:5" ht="15" customHeight="1" x14ac:dyDescent="0.25">
      <c r="A21" s="11"/>
      <c r="B21" s="5"/>
      <c r="C21" s="6"/>
      <c r="D21" s="14"/>
      <c r="E21" s="6"/>
    </row>
    <row r="22" spans="1:5" ht="15" customHeight="1" x14ac:dyDescent="0.25">
      <c r="A22" s="11"/>
      <c r="B22" s="5"/>
      <c r="C22" s="6"/>
      <c r="D22" s="14"/>
      <c r="E22" s="6"/>
    </row>
    <row r="23" spans="1:5" x14ac:dyDescent="0.25">
      <c r="A23" s="2"/>
      <c r="B23" s="6"/>
      <c r="C23" s="6"/>
      <c r="D23" s="6"/>
      <c r="E23" s="6"/>
    </row>
    <row r="24" spans="1:5" x14ac:dyDescent="0.25">
      <c r="A24" s="2" t="s">
        <v>2</v>
      </c>
      <c r="B24" s="5">
        <f>SUM(B16:B23)</f>
        <v>0.23</v>
      </c>
      <c r="C24" s="6"/>
      <c r="D24" s="14">
        <f>SUM(D16:D23)</f>
        <v>2.3423900000000002E-3</v>
      </c>
      <c r="E24" s="6">
        <f>SUM(E16:E23)</f>
        <v>0</v>
      </c>
    </row>
    <row r="25" spans="1:5" x14ac:dyDescent="0.25">
      <c r="B25" s="9"/>
      <c r="C25" s="1"/>
      <c r="D25" s="12"/>
    </row>
    <row r="26" spans="1:5" x14ac:dyDescent="0.25">
      <c r="B26" s="1"/>
      <c r="C26" s="1"/>
      <c r="D26" s="1"/>
    </row>
    <row r="27" spans="1:5" x14ac:dyDescent="0.25">
      <c r="A27" s="11" t="s">
        <v>15</v>
      </c>
      <c r="B27" s="3" t="s">
        <v>3</v>
      </c>
      <c r="C27" s="3" t="s">
        <v>0</v>
      </c>
      <c r="D27" s="3" t="s">
        <v>1</v>
      </c>
      <c r="E27" s="3" t="s">
        <v>25</v>
      </c>
    </row>
    <row r="28" spans="1:5" x14ac:dyDescent="0.25">
      <c r="A28" s="11" t="str">
        <f t="shared" ref="A28" si="5">A4</f>
        <v>2025.10.01</v>
      </c>
      <c r="B28" s="5">
        <v>2.97</v>
      </c>
      <c r="C28" s="7">
        <f t="shared" ref="C28" si="6">B28/D28</f>
        <v>76.321008732459674</v>
      </c>
      <c r="D28" s="14">
        <v>3.8914579999999997E-2</v>
      </c>
      <c r="E28" s="5"/>
    </row>
    <row r="29" spans="1:5" x14ac:dyDescent="0.25">
      <c r="A29" s="11"/>
      <c r="B29" s="5"/>
      <c r="C29" s="7"/>
      <c r="D29" s="14"/>
      <c r="E29" s="6"/>
    </row>
    <row r="30" spans="1:5" x14ac:dyDescent="0.25">
      <c r="A30" s="11"/>
      <c r="B30" s="5"/>
      <c r="C30" s="7"/>
      <c r="D30" s="14"/>
      <c r="E30" s="6"/>
    </row>
    <row r="31" spans="1:5" x14ac:dyDescent="0.25">
      <c r="A31" s="11"/>
      <c r="B31" s="5"/>
      <c r="C31" s="7"/>
      <c r="D31" s="14"/>
      <c r="E31" s="6"/>
    </row>
    <row r="32" spans="1:5" x14ac:dyDescent="0.25">
      <c r="A32" s="11"/>
      <c r="B32" s="5"/>
      <c r="C32" s="7"/>
      <c r="D32" s="14"/>
      <c r="E32" s="6"/>
    </row>
    <row r="33" spans="1:5" x14ac:dyDescent="0.25">
      <c r="A33" s="11"/>
      <c r="B33" s="5"/>
      <c r="C33" s="7"/>
      <c r="D33" s="6"/>
      <c r="E33" s="6"/>
    </row>
    <row r="34" spans="1:5" x14ac:dyDescent="0.25">
      <c r="A34" s="11"/>
      <c r="B34" s="5"/>
      <c r="C34" s="7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SUM(B28:B35)</f>
        <v>2.97</v>
      </c>
      <c r="C36" s="6"/>
      <c r="D36" s="14">
        <f>SUM(D28:D35)</f>
        <v>3.8914579999999997E-2</v>
      </c>
      <c r="E36" s="5">
        <f>SUM(E28:E35)</f>
        <v>0</v>
      </c>
    </row>
    <row r="39" spans="1:5" x14ac:dyDescent="0.25">
      <c r="A39" s="11" t="s">
        <v>16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 t="str">
        <f t="shared" ref="A40" si="7">A4</f>
        <v>2025.10.01</v>
      </c>
      <c r="B40" s="5">
        <v>2.4500000000000002</v>
      </c>
      <c r="C40" s="7">
        <f t="shared" ref="C40" si="8">B40/D40</f>
        <v>4.3534000614202562</v>
      </c>
      <c r="D40" s="14">
        <v>0.56277851000000001</v>
      </c>
      <c r="E40" s="6"/>
    </row>
    <row r="41" spans="1:5" x14ac:dyDescent="0.25">
      <c r="A41" s="11"/>
      <c r="B41" s="5"/>
      <c r="C41" s="7"/>
      <c r="D41" s="14"/>
      <c r="E41" s="6"/>
    </row>
    <row r="42" spans="1:5" x14ac:dyDescent="0.25">
      <c r="A42" s="11"/>
      <c r="B42" s="5"/>
      <c r="C42" s="7"/>
      <c r="D42" s="14"/>
      <c r="E42" s="6"/>
    </row>
    <row r="43" spans="1:5" x14ac:dyDescent="0.25">
      <c r="A43" s="11"/>
      <c r="B43" s="5"/>
      <c r="C43" s="7"/>
      <c r="D43" s="14"/>
      <c r="E43" s="6"/>
    </row>
    <row r="44" spans="1:5" x14ac:dyDescent="0.25">
      <c r="A44" s="11"/>
      <c r="B44" s="5"/>
      <c r="C44" s="7"/>
      <c r="D44" s="14"/>
      <c r="E44" s="6"/>
    </row>
    <row r="45" spans="1:5" x14ac:dyDescent="0.25">
      <c r="A45" s="11"/>
      <c r="B45" s="5"/>
      <c r="C45" s="7"/>
      <c r="D45" s="6"/>
      <c r="E45" s="6"/>
    </row>
    <row r="46" spans="1:5" x14ac:dyDescent="0.25">
      <c r="A46" s="11"/>
      <c r="B46" s="5"/>
      <c r="C46" s="7"/>
      <c r="D46" s="6"/>
      <c r="E46" s="6"/>
    </row>
    <row r="47" spans="1:5" x14ac:dyDescent="0.25">
      <c r="A47" s="2"/>
      <c r="B47" s="6"/>
      <c r="C47" s="6"/>
      <c r="D47" s="6"/>
      <c r="E47" s="6"/>
    </row>
    <row r="48" spans="1:5" x14ac:dyDescent="0.25">
      <c r="A48" s="2" t="s">
        <v>2</v>
      </c>
      <c r="B48" s="5">
        <f>SUM(B40:B47)</f>
        <v>2.4500000000000002</v>
      </c>
      <c r="C48" s="6"/>
      <c r="D48" s="14">
        <f>SUM(D40:D47)</f>
        <v>0.56277851000000001</v>
      </c>
      <c r="E48" s="6">
        <f>SUM(E40:E47)</f>
        <v>0</v>
      </c>
    </row>
    <row r="51" spans="1:5" x14ac:dyDescent="0.25">
      <c r="A51" s="11" t="s">
        <v>17</v>
      </c>
      <c r="B51" s="3" t="s">
        <v>3</v>
      </c>
      <c r="C51" s="3" t="s">
        <v>0</v>
      </c>
      <c r="D51" s="3" t="s">
        <v>1</v>
      </c>
      <c r="E51" s="3" t="s">
        <v>25</v>
      </c>
    </row>
    <row r="52" spans="1:5" x14ac:dyDescent="0.25">
      <c r="A52" s="11" t="str">
        <f t="shared" ref="A52" si="9">A4</f>
        <v>2025.10.01</v>
      </c>
      <c r="B52" s="5">
        <v>2.2000000000000002</v>
      </c>
      <c r="C52" s="7">
        <f t="shared" ref="C52" si="10">B52/D52</f>
        <v>88.499918338711723</v>
      </c>
      <c r="D52" s="14">
        <v>2.485878E-2</v>
      </c>
      <c r="E52" s="6"/>
    </row>
    <row r="53" spans="1:5" x14ac:dyDescent="0.25">
      <c r="A53" s="11"/>
      <c r="B53" s="5"/>
      <c r="C53" s="7"/>
      <c r="D53" s="14"/>
      <c r="E53" s="5"/>
    </row>
    <row r="54" spans="1:5" x14ac:dyDescent="0.25">
      <c r="A54" s="17"/>
      <c r="B54" s="5"/>
      <c r="C54" s="7"/>
      <c r="D54" s="14"/>
      <c r="E54" s="5"/>
    </row>
    <row r="55" spans="1:5" x14ac:dyDescent="0.25">
      <c r="A55" s="11"/>
      <c r="B55" s="5"/>
      <c r="C55" s="7"/>
      <c r="D55" s="14"/>
      <c r="E55" s="5"/>
    </row>
    <row r="56" spans="1:5" x14ac:dyDescent="0.25">
      <c r="A56" s="11"/>
      <c r="B56" s="5"/>
      <c r="C56" s="7"/>
      <c r="D56" s="14"/>
      <c r="E56" s="6"/>
    </row>
    <row r="57" spans="1:5" x14ac:dyDescent="0.25">
      <c r="A57" s="11"/>
      <c r="B57" s="5"/>
      <c r="C57" s="7"/>
      <c r="D57" s="14"/>
      <c r="E57" s="6"/>
    </row>
    <row r="58" spans="1:5" x14ac:dyDescent="0.25">
      <c r="A58" s="11"/>
      <c r="B58" s="5"/>
      <c r="C58" s="7"/>
      <c r="D58" s="14"/>
      <c r="E58" s="6"/>
    </row>
    <row r="59" spans="1:5" x14ac:dyDescent="0.25">
      <c r="A59" s="2"/>
      <c r="B59" s="6"/>
      <c r="C59" s="6"/>
      <c r="D59" s="6"/>
      <c r="E59" s="6"/>
    </row>
    <row r="60" spans="1:5" x14ac:dyDescent="0.25">
      <c r="A60" s="2" t="s">
        <v>2</v>
      </c>
      <c r="B60" s="5">
        <f>SUM(B52:B59)</f>
        <v>2.2000000000000002</v>
      </c>
      <c r="C60" s="6"/>
      <c r="D60" s="14">
        <f>SUM(D52:D59)</f>
        <v>2.485878E-2</v>
      </c>
      <c r="E60" s="5">
        <f>SUM(E52:E59)</f>
        <v>0</v>
      </c>
    </row>
    <row r="63" spans="1:5" x14ac:dyDescent="0.25">
      <c r="A63" s="11" t="s">
        <v>18</v>
      </c>
      <c r="B63" s="3" t="s">
        <v>3</v>
      </c>
      <c r="C63" s="3" t="s">
        <v>0</v>
      </c>
      <c r="D63" s="3" t="s">
        <v>1</v>
      </c>
      <c r="E63" s="3" t="s">
        <v>25</v>
      </c>
    </row>
    <row r="64" spans="1:5" x14ac:dyDescent="0.25">
      <c r="A64" s="11" t="str">
        <f t="shared" ref="A64" si="11">A4</f>
        <v>2025.10.01</v>
      </c>
      <c r="B64" s="5">
        <v>2.95</v>
      </c>
      <c r="C64" s="7">
        <f t="shared" ref="C64" si="12">B64/D64</f>
        <v>65.750000222881368</v>
      </c>
      <c r="D64" s="14">
        <v>4.4866919999999998E-2</v>
      </c>
      <c r="E64" s="6"/>
    </row>
    <row r="65" spans="1:5" x14ac:dyDescent="0.25">
      <c r="A65" s="11"/>
      <c r="B65" s="5"/>
      <c r="C65" s="7"/>
      <c r="D65" s="14"/>
      <c r="E65" s="6"/>
    </row>
    <row r="66" spans="1:5" x14ac:dyDescent="0.25">
      <c r="A66" s="11"/>
      <c r="B66" s="5"/>
      <c r="C66" s="7"/>
      <c r="D66" s="14"/>
      <c r="E66" s="6"/>
    </row>
    <row r="67" spans="1:5" x14ac:dyDescent="0.25">
      <c r="A67" s="11"/>
      <c r="B67" s="5"/>
      <c r="C67" s="7"/>
      <c r="D67" s="14"/>
      <c r="E67" s="6"/>
    </row>
    <row r="68" spans="1:5" x14ac:dyDescent="0.25">
      <c r="A68" s="11"/>
      <c r="B68" s="5"/>
      <c r="C68" s="7"/>
      <c r="D68" s="14"/>
      <c r="E68" s="6"/>
    </row>
    <row r="69" spans="1:5" x14ac:dyDescent="0.25">
      <c r="A69" s="11"/>
      <c r="B69" s="5"/>
      <c r="C69" s="7"/>
      <c r="D69" s="6"/>
      <c r="E69" s="6"/>
    </row>
    <row r="70" spans="1:5" x14ac:dyDescent="0.25">
      <c r="A70" s="11"/>
      <c r="B70" s="5"/>
      <c r="C70" s="7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SUM(B64:B71)</f>
        <v>2.95</v>
      </c>
      <c r="C72" s="6"/>
      <c r="D72" s="14">
        <f>SUM(D64:D71)</f>
        <v>4.4866919999999998E-2</v>
      </c>
      <c r="E72" s="6">
        <f>SUM(E64:E71)</f>
        <v>0</v>
      </c>
    </row>
    <row r="75" spans="1:5" x14ac:dyDescent="0.25">
      <c r="A75" s="15" t="s">
        <v>19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 t="str">
        <f t="shared" ref="A76" si="13">A4</f>
        <v>2025.10.01</v>
      </c>
      <c r="B76" s="5">
        <v>2.71</v>
      </c>
      <c r="C76" s="7">
        <f t="shared" ref="C76" si="14">B76/D76</f>
        <v>108.97990386444349</v>
      </c>
      <c r="D76" s="14">
        <v>2.4866969999999999E-2</v>
      </c>
      <c r="E76" s="5"/>
    </row>
    <row r="77" spans="1:5" x14ac:dyDescent="0.25">
      <c r="A77" s="11"/>
      <c r="B77" s="5"/>
      <c r="C77" s="7"/>
      <c r="D77" s="14"/>
      <c r="E77" s="6"/>
    </row>
    <row r="78" spans="1:5" x14ac:dyDescent="0.25">
      <c r="A78" s="17"/>
      <c r="B78" s="5"/>
      <c r="C78" s="7"/>
      <c r="D78" s="14"/>
      <c r="E78" s="6"/>
    </row>
    <row r="79" spans="1:5" x14ac:dyDescent="0.25">
      <c r="A79" s="11"/>
      <c r="B79" s="5"/>
      <c r="C79" s="7"/>
      <c r="D79" s="14"/>
      <c r="E79" s="6"/>
    </row>
    <row r="80" spans="1:5" x14ac:dyDescent="0.25">
      <c r="A80" s="11"/>
      <c r="B80" s="5"/>
      <c r="C80" s="7"/>
      <c r="D80" s="14"/>
      <c r="E80" s="6"/>
    </row>
    <row r="81" spans="1:5" x14ac:dyDescent="0.25">
      <c r="A81" s="11"/>
      <c r="B81" s="5"/>
      <c r="C81" s="7"/>
      <c r="D81" s="6"/>
      <c r="E81" s="6"/>
    </row>
    <row r="82" spans="1:5" x14ac:dyDescent="0.25">
      <c r="A82" s="11"/>
      <c r="B82" s="5"/>
      <c r="C82" s="7"/>
      <c r="D82" s="6"/>
      <c r="E82" s="6"/>
    </row>
    <row r="83" spans="1:5" x14ac:dyDescent="0.25">
      <c r="A83" s="2"/>
      <c r="B83" s="6"/>
      <c r="C83" s="6"/>
      <c r="D83" s="6"/>
      <c r="E83" s="6"/>
    </row>
    <row r="84" spans="1:5" x14ac:dyDescent="0.25">
      <c r="A84" s="2" t="s">
        <v>2</v>
      </c>
      <c r="B84" s="5">
        <f>SUM(B76:B83)</f>
        <v>2.71</v>
      </c>
      <c r="C84" s="6"/>
      <c r="D84" s="14">
        <f>SUM(D76:D83)</f>
        <v>2.4866969999999999E-2</v>
      </c>
      <c r="E84" s="5">
        <f>SUM(E76:E83)</f>
        <v>0</v>
      </c>
    </row>
    <row r="87" spans="1:5" x14ac:dyDescent="0.25">
      <c r="A87" s="15" t="s">
        <v>20</v>
      </c>
      <c r="B87" s="3" t="s">
        <v>3</v>
      </c>
      <c r="C87" s="3" t="s">
        <v>0</v>
      </c>
      <c r="D87" s="3" t="s">
        <v>1</v>
      </c>
      <c r="E87" s="3" t="s">
        <v>25</v>
      </c>
    </row>
    <row r="88" spans="1:5" x14ac:dyDescent="0.25">
      <c r="A88" s="11" t="str">
        <f t="shared" ref="A88" si="15">A4</f>
        <v>2025.10.01</v>
      </c>
      <c r="B88" s="5">
        <v>1.08</v>
      </c>
      <c r="C88" s="7">
        <f t="shared" ref="C88" si="16">B88/D88</f>
        <v>94.560081111536249</v>
      </c>
      <c r="D88" s="14">
        <v>1.142131E-2</v>
      </c>
      <c r="E88" s="6"/>
    </row>
    <row r="89" spans="1:5" x14ac:dyDescent="0.25">
      <c r="A89" s="11"/>
      <c r="B89" s="5"/>
      <c r="C89" s="7"/>
      <c r="D89" s="14"/>
      <c r="E89" s="6"/>
    </row>
    <row r="90" spans="1:5" x14ac:dyDescent="0.25">
      <c r="A90" s="11"/>
      <c r="B90" s="5"/>
      <c r="C90" s="7"/>
      <c r="D90" s="14"/>
      <c r="E90" s="6"/>
    </row>
    <row r="91" spans="1:5" x14ac:dyDescent="0.25">
      <c r="A91" s="11"/>
      <c r="B91" s="5"/>
      <c r="C91" s="7"/>
      <c r="D91" s="14"/>
      <c r="E91" s="6"/>
    </row>
    <row r="92" spans="1:5" x14ac:dyDescent="0.25">
      <c r="A92" s="11"/>
      <c r="B92" s="5"/>
      <c r="C92" s="7"/>
      <c r="D92" s="14"/>
      <c r="E92" s="6"/>
    </row>
    <row r="93" spans="1:5" x14ac:dyDescent="0.25">
      <c r="A93" s="11"/>
      <c r="B93" s="5"/>
      <c r="C93" s="6"/>
      <c r="D93" s="14"/>
      <c r="E93" s="6"/>
    </row>
    <row r="94" spans="1:5" x14ac:dyDescent="0.25">
      <c r="A94" s="11"/>
      <c r="B94" s="5"/>
      <c r="C94" s="7"/>
      <c r="D94" s="14"/>
      <c r="E94" s="6"/>
    </row>
    <row r="95" spans="1:5" x14ac:dyDescent="0.25">
      <c r="A95" s="2"/>
      <c r="B95" s="6"/>
      <c r="C95" s="6"/>
      <c r="D95" s="6"/>
      <c r="E95" s="6"/>
    </row>
    <row r="96" spans="1:5" x14ac:dyDescent="0.25">
      <c r="A96" s="2" t="s">
        <v>2</v>
      </c>
      <c r="B96" s="5">
        <f>SUM(B88:B95)</f>
        <v>1.08</v>
      </c>
      <c r="C96" s="6"/>
      <c r="D96" s="14">
        <f>SUM(D88:D95)</f>
        <v>1.142131E-2</v>
      </c>
      <c r="E96" s="6">
        <f>SUM(E88:E95)</f>
        <v>0</v>
      </c>
    </row>
    <row r="99" spans="1:5" x14ac:dyDescent="0.25">
      <c r="A99" s="15" t="s">
        <v>21</v>
      </c>
      <c r="B99" s="3" t="s">
        <v>3</v>
      </c>
      <c r="C99" s="3" t="s">
        <v>0</v>
      </c>
      <c r="D99" s="3" t="s">
        <v>1</v>
      </c>
      <c r="E99" s="3" t="s">
        <v>25</v>
      </c>
    </row>
    <row r="100" spans="1:5" x14ac:dyDescent="0.25">
      <c r="A100" s="11" t="str">
        <f t="shared" ref="A100" si="17">A4</f>
        <v>2025.10.01</v>
      </c>
      <c r="B100" s="5">
        <v>0.84</v>
      </c>
      <c r="C100" s="7">
        <f t="shared" ref="C100" si="18">B100/D100</f>
        <v>82.261969116506449</v>
      </c>
      <c r="D100" s="14">
        <v>1.021128E-2</v>
      </c>
      <c r="E100" s="6"/>
    </row>
    <row r="101" spans="1:5" x14ac:dyDescent="0.25">
      <c r="A101" s="11"/>
      <c r="B101" s="5"/>
      <c r="C101" s="7"/>
      <c r="D101" s="14"/>
      <c r="E101" s="6"/>
    </row>
    <row r="102" spans="1:5" x14ac:dyDescent="0.25">
      <c r="A102" s="11"/>
      <c r="B102" s="5"/>
      <c r="C102" s="7"/>
      <c r="D102" s="14"/>
      <c r="E102" s="6"/>
    </row>
    <row r="103" spans="1:5" x14ac:dyDescent="0.25">
      <c r="A103" s="11"/>
      <c r="B103" s="5"/>
      <c r="C103" s="7"/>
      <c r="D103" s="14"/>
      <c r="E103" s="6"/>
    </row>
    <row r="104" spans="1:5" x14ac:dyDescent="0.25">
      <c r="A104" s="11"/>
      <c r="B104" s="5"/>
      <c r="C104" s="7"/>
      <c r="D104" s="14"/>
      <c r="E104" s="6"/>
    </row>
    <row r="105" spans="1:5" x14ac:dyDescent="0.25">
      <c r="A105" s="11"/>
      <c r="B105" s="5"/>
      <c r="C105" s="7"/>
      <c r="D105" s="6"/>
      <c r="E105" s="6"/>
    </row>
    <row r="106" spans="1:5" x14ac:dyDescent="0.25">
      <c r="A106" s="11"/>
      <c r="B106" s="5"/>
      <c r="C106" s="7"/>
      <c r="D106" s="14"/>
      <c r="E106" s="6"/>
    </row>
    <row r="107" spans="1:5" x14ac:dyDescent="0.25">
      <c r="A107" s="2"/>
      <c r="B107" s="6"/>
      <c r="C107" s="6"/>
      <c r="D107" s="6"/>
      <c r="E107" s="6"/>
    </row>
    <row r="108" spans="1:5" x14ac:dyDescent="0.25">
      <c r="A108" s="2" t="s">
        <v>2</v>
      </c>
      <c r="B108" s="5">
        <f>SUM(B100:B107)</f>
        <v>0.84</v>
      </c>
      <c r="C108" s="6"/>
      <c r="D108" s="14">
        <f>SUM(D100:D107)</f>
        <v>1.021128E-2</v>
      </c>
      <c r="E108" s="6">
        <f>SUM(E100:E107)</f>
        <v>0</v>
      </c>
    </row>
  </sheetData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8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21" t="s">
        <v>98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 t="s">
        <v>86</v>
      </c>
      <c r="B4" s="5">
        <v>15</v>
      </c>
      <c r="C4" s="5">
        <f t="shared" ref="C4:C5" si="0">B16+B28+B40+B52+B64+B76+B88+B100</f>
        <v>2.3899999999999997</v>
      </c>
      <c r="D4" s="5">
        <f t="shared" ref="D4:D5" si="1">B4-C4</f>
        <v>12.61</v>
      </c>
      <c r="E4" s="6"/>
      <c r="F4" s="5"/>
    </row>
    <row r="5" spans="1:6" x14ac:dyDescent="0.25">
      <c r="A5" s="10" t="s">
        <v>87</v>
      </c>
      <c r="B5" s="5">
        <v>0</v>
      </c>
      <c r="C5" s="5">
        <f t="shared" si="0"/>
        <v>14.700000000000001</v>
      </c>
      <c r="D5" s="5">
        <f t="shared" si="1"/>
        <v>-14.700000000000001</v>
      </c>
      <c r="E5" s="6"/>
      <c r="F5" s="6"/>
    </row>
    <row r="6" spans="1:6" x14ac:dyDescent="0.25">
      <c r="A6" s="10"/>
      <c r="B6" s="5"/>
      <c r="C6" s="5"/>
      <c r="D6" s="5"/>
      <c r="E6" s="6"/>
      <c r="F6" s="2"/>
    </row>
    <row r="7" spans="1:6" x14ac:dyDescent="0.25">
      <c r="A7" s="10"/>
      <c r="B7" s="5"/>
      <c r="C7" s="5"/>
      <c r="D7" s="5"/>
      <c r="E7" s="6"/>
      <c r="F7" s="2"/>
    </row>
    <row r="8" spans="1:6" x14ac:dyDescent="0.25">
      <c r="A8" s="10"/>
      <c r="B8" s="5"/>
      <c r="C8" s="5"/>
      <c r="D8" s="5"/>
      <c r="E8" s="6"/>
      <c r="F8" s="2"/>
    </row>
    <row r="9" spans="1:6" x14ac:dyDescent="0.25">
      <c r="A9" s="10"/>
      <c r="B9" s="5"/>
      <c r="C9" s="5"/>
      <c r="D9" s="5"/>
      <c r="E9" s="6"/>
      <c r="F9" s="2"/>
    </row>
    <row r="10" spans="1:6" x14ac:dyDescent="0.25">
      <c r="A10" s="10"/>
      <c r="B10" s="5"/>
      <c r="C10" s="5"/>
      <c r="D10" s="5"/>
      <c r="E10" s="6"/>
      <c r="F10" s="2"/>
    </row>
    <row r="11" spans="1:6" x14ac:dyDescent="0.25">
      <c r="A11" s="2"/>
      <c r="B11" s="5"/>
      <c r="C11" s="2"/>
      <c r="D11" s="2"/>
      <c r="E11" s="6"/>
      <c r="F11" s="2"/>
    </row>
    <row r="12" spans="1:6" x14ac:dyDescent="0.25">
      <c r="A12" s="2" t="s">
        <v>2</v>
      </c>
      <c r="B12" s="5">
        <f>SUM(B4:B11)</f>
        <v>15</v>
      </c>
      <c r="C12" s="5">
        <f t="shared" ref="C12:D12" si="2">SUM(C4:C11)</f>
        <v>17.09</v>
      </c>
      <c r="D12" s="5">
        <f t="shared" si="2"/>
        <v>-2.0900000000000016</v>
      </c>
      <c r="E12" s="5">
        <f>E24+E36+E48+E60+E72+E84+E96+E108</f>
        <v>1.04</v>
      </c>
      <c r="F12" s="5">
        <v>0.16</v>
      </c>
    </row>
    <row r="15" spans="1:6" x14ac:dyDescent="0.25">
      <c r="A15" s="11" t="s">
        <v>14</v>
      </c>
      <c r="B15" s="3" t="s">
        <v>3</v>
      </c>
      <c r="C15" s="3" t="s">
        <v>0</v>
      </c>
      <c r="D15" s="3" t="s">
        <v>1</v>
      </c>
      <c r="E15" s="3" t="s">
        <v>25</v>
      </c>
    </row>
    <row r="16" spans="1:6" x14ac:dyDescent="0.25">
      <c r="A16" s="11" t="str">
        <f t="shared" ref="A16:A17" si="3">A4</f>
        <v>2025.09.01</v>
      </c>
      <c r="B16" s="5">
        <v>0.73</v>
      </c>
      <c r="C16" s="7">
        <f t="shared" ref="C16:C17" si="4">B16/D16</f>
        <v>91.840072465591419</v>
      </c>
      <c r="D16" s="14">
        <v>7.9486000000000001E-3</v>
      </c>
      <c r="E16" s="6"/>
    </row>
    <row r="17" spans="1:5" x14ac:dyDescent="0.25">
      <c r="A17" s="11" t="str">
        <f t="shared" si="3"/>
        <v>2025.09.02</v>
      </c>
      <c r="B17" s="5">
        <v>1.39</v>
      </c>
      <c r="C17" s="7">
        <f t="shared" si="4"/>
        <v>91.710008992859144</v>
      </c>
      <c r="D17" s="14">
        <v>1.515647E-2</v>
      </c>
      <c r="E17" s="6"/>
    </row>
    <row r="18" spans="1:5" ht="15" customHeight="1" x14ac:dyDescent="0.25">
      <c r="A18" s="11"/>
      <c r="B18" s="5"/>
      <c r="C18" s="7"/>
      <c r="D18" s="14"/>
      <c r="E18" s="6"/>
    </row>
    <row r="19" spans="1:5" ht="15" customHeight="1" x14ac:dyDescent="0.25">
      <c r="A19" s="11"/>
      <c r="B19" s="5"/>
      <c r="C19" s="7"/>
      <c r="D19" s="6"/>
      <c r="E19" s="6"/>
    </row>
    <row r="20" spans="1:5" ht="15" customHeight="1" x14ac:dyDescent="0.25">
      <c r="A20" s="11"/>
      <c r="B20" s="5"/>
      <c r="C20" s="7"/>
      <c r="D20" s="6"/>
      <c r="E20" s="6"/>
    </row>
    <row r="21" spans="1:5" ht="15" customHeight="1" x14ac:dyDescent="0.25">
      <c r="A21" s="11"/>
      <c r="B21" s="5"/>
      <c r="C21" s="6"/>
      <c r="D21" s="14"/>
      <c r="E21" s="6"/>
    </row>
    <row r="22" spans="1:5" ht="15" customHeight="1" x14ac:dyDescent="0.25">
      <c r="A22" s="11"/>
      <c r="B22" s="5"/>
      <c r="C22" s="6"/>
      <c r="D22" s="14"/>
      <c r="E22" s="6"/>
    </row>
    <row r="23" spans="1:5" x14ac:dyDescent="0.25">
      <c r="A23" s="2"/>
      <c r="B23" s="6"/>
      <c r="C23" s="6"/>
      <c r="D23" s="6"/>
      <c r="E23" s="6"/>
    </row>
    <row r="24" spans="1:5" x14ac:dyDescent="0.25">
      <c r="A24" s="2" t="s">
        <v>2</v>
      </c>
      <c r="B24" s="5">
        <f>SUM(B16:B23)</f>
        <v>2.12</v>
      </c>
      <c r="C24" s="6"/>
      <c r="D24" s="14">
        <f>SUM(D16:D23)</f>
        <v>2.3105069999999998E-2</v>
      </c>
      <c r="E24" s="6">
        <f>SUM(E16:E23)</f>
        <v>0</v>
      </c>
    </row>
    <row r="25" spans="1:5" x14ac:dyDescent="0.25">
      <c r="B25" s="9"/>
      <c r="C25" s="1"/>
      <c r="D25" s="12"/>
    </row>
    <row r="26" spans="1:5" x14ac:dyDescent="0.25">
      <c r="B26" s="1"/>
      <c r="C26" s="1"/>
      <c r="D26" s="1"/>
    </row>
    <row r="27" spans="1:5" x14ac:dyDescent="0.25">
      <c r="A27" s="11" t="s">
        <v>15</v>
      </c>
      <c r="B27" s="3" t="s">
        <v>3</v>
      </c>
      <c r="C27" s="3" t="s">
        <v>0</v>
      </c>
      <c r="D27" s="3" t="s">
        <v>1</v>
      </c>
      <c r="E27" s="3" t="s">
        <v>25</v>
      </c>
    </row>
    <row r="28" spans="1:5" x14ac:dyDescent="0.25">
      <c r="A28" s="11" t="str">
        <f t="shared" ref="A28:A29" si="5">A4</f>
        <v>2025.09.01</v>
      </c>
      <c r="B28" s="5">
        <v>0</v>
      </c>
      <c r="C28" s="7" t="e">
        <f t="shared" ref="C28:C29" si="6">B28/D28</f>
        <v>#DIV/0!</v>
      </c>
      <c r="D28" s="14">
        <v>0</v>
      </c>
      <c r="E28" s="5"/>
    </row>
    <row r="29" spans="1:5" x14ac:dyDescent="0.25">
      <c r="A29" s="11" t="str">
        <f t="shared" si="5"/>
        <v>2025.09.02</v>
      </c>
      <c r="B29" s="5">
        <v>2.38</v>
      </c>
      <c r="C29" s="7">
        <f t="shared" si="6"/>
        <v>76.249913898469075</v>
      </c>
      <c r="D29" s="14">
        <v>3.1213149999999999E-2</v>
      </c>
      <c r="E29" s="6"/>
    </row>
    <row r="30" spans="1:5" x14ac:dyDescent="0.25">
      <c r="A30" s="11"/>
      <c r="B30" s="5"/>
      <c r="C30" s="7"/>
      <c r="D30" s="14"/>
      <c r="E30" s="6"/>
    </row>
    <row r="31" spans="1:5" x14ac:dyDescent="0.25">
      <c r="A31" s="11"/>
      <c r="B31" s="5"/>
      <c r="C31" s="7"/>
      <c r="D31" s="14"/>
      <c r="E31" s="6"/>
    </row>
    <row r="32" spans="1:5" x14ac:dyDescent="0.25">
      <c r="A32" s="11"/>
      <c r="B32" s="5"/>
      <c r="C32" s="7"/>
      <c r="D32" s="14"/>
      <c r="E32" s="6"/>
    </row>
    <row r="33" spans="1:5" x14ac:dyDescent="0.25">
      <c r="A33" s="11"/>
      <c r="B33" s="5"/>
      <c r="C33" s="7"/>
      <c r="D33" s="6"/>
      <c r="E33" s="6"/>
    </row>
    <row r="34" spans="1:5" x14ac:dyDescent="0.25">
      <c r="A34" s="11"/>
      <c r="B34" s="5"/>
      <c r="C34" s="7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SUM(B28:B35)</f>
        <v>2.38</v>
      </c>
      <c r="C36" s="6"/>
      <c r="D36" s="14">
        <f>SUM(D28:D35)</f>
        <v>3.1213149999999999E-2</v>
      </c>
      <c r="E36" s="5">
        <f>SUM(E28:E35)</f>
        <v>0</v>
      </c>
    </row>
    <row r="39" spans="1:5" x14ac:dyDescent="0.25">
      <c r="A39" s="11" t="s">
        <v>16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 t="str">
        <f t="shared" ref="A40:A41" si="7">A4</f>
        <v>2025.09.01</v>
      </c>
      <c r="B40" s="5">
        <v>0.3</v>
      </c>
      <c r="C40" s="7">
        <f t="shared" ref="C40:C41" si="8">B40/D40</f>
        <v>4.3354004522689751</v>
      </c>
      <c r="D40" s="14">
        <v>6.9197759999999997E-2</v>
      </c>
      <c r="E40" s="6"/>
    </row>
    <row r="41" spans="1:5" x14ac:dyDescent="0.25">
      <c r="A41" s="11" t="str">
        <f t="shared" si="7"/>
        <v>2025.09.02</v>
      </c>
      <c r="B41" s="5">
        <v>1.8</v>
      </c>
      <c r="C41" s="7">
        <f t="shared" si="8"/>
        <v>4.3720000792789353</v>
      </c>
      <c r="D41" s="14">
        <v>0.41171088</v>
      </c>
      <c r="E41" s="6"/>
    </row>
    <row r="42" spans="1:5" x14ac:dyDescent="0.25">
      <c r="A42" s="11"/>
      <c r="B42" s="5"/>
      <c r="C42" s="7"/>
      <c r="D42" s="14"/>
      <c r="E42" s="6"/>
    </row>
    <row r="43" spans="1:5" x14ac:dyDescent="0.25">
      <c r="A43" s="11"/>
      <c r="B43" s="5"/>
      <c r="C43" s="7"/>
      <c r="D43" s="14"/>
      <c r="E43" s="6"/>
    </row>
    <row r="44" spans="1:5" x14ac:dyDescent="0.25">
      <c r="A44" s="11"/>
      <c r="B44" s="5"/>
      <c r="C44" s="7"/>
      <c r="D44" s="14"/>
      <c r="E44" s="6"/>
    </row>
    <row r="45" spans="1:5" x14ac:dyDescent="0.25">
      <c r="A45" s="11"/>
      <c r="B45" s="5"/>
      <c r="C45" s="7"/>
      <c r="D45" s="6"/>
      <c r="E45" s="6"/>
    </row>
    <row r="46" spans="1:5" x14ac:dyDescent="0.25">
      <c r="A46" s="11"/>
      <c r="B46" s="5"/>
      <c r="C46" s="7"/>
      <c r="D46" s="6"/>
      <c r="E46" s="6"/>
    </row>
    <row r="47" spans="1:5" x14ac:dyDescent="0.25">
      <c r="A47" s="2"/>
      <c r="B47" s="6"/>
      <c r="C47" s="6"/>
      <c r="D47" s="6"/>
      <c r="E47" s="6"/>
    </row>
    <row r="48" spans="1:5" x14ac:dyDescent="0.25">
      <c r="A48" s="2" t="s">
        <v>2</v>
      </c>
      <c r="B48" s="5">
        <f>SUM(B40:B47)</f>
        <v>2.1</v>
      </c>
      <c r="C48" s="6"/>
      <c r="D48" s="14">
        <f>SUM(D40:D47)</f>
        <v>0.48090864</v>
      </c>
      <c r="E48" s="6">
        <f>SUM(E40:E47)</f>
        <v>0</v>
      </c>
    </row>
    <row r="51" spans="1:5" x14ac:dyDescent="0.25">
      <c r="A51" s="11" t="s">
        <v>17</v>
      </c>
      <c r="B51" s="3" t="s">
        <v>3</v>
      </c>
      <c r="C51" s="3" t="s">
        <v>0</v>
      </c>
      <c r="D51" s="3" t="s">
        <v>1</v>
      </c>
      <c r="E51" s="3" t="s">
        <v>25</v>
      </c>
    </row>
    <row r="52" spans="1:5" x14ac:dyDescent="0.25">
      <c r="A52" s="11" t="str">
        <f t="shared" ref="A52:A53" si="9">A4</f>
        <v>2025.09.01</v>
      </c>
      <c r="B52" s="5">
        <v>0.26</v>
      </c>
      <c r="C52" s="7">
        <f t="shared" ref="C52:C53" si="10">B52/D52</f>
        <v>87.766083134734444</v>
      </c>
      <c r="D52" s="14">
        <v>2.9624199999999999E-3</v>
      </c>
      <c r="E52" s="6"/>
    </row>
    <row r="53" spans="1:5" x14ac:dyDescent="0.25">
      <c r="A53" s="11" t="str">
        <f t="shared" si="9"/>
        <v>2025.09.02</v>
      </c>
      <c r="B53" s="5">
        <v>1.83</v>
      </c>
      <c r="C53" s="7">
        <f t="shared" si="10"/>
        <v>88.381929710768929</v>
      </c>
      <c r="D53" s="14">
        <v>2.0705589999999999E-2</v>
      </c>
      <c r="E53" s="5"/>
    </row>
    <row r="54" spans="1:5" x14ac:dyDescent="0.25">
      <c r="A54" s="17">
        <v>45927</v>
      </c>
      <c r="B54" s="5"/>
      <c r="C54" s="7"/>
      <c r="D54" s="14"/>
      <c r="E54" s="5">
        <v>0.42</v>
      </c>
    </row>
    <row r="55" spans="1:5" x14ac:dyDescent="0.25">
      <c r="A55" s="11"/>
      <c r="B55" s="5"/>
      <c r="C55" s="7"/>
      <c r="D55" s="14"/>
      <c r="E55" s="5"/>
    </row>
    <row r="56" spans="1:5" x14ac:dyDescent="0.25">
      <c r="A56" s="11"/>
      <c r="B56" s="5"/>
      <c r="C56" s="7"/>
      <c r="D56" s="14"/>
      <c r="E56" s="6"/>
    </row>
    <row r="57" spans="1:5" x14ac:dyDescent="0.25">
      <c r="A57" s="11"/>
      <c r="B57" s="5"/>
      <c r="C57" s="7"/>
      <c r="D57" s="14"/>
      <c r="E57" s="6"/>
    </row>
    <row r="58" spans="1:5" x14ac:dyDescent="0.25">
      <c r="A58" s="11"/>
      <c r="B58" s="5"/>
      <c r="C58" s="7"/>
      <c r="D58" s="14"/>
      <c r="E58" s="6"/>
    </row>
    <row r="59" spans="1:5" x14ac:dyDescent="0.25">
      <c r="A59" s="2"/>
      <c r="B59" s="6"/>
      <c r="C59" s="6"/>
      <c r="D59" s="6"/>
      <c r="E59" s="6"/>
    </row>
    <row r="60" spans="1:5" x14ac:dyDescent="0.25">
      <c r="A60" s="2" t="s">
        <v>2</v>
      </c>
      <c r="B60" s="5">
        <f>SUM(B52:B59)</f>
        <v>2.09</v>
      </c>
      <c r="C60" s="6"/>
      <c r="D60" s="14">
        <f>SUM(D52:D59)</f>
        <v>2.366801E-2</v>
      </c>
      <c r="E60" s="5">
        <f>SUM(E52:E59)</f>
        <v>0.42</v>
      </c>
    </row>
    <row r="63" spans="1:5" x14ac:dyDescent="0.25">
      <c r="A63" s="11" t="s">
        <v>18</v>
      </c>
      <c r="B63" s="3" t="s">
        <v>3</v>
      </c>
      <c r="C63" s="3" t="s">
        <v>0</v>
      </c>
      <c r="D63" s="3" t="s">
        <v>1</v>
      </c>
      <c r="E63" s="3" t="s">
        <v>25</v>
      </c>
    </row>
    <row r="64" spans="1:5" x14ac:dyDescent="0.25">
      <c r="A64" s="11" t="str">
        <f t="shared" ref="A64:A65" si="11">A4</f>
        <v>2025.09.01</v>
      </c>
      <c r="B64" s="5">
        <v>0.77</v>
      </c>
      <c r="C64" s="7">
        <f t="shared" ref="C64:C65" si="12">B64/D64</f>
        <v>64.060060050066681</v>
      </c>
      <c r="D64" s="14">
        <v>1.201997E-2</v>
      </c>
      <c r="E64" s="6"/>
    </row>
    <row r="65" spans="1:5" x14ac:dyDescent="0.25">
      <c r="A65" s="11" t="str">
        <f t="shared" si="11"/>
        <v>2025.09.02</v>
      </c>
      <c r="B65" s="5">
        <v>2.83</v>
      </c>
      <c r="C65" s="7">
        <f t="shared" si="12"/>
        <v>64.080008079062509</v>
      </c>
      <c r="D65" s="14">
        <v>4.4163540000000001E-2</v>
      </c>
      <c r="E65" s="6"/>
    </row>
    <row r="66" spans="1:5" x14ac:dyDescent="0.25">
      <c r="A66" s="11"/>
      <c r="B66" s="5"/>
      <c r="C66" s="7"/>
      <c r="D66" s="14"/>
      <c r="E66" s="6"/>
    </row>
    <row r="67" spans="1:5" x14ac:dyDescent="0.25">
      <c r="A67" s="11"/>
      <c r="B67" s="5"/>
      <c r="C67" s="7"/>
      <c r="D67" s="14"/>
      <c r="E67" s="6"/>
    </row>
    <row r="68" spans="1:5" x14ac:dyDescent="0.25">
      <c r="A68" s="11"/>
      <c r="B68" s="5"/>
      <c r="C68" s="7"/>
      <c r="D68" s="14"/>
      <c r="E68" s="6"/>
    </row>
    <row r="69" spans="1:5" x14ac:dyDescent="0.25">
      <c r="A69" s="11"/>
      <c r="B69" s="5"/>
      <c r="C69" s="7"/>
      <c r="D69" s="6"/>
      <c r="E69" s="6"/>
    </row>
    <row r="70" spans="1:5" x14ac:dyDescent="0.25">
      <c r="A70" s="11"/>
      <c r="B70" s="5"/>
      <c r="C70" s="7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SUM(B64:B71)</f>
        <v>3.6</v>
      </c>
      <c r="C72" s="6"/>
      <c r="D72" s="14">
        <f>SUM(D64:D71)</f>
        <v>5.6183509999999999E-2</v>
      </c>
      <c r="E72" s="6">
        <f>SUM(E64:E71)</f>
        <v>0</v>
      </c>
    </row>
    <row r="75" spans="1:5" x14ac:dyDescent="0.25">
      <c r="A75" s="15" t="s">
        <v>19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 t="str">
        <f t="shared" ref="A76:A77" si="13">A4</f>
        <v>2025.09.01</v>
      </c>
      <c r="B76" s="5">
        <v>7.0000000000000007E-2</v>
      </c>
      <c r="C76" s="7">
        <f t="shared" ref="C76:C77" si="14">B76/D76</f>
        <v>110.80157021653794</v>
      </c>
      <c r="D76" s="14">
        <v>6.3175999999999998E-4</v>
      </c>
      <c r="E76" s="5"/>
    </row>
    <row r="77" spans="1:5" x14ac:dyDescent="0.25">
      <c r="A77" s="11" t="str">
        <f t="shared" si="13"/>
        <v>2025.09.02</v>
      </c>
      <c r="B77" s="5">
        <v>1.61</v>
      </c>
      <c r="C77" s="7">
        <f t="shared" si="14"/>
        <v>111.65993239372541</v>
      </c>
      <c r="D77" s="14">
        <v>1.4418780000000001E-2</v>
      </c>
      <c r="E77" s="6"/>
    </row>
    <row r="78" spans="1:5" x14ac:dyDescent="0.25">
      <c r="A78" s="17">
        <v>45927</v>
      </c>
      <c r="B78" s="5"/>
      <c r="C78" s="7"/>
      <c r="D78" s="14"/>
      <c r="E78" s="6">
        <v>0.62</v>
      </c>
    </row>
    <row r="79" spans="1:5" x14ac:dyDescent="0.25">
      <c r="A79" s="11"/>
      <c r="B79" s="5"/>
      <c r="C79" s="7"/>
      <c r="D79" s="14"/>
      <c r="E79" s="6"/>
    </row>
    <row r="80" spans="1:5" x14ac:dyDescent="0.25">
      <c r="A80" s="11"/>
      <c r="B80" s="5"/>
      <c r="C80" s="7"/>
      <c r="D80" s="14"/>
      <c r="E80" s="6"/>
    </row>
    <row r="81" spans="1:5" x14ac:dyDescent="0.25">
      <c r="A81" s="11"/>
      <c r="B81" s="5"/>
      <c r="C81" s="7"/>
      <c r="D81" s="6"/>
      <c r="E81" s="6"/>
    </row>
    <row r="82" spans="1:5" x14ac:dyDescent="0.25">
      <c r="A82" s="11"/>
      <c r="B82" s="5"/>
      <c r="C82" s="7"/>
      <c r="D82" s="6"/>
      <c r="E82" s="6"/>
    </row>
    <row r="83" spans="1:5" x14ac:dyDescent="0.25">
      <c r="A83" s="2"/>
      <c r="B83" s="6"/>
      <c r="C83" s="6"/>
      <c r="D83" s="6"/>
      <c r="E83" s="6"/>
    </row>
    <row r="84" spans="1:5" x14ac:dyDescent="0.25">
      <c r="A84" s="2" t="s">
        <v>2</v>
      </c>
      <c r="B84" s="5">
        <f>SUM(B76:B83)</f>
        <v>1.6800000000000002</v>
      </c>
      <c r="C84" s="6"/>
      <c r="D84" s="14">
        <f>SUM(D76:D83)</f>
        <v>1.5050540000000001E-2</v>
      </c>
      <c r="E84" s="5">
        <f>SUM(E76:E83)</f>
        <v>0.62</v>
      </c>
    </row>
    <row r="87" spans="1:5" x14ac:dyDescent="0.25">
      <c r="A87" s="15" t="s">
        <v>20</v>
      </c>
      <c r="B87" s="3" t="s">
        <v>3</v>
      </c>
      <c r="C87" s="3" t="s">
        <v>0</v>
      </c>
      <c r="D87" s="3" t="s">
        <v>1</v>
      </c>
      <c r="E87" s="3" t="s">
        <v>25</v>
      </c>
    </row>
    <row r="88" spans="1:5" x14ac:dyDescent="0.25">
      <c r="A88" s="11" t="str">
        <f t="shared" ref="A88:A89" si="15">A4</f>
        <v>2025.09.01</v>
      </c>
      <c r="B88" s="5">
        <v>0.26</v>
      </c>
      <c r="C88" s="7">
        <f t="shared" ref="C88:C89" si="16">B88/D88</f>
        <v>89.980031354580163</v>
      </c>
      <c r="D88" s="14">
        <v>2.88953E-3</v>
      </c>
      <c r="E88" s="6"/>
    </row>
    <row r="89" spans="1:5" x14ac:dyDescent="0.25">
      <c r="A89" s="11" t="str">
        <f t="shared" si="15"/>
        <v>2025.09.02</v>
      </c>
      <c r="B89" s="5">
        <v>2.14</v>
      </c>
      <c r="C89" s="7">
        <f t="shared" si="16"/>
        <v>90.050019840459996</v>
      </c>
      <c r="D89" s="14">
        <v>2.3764569999999999E-2</v>
      </c>
      <c r="E89" s="6"/>
    </row>
    <row r="90" spans="1:5" x14ac:dyDescent="0.25">
      <c r="A90" s="11"/>
      <c r="B90" s="5"/>
      <c r="C90" s="7"/>
      <c r="D90" s="14"/>
      <c r="E90" s="6"/>
    </row>
    <row r="91" spans="1:5" x14ac:dyDescent="0.25">
      <c r="A91" s="11"/>
      <c r="B91" s="5"/>
      <c r="C91" s="7"/>
      <c r="D91" s="14"/>
      <c r="E91" s="6"/>
    </row>
    <row r="92" spans="1:5" x14ac:dyDescent="0.25">
      <c r="A92" s="11"/>
      <c r="B92" s="5"/>
      <c r="C92" s="7"/>
      <c r="D92" s="14"/>
      <c r="E92" s="6"/>
    </row>
    <row r="93" spans="1:5" x14ac:dyDescent="0.25">
      <c r="A93" s="11"/>
      <c r="B93" s="5"/>
      <c r="C93" s="6"/>
      <c r="D93" s="14"/>
      <c r="E93" s="6"/>
    </row>
    <row r="94" spans="1:5" x14ac:dyDescent="0.25">
      <c r="A94" s="11"/>
      <c r="B94" s="5"/>
      <c r="C94" s="7"/>
      <c r="D94" s="14"/>
      <c r="E94" s="6"/>
    </row>
    <row r="95" spans="1:5" x14ac:dyDescent="0.25">
      <c r="A95" s="2"/>
      <c r="B95" s="6"/>
      <c r="C95" s="6"/>
      <c r="D95" s="6"/>
      <c r="E95" s="6"/>
    </row>
    <row r="96" spans="1:5" x14ac:dyDescent="0.25">
      <c r="A96" s="2" t="s">
        <v>2</v>
      </c>
      <c r="B96" s="5">
        <f>SUM(B88:B95)</f>
        <v>2.4000000000000004</v>
      </c>
      <c r="C96" s="6"/>
      <c r="D96" s="14">
        <f>SUM(D88:D95)</f>
        <v>2.66541E-2</v>
      </c>
      <c r="E96" s="6">
        <f>SUM(E88:E95)</f>
        <v>0</v>
      </c>
    </row>
    <row r="99" spans="1:5" x14ac:dyDescent="0.25">
      <c r="A99" s="15" t="s">
        <v>21</v>
      </c>
      <c r="B99" s="3" t="s">
        <v>3</v>
      </c>
      <c r="C99" s="3" t="s">
        <v>0</v>
      </c>
      <c r="D99" s="3" t="s">
        <v>1</v>
      </c>
      <c r="E99" s="3" t="s">
        <v>25</v>
      </c>
    </row>
    <row r="100" spans="1:5" x14ac:dyDescent="0.25">
      <c r="A100" s="11" t="str">
        <f t="shared" ref="A100:A101" si="17">A4</f>
        <v>2025.09.01</v>
      </c>
      <c r="B100" s="5">
        <v>0</v>
      </c>
      <c r="C100" s="7" t="e">
        <f t="shared" ref="C100:C101" si="18">B100/D100</f>
        <v>#DIV/0!</v>
      </c>
      <c r="D100" s="14">
        <v>0</v>
      </c>
      <c r="E100" s="6"/>
    </row>
    <row r="101" spans="1:5" x14ac:dyDescent="0.25">
      <c r="A101" s="11" t="str">
        <f t="shared" si="17"/>
        <v>2025.09.02</v>
      </c>
      <c r="B101" s="5">
        <v>0.72</v>
      </c>
      <c r="C101" s="7">
        <f t="shared" si="18"/>
        <v>80.385941838538145</v>
      </c>
      <c r="D101" s="14">
        <v>8.9567899999999992E-3</v>
      </c>
      <c r="E101" s="6"/>
    </row>
    <row r="102" spans="1:5" x14ac:dyDescent="0.25">
      <c r="A102" s="11"/>
      <c r="B102" s="5"/>
      <c r="C102" s="7"/>
      <c r="D102" s="14"/>
      <c r="E102" s="6"/>
    </row>
    <row r="103" spans="1:5" x14ac:dyDescent="0.25">
      <c r="A103" s="11"/>
      <c r="B103" s="5"/>
      <c r="C103" s="7"/>
      <c r="D103" s="14"/>
      <c r="E103" s="6"/>
    </row>
    <row r="104" spans="1:5" x14ac:dyDescent="0.25">
      <c r="A104" s="11"/>
      <c r="B104" s="5"/>
      <c r="C104" s="7"/>
      <c r="D104" s="14"/>
      <c r="E104" s="6"/>
    </row>
    <row r="105" spans="1:5" x14ac:dyDescent="0.25">
      <c r="A105" s="11"/>
      <c r="B105" s="5"/>
      <c r="C105" s="7"/>
      <c r="D105" s="6"/>
      <c r="E105" s="6"/>
    </row>
    <row r="106" spans="1:5" x14ac:dyDescent="0.25">
      <c r="A106" s="11"/>
      <c r="B106" s="5"/>
      <c r="C106" s="7"/>
      <c r="D106" s="14"/>
      <c r="E106" s="6"/>
    </row>
    <row r="107" spans="1:5" x14ac:dyDescent="0.25">
      <c r="A107" s="2"/>
      <c r="B107" s="6"/>
      <c r="C107" s="6"/>
      <c r="D107" s="6"/>
      <c r="E107" s="6"/>
    </row>
    <row r="108" spans="1:5" x14ac:dyDescent="0.25">
      <c r="A108" s="2" t="s">
        <v>2</v>
      </c>
      <c r="B108" s="5">
        <f>SUM(B100:B107)</f>
        <v>0.72</v>
      </c>
      <c r="C108" s="6"/>
      <c r="D108" s="14">
        <f>SUM(D100:D107)</f>
        <v>8.9567899999999992E-3</v>
      </c>
      <c r="E108" s="6">
        <f>SUM(E100:E107)</f>
        <v>0</v>
      </c>
    </row>
  </sheetData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8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21" t="s">
        <v>99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 t="s">
        <v>81</v>
      </c>
      <c r="B4" s="5">
        <v>15</v>
      </c>
      <c r="C4" s="5">
        <f t="shared" ref="C4:C8" si="0">B16+B28+B40+B52+B64+B76+B88+B100</f>
        <v>14.59</v>
      </c>
      <c r="D4" s="5">
        <f t="shared" ref="D4:D8" si="1">B4-C4</f>
        <v>0.41000000000000014</v>
      </c>
      <c r="E4" s="6"/>
      <c r="F4" s="5"/>
    </row>
    <row r="5" spans="1:6" x14ac:dyDescent="0.25">
      <c r="A5" s="10" t="s">
        <v>82</v>
      </c>
      <c r="B5" s="5">
        <v>4.08</v>
      </c>
      <c r="C5" s="5">
        <f t="shared" si="0"/>
        <v>3.11</v>
      </c>
      <c r="D5" s="5">
        <f t="shared" si="1"/>
        <v>0.9700000000000002</v>
      </c>
      <c r="E5" s="6"/>
      <c r="F5" s="6"/>
    </row>
    <row r="6" spans="1:6" x14ac:dyDescent="0.25">
      <c r="A6" s="10" t="s">
        <v>83</v>
      </c>
      <c r="B6" s="5">
        <v>2.12</v>
      </c>
      <c r="C6" s="5">
        <f t="shared" si="0"/>
        <v>2.99</v>
      </c>
      <c r="D6" s="5">
        <f t="shared" si="1"/>
        <v>-0.87000000000000011</v>
      </c>
      <c r="E6" s="6"/>
      <c r="F6" s="2"/>
    </row>
    <row r="7" spans="1:6" x14ac:dyDescent="0.25">
      <c r="A7" s="10" t="s">
        <v>84</v>
      </c>
      <c r="B7" s="5">
        <v>4.3600000000000003</v>
      </c>
      <c r="C7" s="5">
        <f t="shared" si="0"/>
        <v>4.08</v>
      </c>
      <c r="D7" s="5">
        <f t="shared" si="1"/>
        <v>0.28000000000000025</v>
      </c>
      <c r="E7" s="6"/>
      <c r="F7" s="2"/>
    </row>
    <row r="8" spans="1:6" x14ac:dyDescent="0.25">
      <c r="A8" s="10" t="s">
        <v>85</v>
      </c>
      <c r="B8" s="5">
        <v>2.42</v>
      </c>
      <c r="C8" s="5">
        <f t="shared" si="0"/>
        <v>0</v>
      </c>
      <c r="D8" s="5">
        <f t="shared" si="1"/>
        <v>2.42</v>
      </c>
      <c r="E8" s="6"/>
      <c r="F8" s="2"/>
    </row>
    <row r="9" spans="1:6" x14ac:dyDescent="0.25">
      <c r="A9" s="10"/>
      <c r="B9" s="5"/>
      <c r="C9" s="5"/>
      <c r="D9" s="5"/>
      <c r="E9" s="6"/>
      <c r="F9" s="2"/>
    </row>
    <row r="10" spans="1:6" x14ac:dyDescent="0.25">
      <c r="A10" s="10"/>
      <c r="B10" s="5"/>
      <c r="C10" s="5"/>
      <c r="D10" s="5"/>
      <c r="E10" s="6"/>
      <c r="F10" s="2"/>
    </row>
    <row r="11" spans="1:6" x14ac:dyDescent="0.25">
      <c r="A11" s="2"/>
      <c r="B11" s="5"/>
      <c r="C11" s="2"/>
      <c r="D11" s="2"/>
      <c r="E11" s="6"/>
      <c r="F11" s="2"/>
    </row>
    <row r="12" spans="1:6" x14ac:dyDescent="0.25">
      <c r="A12" s="2" t="s">
        <v>2</v>
      </c>
      <c r="B12" s="5">
        <f>SUM(B4:B11)</f>
        <v>27.979999999999997</v>
      </c>
      <c r="C12" s="5">
        <f t="shared" ref="C12:D12" si="2">SUM(C4:C11)</f>
        <v>24.769999999999996</v>
      </c>
      <c r="D12" s="5">
        <f t="shared" si="2"/>
        <v>3.2100000000000004</v>
      </c>
      <c r="E12" s="5">
        <f>E24+E36+E48+E60+E72+E84+E96+E108</f>
        <v>0</v>
      </c>
      <c r="F12" s="5">
        <v>0.15</v>
      </c>
    </row>
    <row r="15" spans="1:6" x14ac:dyDescent="0.25">
      <c r="A15" s="11" t="s">
        <v>14</v>
      </c>
      <c r="B15" s="3" t="s">
        <v>3</v>
      </c>
      <c r="C15" s="3" t="s">
        <v>0</v>
      </c>
      <c r="D15" s="3" t="s">
        <v>1</v>
      </c>
      <c r="E15" s="3" t="s">
        <v>25</v>
      </c>
    </row>
    <row r="16" spans="1:6" x14ac:dyDescent="0.25">
      <c r="A16" s="11" t="str">
        <f t="shared" ref="A16:A19" si="3">A4</f>
        <v>2025.08.01</v>
      </c>
      <c r="B16" s="5">
        <v>1.47</v>
      </c>
      <c r="C16" s="7">
        <f t="shared" ref="C16:C19" si="4">B16/D16</f>
        <v>93.610002897452461</v>
      </c>
      <c r="D16" s="14">
        <v>1.5703450000000001E-2</v>
      </c>
      <c r="E16" s="6"/>
    </row>
    <row r="17" spans="1:5" x14ac:dyDescent="0.25">
      <c r="A17" s="11" t="str">
        <f t="shared" si="3"/>
        <v>2025.08.19</v>
      </c>
      <c r="B17" s="5">
        <v>0</v>
      </c>
      <c r="C17" s="7" t="e">
        <f t="shared" si="4"/>
        <v>#DIV/0!</v>
      </c>
      <c r="D17" s="14">
        <v>0</v>
      </c>
      <c r="E17" s="6"/>
    </row>
    <row r="18" spans="1:5" ht="15" customHeight="1" x14ac:dyDescent="0.25">
      <c r="A18" s="11" t="str">
        <f t="shared" si="3"/>
        <v>2025.08.20</v>
      </c>
      <c r="B18" s="5">
        <v>0.92</v>
      </c>
      <c r="C18" s="7">
        <f t="shared" si="4"/>
        <v>91.210029930769608</v>
      </c>
      <c r="D18" s="14">
        <v>1.0086609999999999E-2</v>
      </c>
      <c r="E18" s="6"/>
    </row>
    <row r="19" spans="1:5" ht="15" customHeight="1" x14ac:dyDescent="0.25">
      <c r="A19" s="11" t="str">
        <f t="shared" si="3"/>
        <v>2025.08.25</v>
      </c>
      <c r="B19" s="5">
        <v>0.06</v>
      </c>
      <c r="C19" s="7">
        <f t="shared" si="4"/>
        <v>91.740313751873032</v>
      </c>
      <c r="D19" s="6">
        <v>6.5401999999999995E-4</v>
      </c>
      <c r="E19" s="6"/>
    </row>
    <row r="20" spans="1:5" ht="15" customHeight="1" x14ac:dyDescent="0.25">
      <c r="A20" s="11"/>
      <c r="B20" s="5"/>
      <c r="C20" s="7"/>
      <c r="D20" s="6"/>
      <c r="E20" s="6"/>
    </row>
    <row r="21" spans="1:5" ht="15" customHeight="1" x14ac:dyDescent="0.25">
      <c r="A21" s="11"/>
      <c r="B21" s="5"/>
      <c r="C21" s="6"/>
      <c r="D21" s="14"/>
      <c r="E21" s="6"/>
    </row>
    <row r="22" spans="1:5" ht="15" customHeight="1" x14ac:dyDescent="0.25">
      <c r="A22" s="11"/>
      <c r="B22" s="5"/>
      <c r="C22" s="6"/>
      <c r="D22" s="14"/>
      <c r="E22" s="6"/>
    </row>
    <row r="23" spans="1:5" x14ac:dyDescent="0.25">
      <c r="A23" s="2"/>
      <c r="B23" s="6"/>
      <c r="C23" s="6"/>
      <c r="D23" s="6"/>
      <c r="E23" s="6"/>
    </row>
    <row r="24" spans="1:5" x14ac:dyDescent="0.25">
      <c r="A24" s="2" t="s">
        <v>2</v>
      </c>
      <c r="B24" s="5">
        <f>SUM(B16:B23)</f>
        <v>2.4500000000000002</v>
      </c>
      <c r="C24" s="6"/>
      <c r="D24" s="14">
        <f>SUM(D16:D23)</f>
        <v>2.6444080000000002E-2</v>
      </c>
      <c r="E24" s="6">
        <f>SUM(E16:E23)</f>
        <v>0</v>
      </c>
    </row>
    <row r="25" spans="1:5" x14ac:dyDescent="0.25">
      <c r="B25" s="9"/>
      <c r="C25" s="1"/>
      <c r="D25" s="12"/>
    </row>
    <row r="26" spans="1:5" x14ac:dyDescent="0.25">
      <c r="B26" s="1"/>
      <c r="C26" s="1"/>
      <c r="D26" s="1"/>
    </row>
    <row r="27" spans="1:5" x14ac:dyDescent="0.25">
      <c r="A27" s="11" t="s">
        <v>15</v>
      </c>
      <c r="B27" s="3" t="s">
        <v>3</v>
      </c>
      <c r="C27" s="3" t="s">
        <v>0</v>
      </c>
      <c r="D27" s="3" t="s">
        <v>1</v>
      </c>
      <c r="E27" s="3" t="s">
        <v>25</v>
      </c>
    </row>
    <row r="28" spans="1:5" x14ac:dyDescent="0.25">
      <c r="A28" s="11" t="str">
        <f t="shared" ref="A28:A31" si="5">A4</f>
        <v>2025.08.01</v>
      </c>
      <c r="B28" s="5">
        <v>1.73</v>
      </c>
      <c r="C28" s="7">
        <f t="shared" ref="C28:C31" si="6">B28/D28</f>
        <v>76.775022999222927</v>
      </c>
      <c r="D28" s="14">
        <v>2.253337E-2</v>
      </c>
      <c r="E28" s="5"/>
    </row>
    <row r="29" spans="1:5" x14ac:dyDescent="0.25">
      <c r="A29" s="11" t="str">
        <f t="shared" si="5"/>
        <v>2025.08.19</v>
      </c>
      <c r="B29" s="5">
        <v>1.2</v>
      </c>
      <c r="C29" s="7">
        <f t="shared" si="6"/>
        <v>75.407009332874182</v>
      </c>
      <c r="D29" s="14">
        <v>1.591364E-2</v>
      </c>
      <c r="E29" s="6"/>
    </row>
    <row r="30" spans="1:5" x14ac:dyDescent="0.25">
      <c r="A30" s="11" t="str">
        <f t="shared" si="5"/>
        <v>2025.08.20</v>
      </c>
      <c r="B30" s="5">
        <v>0</v>
      </c>
      <c r="C30" s="7" t="e">
        <f t="shared" si="6"/>
        <v>#DIV/0!</v>
      </c>
      <c r="D30" s="14">
        <v>0</v>
      </c>
      <c r="E30" s="6"/>
    </row>
    <row r="31" spans="1:5" x14ac:dyDescent="0.25">
      <c r="A31" s="11" t="str">
        <f t="shared" si="5"/>
        <v>2025.08.25</v>
      </c>
      <c r="B31" s="5">
        <v>0.95</v>
      </c>
      <c r="C31" s="7">
        <f t="shared" si="6"/>
        <v>75.62502089638734</v>
      </c>
      <c r="D31" s="14">
        <v>1.256198E-2</v>
      </c>
      <c r="E31" s="6"/>
    </row>
    <row r="32" spans="1:5" x14ac:dyDescent="0.25">
      <c r="A32" s="11"/>
      <c r="B32" s="5"/>
      <c r="C32" s="7"/>
      <c r="D32" s="14"/>
      <c r="E32" s="6"/>
    </row>
    <row r="33" spans="1:5" x14ac:dyDescent="0.25">
      <c r="A33" s="11"/>
      <c r="B33" s="5"/>
      <c r="C33" s="7"/>
      <c r="D33" s="6"/>
      <c r="E33" s="6"/>
    </row>
    <row r="34" spans="1:5" x14ac:dyDescent="0.25">
      <c r="A34" s="11"/>
      <c r="B34" s="5"/>
      <c r="C34" s="7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SUM(B28:B35)</f>
        <v>3.88</v>
      </c>
      <c r="C36" s="6"/>
      <c r="D36" s="14">
        <f>SUM(D28:D35)</f>
        <v>5.1008990000000004E-2</v>
      </c>
      <c r="E36" s="5">
        <f>SUM(E28:E35)</f>
        <v>0</v>
      </c>
    </row>
    <row r="39" spans="1:5" x14ac:dyDescent="0.25">
      <c r="A39" s="11" t="s">
        <v>16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 t="str">
        <f t="shared" ref="A40:A43" si="7">A4</f>
        <v>2025.08.01</v>
      </c>
      <c r="B40" s="5">
        <v>1.41</v>
      </c>
      <c r="C40" s="7">
        <f t="shared" ref="C40:C43" si="8">B40/D40</f>
        <v>4.4429000377741028</v>
      </c>
      <c r="D40" s="14">
        <v>0.31736027999999999</v>
      </c>
      <c r="E40" s="6"/>
    </row>
    <row r="41" spans="1:5" x14ac:dyDescent="0.25">
      <c r="A41" s="11" t="str">
        <f t="shared" si="7"/>
        <v>2025.08.19</v>
      </c>
      <c r="B41" s="5">
        <v>1.0900000000000001</v>
      </c>
      <c r="C41" s="7">
        <f t="shared" si="8"/>
        <v>4.3487001635470328</v>
      </c>
      <c r="D41" s="14">
        <v>0.25064961000000002</v>
      </c>
      <c r="E41" s="6"/>
    </row>
    <row r="42" spans="1:5" x14ac:dyDescent="0.25">
      <c r="A42" s="11" t="str">
        <f t="shared" si="7"/>
        <v>2025.08.20</v>
      </c>
      <c r="B42" s="5">
        <v>0</v>
      </c>
      <c r="C42" s="7" t="e">
        <f t="shared" si="8"/>
        <v>#DIV/0!</v>
      </c>
      <c r="D42" s="14">
        <v>0</v>
      </c>
      <c r="E42" s="6"/>
    </row>
    <row r="43" spans="1:5" x14ac:dyDescent="0.25">
      <c r="A43" s="11" t="str">
        <f t="shared" si="7"/>
        <v>2025.08.25</v>
      </c>
      <c r="B43" s="5">
        <v>0.81</v>
      </c>
      <c r="C43" s="7">
        <f t="shared" si="8"/>
        <v>4.3468001674537691</v>
      </c>
      <c r="D43" s="14">
        <v>0.18634397</v>
      </c>
      <c r="E43" s="6"/>
    </row>
    <row r="44" spans="1:5" x14ac:dyDescent="0.25">
      <c r="A44" s="11"/>
      <c r="B44" s="5"/>
      <c r="C44" s="7"/>
      <c r="D44" s="14"/>
      <c r="E44" s="6"/>
    </row>
    <row r="45" spans="1:5" x14ac:dyDescent="0.25">
      <c r="A45" s="11"/>
      <c r="B45" s="5"/>
      <c r="C45" s="7"/>
      <c r="D45" s="6"/>
      <c r="E45" s="6"/>
    </row>
    <row r="46" spans="1:5" x14ac:dyDescent="0.25">
      <c r="A46" s="11"/>
      <c r="B46" s="5"/>
      <c r="C46" s="7"/>
      <c r="D46" s="6"/>
      <c r="E46" s="6"/>
    </row>
    <row r="47" spans="1:5" x14ac:dyDescent="0.25">
      <c r="A47" s="2"/>
      <c r="B47" s="6"/>
      <c r="C47" s="6"/>
      <c r="D47" s="6"/>
      <c r="E47" s="6"/>
    </row>
    <row r="48" spans="1:5" x14ac:dyDescent="0.25">
      <c r="A48" s="2" t="s">
        <v>2</v>
      </c>
      <c r="B48" s="5">
        <f>SUM(B40:B47)</f>
        <v>3.31</v>
      </c>
      <c r="C48" s="6"/>
      <c r="D48" s="14">
        <f>SUM(D40:D47)</f>
        <v>0.75435386000000004</v>
      </c>
      <c r="E48" s="6">
        <f>SUM(E40:E47)</f>
        <v>0</v>
      </c>
    </row>
    <row r="51" spans="1:5" x14ac:dyDescent="0.25">
      <c r="A51" s="11" t="s">
        <v>17</v>
      </c>
      <c r="B51" s="3" t="s">
        <v>3</v>
      </c>
      <c r="C51" s="3" t="s">
        <v>0</v>
      </c>
      <c r="D51" s="3" t="s">
        <v>1</v>
      </c>
      <c r="E51" s="3" t="s">
        <v>25</v>
      </c>
    </row>
    <row r="52" spans="1:5" x14ac:dyDescent="0.25">
      <c r="A52" s="11" t="str">
        <f t="shared" ref="A52:A55" si="9">A4</f>
        <v>2025.08.01</v>
      </c>
      <c r="B52" s="5">
        <v>1.5</v>
      </c>
      <c r="C52" s="7">
        <f t="shared" ref="C52:C55" si="10">B52/D52</f>
        <v>89.28592687125446</v>
      </c>
      <c r="D52" s="14">
        <v>1.6799959999999999E-2</v>
      </c>
      <c r="E52" s="6"/>
    </row>
    <row r="53" spans="1:5" x14ac:dyDescent="0.25">
      <c r="A53" s="11" t="str">
        <f t="shared" si="9"/>
        <v>2025.08.19</v>
      </c>
      <c r="B53" s="5">
        <v>0</v>
      </c>
      <c r="C53" s="7" t="e">
        <f t="shared" si="10"/>
        <v>#DIV/0!</v>
      </c>
      <c r="D53" s="14">
        <v>0</v>
      </c>
      <c r="E53" s="5"/>
    </row>
    <row r="54" spans="1:5" x14ac:dyDescent="0.25">
      <c r="A54" s="11" t="str">
        <f t="shared" si="9"/>
        <v>2025.08.20</v>
      </c>
      <c r="B54" s="5">
        <v>0.83</v>
      </c>
      <c r="C54" s="7">
        <f t="shared" si="10"/>
        <v>88.217913125550027</v>
      </c>
      <c r="D54" s="14">
        <v>9.4085200000000001E-3</v>
      </c>
      <c r="E54" s="5"/>
    </row>
    <row r="55" spans="1:5" x14ac:dyDescent="0.25">
      <c r="A55" s="11" t="str">
        <f t="shared" si="9"/>
        <v>2025.08.25</v>
      </c>
      <c r="B55" s="5">
        <v>0.52</v>
      </c>
      <c r="C55" s="7">
        <f t="shared" si="10"/>
        <v>88.303969433241349</v>
      </c>
      <c r="D55" s="14">
        <v>5.8887499999999999E-3</v>
      </c>
      <c r="E55" s="5"/>
    </row>
    <row r="56" spans="1:5" x14ac:dyDescent="0.25">
      <c r="A56" s="11"/>
      <c r="B56" s="5"/>
      <c r="C56" s="7"/>
      <c r="D56" s="14"/>
      <c r="E56" s="6"/>
    </row>
    <row r="57" spans="1:5" x14ac:dyDescent="0.25">
      <c r="A57" s="11"/>
      <c r="B57" s="5"/>
      <c r="C57" s="7"/>
      <c r="D57" s="14"/>
      <c r="E57" s="6"/>
    </row>
    <row r="58" spans="1:5" x14ac:dyDescent="0.25">
      <c r="A58" s="11"/>
      <c r="B58" s="5"/>
      <c r="C58" s="7"/>
      <c r="D58" s="14"/>
      <c r="E58" s="6"/>
    </row>
    <row r="59" spans="1:5" x14ac:dyDescent="0.25">
      <c r="A59" s="2"/>
      <c r="B59" s="6"/>
      <c r="C59" s="6"/>
      <c r="D59" s="6"/>
      <c r="E59" s="6"/>
    </row>
    <row r="60" spans="1:5" x14ac:dyDescent="0.25">
      <c r="A60" s="2" t="s">
        <v>2</v>
      </c>
      <c r="B60" s="5">
        <f>SUM(B52:B59)</f>
        <v>2.85</v>
      </c>
      <c r="C60" s="6"/>
      <c r="D60" s="14">
        <f>SUM(D52:D59)</f>
        <v>3.2097229999999997E-2</v>
      </c>
      <c r="E60" s="5">
        <f>SUM(E52:E59)</f>
        <v>0</v>
      </c>
    </row>
    <row r="63" spans="1:5" x14ac:dyDescent="0.25">
      <c r="A63" s="11" t="s">
        <v>18</v>
      </c>
      <c r="B63" s="3" t="s">
        <v>3</v>
      </c>
      <c r="C63" s="3" t="s">
        <v>0</v>
      </c>
      <c r="D63" s="3" t="s">
        <v>1</v>
      </c>
      <c r="E63" s="3" t="s">
        <v>25</v>
      </c>
    </row>
    <row r="64" spans="1:5" x14ac:dyDescent="0.25">
      <c r="A64" s="11" t="str">
        <f t="shared" ref="A64:A67" si="11">A4</f>
        <v>2025.08.01</v>
      </c>
      <c r="B64" s="5">
        <v>3.82</v>
      </c>
      <c r="C64" s="7">
        <f t="shared" ref="C64:C67" si="12">B64/D64</f>
        <v>63.67000934215713</v>
      </c>
      <c r="D64" s="14">
        <v>5.9996849999999997E-2</v>
      </c>
      <c r="E64" s="6"/>
    </row>
    <row r="65" spans="1:5" x14ac:dyDescent="0.25">
      <c r="A65" s="11" t="str">
        <f t="shared" si="11"/>
        <v>2025.08.19</v>
      </c>
      <c r="B65" s="5">
        <v>0</v>
      </c>
      <c r="C65" s="7" t="e">
        <f t="shared" si="12"/>
        <v>#DIV/0!</v>
      </c>
      <c r="D65" s="14">
        <v>0</v>
      </c>
      <c r="E65" s="6"/>
    </row>
    <row r="66" spans="1:5" x14ac:dyDescent="0.25">
      <c r="A66" s="11" t="str">
        <f t="shared" si="11"/>
        <v>2025.08.20</v>
      </c>
      <c r="B66" s="5">
        <v>0.18</v>
      </c>
      <c r="C66" s="7">
        <f t="shared" si="12"/>
        <v>64.090010859696278</v>
      </c>
      <c r="D66" s="14">
        <v>2.8085499999999999E-3</v>
      </c>
      <c r="E66" s="6"/>
    </row>
    <row r="67" spans="1:5" x14ac:dyDescent="0.25">
      <c r="A67" s="11" t="str">
        <f t="shared" si="11"/>
        <v>2025.08.25</v>
      </c>
      <c r="B67" s="5">
        <v>1.03</v>
      </c>
      <c r="C67" s="7">
        <f t="shared" si="12"/>
        <v>64.310046852678795</v>
      </c>
      <c r="D67" s="14">
        <v>1.6016160000000002E-2</v>
      </c>
      <c r="E67" s="6"/>
    </row>
    <row r="68" spans="1:5" x14ac:dyDescent="0.25">
      <c r="A68" s="11"/>
      <c r="B68" s="5"/>
      <c r="C68" s="7"/>
      <c r="D68" s="14"/>
      <c r="E68" s="6"/>
    </row>
    <row r="69" spans="1:5" x14ac:dyDescent="0.25">
      <c r="A69" s="11"/>
      <c r="B69" s="5"/>
      <c r="C69" s="7"/>
      <c r="D69" s="6"/>
      <c r="E69" s="6"/>
    </row>
    <row r="70" spans="1:5" x14ac:dyDescent="0.25">
      <c r="A70" s="11"/>
      <c r="B70" s="5"/>
      <c r="C70" s="7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SUM(B64:B71)</f>
        <v>5.03</v>
      </c>
      <c r="C72" s="6"/>
      <c r="D72" s="14">
        <f>SUM(D64:D71)</f>
        <v>7.8821559999999999E-2</v>
      </c>
      <c r="E72" s="6">
        <f>SUM(E64:E71)</f>
        <v>0</v>
      </c>
    </row>
    <row r="75" spans="1:5" x14ac:dyDescent="0.25">
      <c r="A75" s="15" t="s">
        <v>19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 t="str">
        <f t="shared" ref="A76:A79" si="13">A4</f>
        <v>2025.08.01</v>
      </c>
      <c r="B76" s="5">
        <v>1.24</v>
      </c>
      <c r="C76" s="7">
        <f t="shared" ref="C76:C79" si="14">B76/D76</f>
        <v>113.0649257099611</v>
      </c>
      <c r="D76" s="14">
        <v>1.096715E-2</v>
      </c>
      <c r="E76" s="5"/>
    </row>
    <row r="77" spans="1:5" x14ac:dyDescent="0.25">
      <c r="A77" s="11" t="str">
        <f t="shared" si="13"/>
        <v>2025.08.19</v>
      </c>
      <c r="B77" s="5">
        <v>0.82</v>
      </c>
      <c r="C77" s="7">
        <f t="shared" si="14"/>
        <v>110.93493801172121</v>
      </c>
      <c r="D77" s="14">
        <v>7.3917200000000001E-3</v>
      </c>
      <c r="E77" s="6"/>
    </row>
    <row r="78" spans="1:5" x14ac:dyDescent="0.25">
      <c r="A78" s="11" t="str">
        <f t="shared" si="13"/>
        <v>2025.08.20</v>
      </c>
      <c r="B78" s="5">
        <v>0</v>
      </c>
      <c r="C78" s="7" t="e">
        <f t="shared" si="14"/>
        <v>#DIV/0!</v>
      </c>
      <c r="D78" s="14">
        <v>0</v>
      </c>
      <c r="E78" s="6"/>
    </row>
    <row r="79" spans="1:5" x14ac:dyDescent="0.25">
      <c r="A79" s="11" t="str">
        <f t="shared" si="13"/>
        <v>2025.08.25</v>
      </c>
      <c r="B79" s="5">
        <v>0.71</v>
      </c>
      <c r="C79" s="7">
        <f t="shared" si="14"/>
        <v>110.86526435119617</v>
      </c>
      <c r="D79" s="14">
        <v>6.4041699999999998E-3</v>
      </c>
      <c r="E79" s="6"/>
    </row>
    <row r="80" spans="1:5" x14ac:dyDescent="0.25">
      <c r="A80" s="11"/>
      <c r="B80" s="5"/>
      <c r="C80" s="7"/>
      <c r="D80" s="14"/>
      <c r="E80" s="6"/>
    </row>
    <row r="81" spans="1:5" x14ac:dyDescent="0.25">
      <c r="A81" s="11"/>
      <c r="B81" s="5"/>
      <c r="C81" s="7"/>
      <c r="D81" s="6"/>
      <c r="E81" s="6"/>
    </row>
    <row r="82" spans="1:5" x14ac:dyDescent="0.25">
      <c r="A82" s="11"/>
      <c r="B82" s="5"/>
      <c r="C82" s="7"/>
      <c r="D82" s="6"/>
      <c r="E82" s="6"/>
    </row>
    <row r="83" spans="1:5" x14ac:dyDescent="0.25">
      <c r="A83" s="2"/>
      <c r="B83" s="6"/>
      <c r="C83" s="6"/>
      <c r="D83" s="6"/>
      <c r="E83" s="6"/>
    </row>
    <row r="84" spans="1:5" x14ac:dyDescent="0.25">
      <c r="A84" s="2" t="s">
        <v>2</v>
      </c>
      <c r="B84" s="5">
        <f>SUM(B76:B83)</f>
        <v>2.77</v>
      </c>
      <c r="C84" s="6"/>
      <c r="D84" s="14">
        <f>SUM(D76:D83)</f>
        <v>2.476304E-2</v>
      </c>
      <c r="E84" s="5">
        <f>SUM(E76:E83)</f>
        <v>0</v>
      </c>
    </row>
    <row r="87" spans="1:5" x14ac:dyDescent="0.25">
      <c r="A87" s="15" t="s">
        <v>20</v>
      </c>
      <c r="B87" s="3" t="s">
        <v>3</v>
      </c>
      <c r="C87" s="3" t="s">
        <v>0</v>
      </c>
      <c r="D87" s="3" t="s">
        <v>1</v>
      </c>
      <c r="E87" s="3" t="s">
        <v>25</v>
      </c>
    </row>
    <row r="88" spans="1:5" x14ac:dyDescent="0.25">
      <c r="A88" s="11" t="str">
        <f t="shared" ref="A88:A91" si="15">A4</f>
        <v>2025.08.01</v>
      </c>
      <c r="B88" s="5">
        <v>2.72</v>
      </c>
      <c r="C88" s="7">
        <f t="shared" ref="C88:C91" si="16">B88/D88</f>
        <v>89.250001394531282</v>
      </c>
      <c r="D88" s="14">
        <v>3.047619E-2</v>
      </c>
      <c r="E88" s="6"/>
    </row>
    <row r="89" spans="1:5" x14ac:dyDescent="0.25">
      <c r="A89" s="11" t="str">
        <f t="shared" si="15"/>
        <v>2025.08.19</v>
      </c>
      <c r="B89" s="5">
        <v>0</v>
      </c>
      <c r="C89" s="7" t="e">
        <f t="shared" si="16"/>
        <v>#DIV/0!</v>
      </c>
      <c r="D89" s="14">
        <v>0</v>
      </c>
      <c r="E89" s="6"/>
    </row>
    <row r="90" spans="1:5" x14ac:dyDescent="0.25">
      <c r="A90" s="11" t="str">
        <f t="shared" si="15"/>
        <v>2025.08.20</v>
      </c>
      <c r="B90" s="5">
        <v>1.06</v>
      </c>
      <c r="C90" s="7">
        <f t="shared" si="16"/>
        <v>89.110001252583984</v>
      </c>
      <c r="D90" s="14">
        <v>1.189541E-2</v>
      </c>
      <c r="E90" s="6"/>
    </row>
    <row r="91" spans="1:5" x14ac:dyDescent="0.25">
      <c r="A91" s="11" t="str">
        <f t="shared" si="15"/>
        <v>2025.08.25</v>
      </c>
      <c r="B91" s="5">
        <v>0</v>
      </c>
      <c r="C91" s="7" t="e">
        <f t="shared" si="16"/>
        <v>#DIV/0!</v>
      </c>
      <c r="D91" s="14">
        <v>0</v>
      </c>
      <c r="E91" s="6"/>
    </row>
    <row r="92" spans="1:5" x14ac:dyDescent="0.25">
      <c r="A92" s="11"/>
      <c r="B92" s="5"/>
      <c r="C92" s="7"/>
      <c r="D92" s="14"/>
      <c r="E92" s="6"/>
    </row>
    <row r="93" spans="1:5" x14ac:dyDescent="0.25">
      <c r="A93" s="11"/>
      <c r="B93" s="5"/>
      <c r="C93" s="6"/>
      <c r="D93" s="14"/>
      <c r="E93" s="6"/>
    </row>
    <row r="94" spans="1:5" x14ac:dyDescent="0.25">
      <c r="A94" s="11"/>
      <c r="B94" s="5"/>
      <c r="C94" s="7"/>
      <c r="D94" s="14"/>
      <c r="E94" s="6"/>
    </row>
    <row r="95" spans="1:5" x14ac:dyDescent="0.25">
      <c r="A95" s="2"/>
      <c r="B95" s="6"/>
      <c r="C95" s="6"/>
      <c r="D95" s="6"/>
      <c r="E95" s="6"/>
    </row>
    <row r="96" spans="1:5" x14ac:dyDescent="0.25">
      <c r="A96" s="2" t="s">
        <v>2</v>
      </c>
      <c r="B96" s="5">
        <f>SUM(B88:B95)</f>
        <v>3.7800000000000002</v>
      </c>
      <c r="C96" s="6"/>
      <c r="D96" s="14">
        <f>SUM(D88:D95)</f>
        <v>4.2371600000000002E-2</v>
      </c>
      <c r="E96" s="6">
        <f>SUM(E88:E95)</f>
        <v>0</v>
      </c>
    </row>
    <row r="99" spans="1:5" x14ac:dyDescent="0.25">
      <c r="A99" s="15" t="s">
        <v>21</v>
      </c>
      <c r="B99" s="3" t="s">
        <v>3</v>
      </c>
      <c r="C99" s="3" t="s">
        <v>0</v>
      </c>
      <c r="D99" s="3" t="s">
        <v>1</v>
      </c>
      <c r="E99" s="3" t="s">
        <v>25</v>
      </c>
    </row>
    <row r="100" spans="1:5" x14ac:dyDescent="0.25">
      <c r="A100" s="11" t="str">
        <f t="shared" ref="A100:A103" si="17">A4</f>
        <v>2025.08.01</v>
      </c>
      <c r="B100" s="5">
        <v>0.7</v>
      </c>
      <c r="C100" s="7">
        <f t="shared" ref="C100:C103" si="18">B100/D100</f>
        <v>77.40194831761336</v>
      </c>
      <c r="D100" s="14">
        <v>9.0437E-3</v>
      </c>
      <c r="E100" s="6"/>
    </row>
    <row r="101" spans="1:5" x14ac:dyDescent="0.25">
      <c r="A101" s="11" t="str">
        <f t="shared" si="17"/>
        <v>2025.08.19</v>
      </c>
      <c r="B101" s="5">
        <v>0</v>
      </c>
      <c r="C101" s="7" t="e">
        <f t="shared" si="18"/>
        <v>#DIV/0!</v>
      </c>
      <c r="D101" s="14">
        <v>0</v>
      </c>
      <c r="E101" s="6"/>
    </row>
    <row r="102" spans="1:5" x14ac:dyDescent="0.25">
      <c r="A102" s="11" t="str">
        <f t="shared" si="17"/>
        <v>2025.08.20</v>
      </c>
      <c r="B102" s="5">
        <v>0</v>
      </c>
      <c r="C102" s="7" t="e">
        <f t="shared" si="18"/>
        <v>#DIV/0!</v>
      </c>
      <c r="D102" s="14">
        <v>0</v>
      </c>
      <c r="E102" s="6"/>
    </row>
    <row r="103" spans="1:5" x14ac:dyDescent="0.25">
      <c r="A103" s="11" t="str">
        <f t="shared" si="17"/>
        <v>2025.08.25</v>
      </c>
      <c r="B103" s="5">
        <v>0</v>
      </c>
      <c r="C103" s="7" t="e">
        <f t="shared" si="18"/>
        <v>#DIV/0!</v>
      </c>
      <c r="D103" s="14">
        <v>0</v>
      </c>
      <c r="E103" s="6"/>
    </row>
    <row r="104" spans="1:5" x14ac:dyDescent="0.25">
      <c r="A104" s="11"/>
      <c r="B104" s="5"/>
      <c r="C104" s="7"/>
      <c r="D104" s="14"/>
      <c r="E104" s="6"/>
    </row>
    <row r="105" spans="1:5" x14ac:dyDescent="0.25">
      <c r="A105" s="11"/>
      <c r="B105" s="5"/>
      <c r="C105" s="7"/>
      <c r="D105" s="6"/>
      <c r="E105" s="6"/>
    </row>
    <row r="106" spans="1:5" x14ac:dyDescent="0.25">
      <c r="A106" s="11"/>
      <c r="B106" s="5"/>
      <c r="C106" s="7"/>
      <c r="D106" s="14"/>
      <c r="E106" s="6"/>
    </row>
    <row r="107" spans="1:5" x14ac:dyDescent="0.25">
      <c r="A107" s="2"/>
      <c r="B107" s="6"/>
      <c r="C107" s="6"/>
      <c r="D107" s="6"/>
      <c r="E107" s="6"/>
    </row>
    <row r="108" spans="1:5" x14ac:dyDescent="0.25">
      <c r="A108" s="2" t="s">
        <v>2</v>
      </c>
      <c r="B108" s="5">
        <f>SUM(B100:B107)</f>
        <v>0.7</v>
      </c>
      <c r="C108" s="6"/>
      <c r="D108" s="14">
        <f>SUM(D100:D107)</f>
        <v>9.0437E-3</v>
      </c>
      <c r="E108" s="6">
        <f>SUM(E100:E107)</f>
        <v>0</v>
      </c>
    </row>
  </sheetData>
  <pageMargins left="0.7" right="0.7" top="0.75" bottom="0.7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08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21" t="s">
        <v>100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 t="s">
        <v>74</v>
      </c>
      <c r="B4" s="5">
        <v>15</v>
      </c>
      <c r="C4" s="5">
        <f t="shared" ref="C4:C10" si="0">B16+B28+B40+B52+B64+B76+B88+B100</f>
        <v>15.59</v>
      </c>
      <c r="D4" s="5">
        <f t="shared" ref="D4:D10" si="1">B4-C4</f>
        <v>-0.58999999999999986</v>
      </c>
      <c r="E4" s="6"/>
      <c r="F4" s="5"/>
    </row>
    <row r="5" spans="1:6" x14ac:dyDescent="0.25">
      <c r="A5" s="10" t="s">
        <v>75</v>
      </c>
      <c r="B5" s="5">
        <v>3.12</v>
      </c>
      <c r="C5" s="5">
        <f t="shared" si="0"/>
        <v>3.11</v>
      </c>
      <c r="D5" s="5">
        <f t="shared" si="1"/>
        <v>1.0000000000000231E-2</v>
      </c>
      <c r="E5" s="6"/>
      <c r="F5" s="6"/>
    </row>
    <row r="6" spans="1:6" x14ac:dyDescent="0.25">
      <c r="A6" s="10" t="s">
        <v>76</v>
      </c>
      <c r="B6" s="5">
        <v>3.66</v>
      </c>
      <c r="C6" s="5">
        <f t="shared" si="0"/>
        <v>2.8499999999999996</v>
      </c>
      <c r="D6" s="5">
        <f t="shared" si="1"/>
        <v>0.8100000000000005</v>
      </c>
      <c r="E6" s="6"/>
      <c r="F6" s="2"/>
    </row>
    <row r="7" spans="1:6" x14ac:dyDescent="0.25">
      <c r="A7" s="10" t="s">
        <v>77</v>
      </c>
      <c r="B7" s="5">
        <v>1.38</v>
      </c>
      <c r="C7" s="5">
        <f t="shared" si="0"/>
        <v>3.05</v>
      </c>
      <c r="D7" s="5">
        <f t="shared" si="1"/>
        <v>-1.67</v>
      </c>
      <c r="E7" s="6"/>
      <c r="F7" s="2"/>
    </row>
    <row r="8" spans="1:6" x14ac:dyDescent="0.25">
      <c r="A8" s="10" t="s">
        <v>79</v>
      </c>
      <c r="B8" s="5">
        <v>2.82</v>
      </c>
      <c r="C8" s="5">
        <f t="shared" si="0"/>
        <v>2.7600000000000002</v>
      </c>
      <c r="D8" s="5">
        <f t="shared" si="1"/>
        <v>5.9999999999999609E-2</v>
      </c>
      <c r="E8" s="6"/>
      <c r="F8" s="2"/>
    </row>
    <row r="9" spans="1:6" x14ac:dyDescent="0.25">
      <c r="A9" s="10" t="s">
        <v>78</v>
      </c>
      <c r="B9" s="5">
        <v>2.68</v>
      </c>
      <c r="C9" s="5">
        <f t="shared" si="0"/>
        <v>2.59</v>
      </c>
      <c r="D9" s="5">
        <f t="shared" si="1"/>
        <v>9.0000000000000302E-2</v>
      </c>
      <c r="E9" s="6"/>
      <c r="F9" s="2"/>
    </row>
    <row r="10" spans="1:6" x14ac:dyDescent="0.25">
      <c r="A10" s="10" t="s">
        <v>80</v>
      </c>
      <c r="B10" s="5">
        <v>2.92</v>
      </c>
      <c r="C10" s="5">
        <f t="shared" si="0"/>
        <v>2.71</v>
      </c>
      <c r="D10" s="5">
        <f t="shared" si="1"/>
        <v>0.20999999999999996</v>
      </c>
      <c r="E10" s="6"/>
      <c r="F10" s="2"/>
    </row>
    <row r="11" spans="1:6" x14ac:dyDescent="0.25">
      <c r="A11" s="2"/>
      <c r="B11" s="5"/>
      <c r="C11" s="2"/>
      <c r="D11" s="2"/>
      <c r="E11" s="6"/>
      <c r="F11" s="2"/>
    </row>
    <row r="12" spans="1:6" x14ac:dyDescent="0.25">
      <c r="A12" s="2" t="s">
        <v>2</v>
      </c>
      <c r="B12" s="5">
        <f>SUM(B4:B11)</f>
        <v>31.58</v>
      </c>
      <c r="C12" s="5">
        <f t="shared" ref="C12:D12" si="2">SUM(C4:C11)</f>
        <v>32.659999999999997</v>
      </c>
      <c r="D12" s="5">
        <f t="shared" si="2"/>
        <v>-1.0799999999999992</v>
      </c>
      <c r="E12" s="5">
        <f>E24+E36+E48+E60+E72+E84+E96+E108</f>
        <v>1.08</v>
      </c>
      <c r="F12" s="5">
        <v>0.13</v>
      </c>
    </row>
    <row r="15" spans="1:6" x14ac:dyDescent="0.25">
      <c r="A15" s="11" t="s">
        <v>14</v>
      </c>
      <c r="B15" s="3" t="s">
        <v>3</v>
      </c>
      <c r="C15" s="3" t="s">
        <v>0</v>
      </c>
      <c r="D15" s="3" t="s">
        <v>1</v>
      </c>
      <c r="E15" s="3" t="s">
        <v>25</v>
      </c>
    </row>
    <row r="16" spans="1:6" x14ac:dyDescent="0.25">
      <c r="A16" s="11" t="str">
        <f t="shared" ref="A16:A22" si="3">A4</f>
        <v>2025.07.01</v>
      </c>
      <c r="B16" s="5">
        <v>0</v>
      </c>
      <c r="C16" s="7" t="e">
        <f t="shared" ref="C16:C22" si="4">B16/D16</f>
        <v>#DIV/0!</v>
      </c>
      <c r="D16" s="14">
        <v>0</v>
      </c>
      <c r="E16" s="6"/>
    </row>
    <row r="17" spans="1:5" x14ac:dyDescent="0.25">
      <c r="A17" s="11" t="str">
        <f t="shared" si="3"/>
        <v>2025.07.08</v>
      </c>
      <c r="B17" s="5">
        <v>0.14000000000000001</v>
      </c>
      <c r="C17" s="7">
        <f t="shared" si="4"/>
        <v>88.480474255342017</v>
      </c>
      <c r="D17" s="14">
        <v>1.58227E-3</v>
      </c>
      <c r="E17" s="6"/>
    </row>
    <row r="18" spans="1:5" ht="15" customHeight="1" x14ac:dyDescent="0.25">
      <c r="A18" s="11" t="str">
        <f t="shared" si="3"/>
        <v>2025.07.09</v>
      </c>
      <c r="B18" s="5">
        <v>0.25</v>
      </c>
      <c r="C18" s="7">
        <f t="shared" si="4"/>
        <v>89.710235937920515</v>
      </c>
      <c r="D18" s="14">
        <v>2.7867500000000002E-3</v>
      </c>
      <c r="E18" s="6"/>
    </row>
    <row r="19" spans="1:5" ht="15" customHeight="1" x14ac:dyDescent="0.25">
      <c r="A19" s="11" t="str">
        <f t="shared" si="3"/>
        <v>2025.07.10</v>
      </c>
      <c r="B19" s="5">
        <v>0.25</v>
      </c>
      <c r="C19" s="7">
        <f t="shared" si="4"/>
        <v>89.770152501535065</v>
      </c>
      <c r="D19" s="6">
        <v>2.7848899999999999E-3</v>
      </c>
      <c r="E19" s="6"/>
    </row>
    <row r="20" spans="1:5" ht="15" customHeight="1" x14ac:dyDescent="0.25">
      <c r="A20" s="11" t="str">
        <f t="shared" si="3"/>
        <v>2025.07.14</v>
      </c>
      <c r="B20" s="5">
        <v>0.31</v>
      </c>
      <c r="C20" s="7">
        <f t="shared" si="4"/>
        <v>88.430192920449912</v>
      </c>
      <c r="D20" s="6">
        <v>3.5055899999999998E-3</v>
      </c>
      <c r="E20" s="6"/>
    </row>
    <row r="21" spans="1:5" ht="15" customHeight="1" x14ac:dyDescent="0.25">
      <c r="A21" s="11" t="str">
        <f t="shared" si="3"/>
        <v>2025.07.17</v>
      </c>
      <c r="B21" s="5">
        <v>0</v>
      </c>
      <c r="C21" s="6" t="e">
        <f t="shared" si="4"/>
        <v>#DIV/0!</v>
      </c>
      <c r="D21" s="14">
        <v>0</v>
      </c>
      <c r="E21" s="6"/>
    </row>
    <row r="22" spans="1:5" ht="15" customHeight="1" x14ac:dyDescent="0.25">
      <c r="A22" s="11" t="str">
        <f t="shared" si="3"/>
        <v>2025.07.24</v>
      </c>
      <c r="B22" s="5">
        <v>0</v>
      </c>
      <c r="C22" s="6" t="e">
        <f t="shared" si="4"/>
        <v>#DIV/0!</v>
      </c>
      <c r="D22" s="14">
        <v>0</v>
      </c>
      <c r="E22" s="6"/>
    </row>
    <row r="23" spans="1:5" x14ac:dyDescent="0.25">
      <c r="A23" s="2"/>
      <c r="B23" s="6"/>
      <c r="C23" s="6"/>
      <c r="D23" s="6"/>
      <c r="E23" s="6"/>
    </row>
    <row r="24" spans="1:5" x14ac:dyDescent="0.25">
      <c r="A24" s="2" t="s">
        <v>2</v>
      </c>
      <c r="B24" s="5">
        <f>SUM(B16:B23)</f>
        <v>0.95</v>
      </c>
      <c r="C24" s="6"/>
      <c r="D24" s="14">
        <f>SUM(D16:D23)</f>
        <v>1.0659500000000001E-2</v>
      </c>
      <c r="E24" s="6">
        <f>SUM(E16:E23)</f>
        <v>0</v>
      </c>
    </row>
    <row r="25" spans="1:5" x14ac:dyDescent="0.25">
      <c r="B25" s="9"/>
      <c r="C25" s="1"/>
      <c r="D25" s="12"/>
    </row>
    <row r="26" spans="1:5" x14ac:dyDescent="0.25">
      <c r="B26" s="1"/>
      <c r="C26" s="1"/>
      <c r="D26" s="1"/>
    </row>
    <row r="27" spans="1:5" x14ac:dyDescent="0.25">
      <c r="A27" s="11" t="s">
        <v>15</v>
      </c>
      <c r="B27" s="3" t="s">
        <v>3</v>
      </c>
      <c r="C27" s="3" t="s">
        <v>0</v>
      </c>
      <c r="D27" s="3" t="s">
        <v>1</v>
      </c>
      <c r="E27" s="3" t="s">
        <v>25</v>
      </c>
    </row>
    <row r="28" spans="1:5" x14ac:dyDescent="0.25">
      <c r="A28" s="11" t="str">
        <f t="shared" ref="A28:A34" si="5">A4</f>
        <v>2025.07.01</v>
      </c>
      <c r="B28" s="5">
        <v>3.86</v>
      </c>
      <c r="C28" s="7">
        <f t="shared" ref="C28:C34" si="6">B28/D28</f>
        <v>74.237007994710325</v>
      </c>
      <c r="D28" s="14">
        <v>5.1995630000000001E-2</v>
      </c>
      <c r="E28" s="5">
        <v>1.08</v>
      </c>
    </row>
    <row r="29" spans="1:5" x14ac:dyDescent="0.25">
      <c r="A29" s="11" t="str">
        <f t="shared" si="5"/>
        <v>2025.07.08</v>
      </c>
      <c r="B29" s="5">
        <v>0.38</v>
      </c>
      <c r="C29" s="7">
        <f t="shared" si="6"/>
        <v>74.444555458255223</v>
      </c>
      <c r="D29" s="14">
        <v>5.1044699999999998E-3</v>
      </c>
      <c r="E29" s="6"/>
    </row>
    <row r="30" spans="1:5" x14ac:dyDescent="0.25">
      <c r="A30" s="11" t="str">
        <f t="shared" si="5"/>
        <v>2025.07.09</v>
      </c>
      <c r="B30" s="5">
        <v>0.57999999999999996</v>
      </c>
      <c r="C30" s="7">
        <f t="shared" si="6"/>
        <v>74.711074242197839</v>
      </c>
      <c r="D30" s="14">
        <v>7.7632400000000002E-3</v>
      </c>
      <c r="E30" s="6"/>
    </row>
    <row r="31" spans="1:5" x14ac:dyDescent="0.25">
      <c r="A31" s="11" t="str">
        <f t="shared" si="5"/>
        <v>2025.07.10</v>
      </c>
      <c r="B31" s="5">
        <v>0.54</v>
      </c>
      <c r="C31" s="7">
        <f t="shared" si="6"/>
        <v>74.69706191556466</v>
      </c>
      <c r="D31" s="14">
        <v>7.2291999999999999E-3</v>
      </c>
      <c r="E31" s="6"/>
    </row>
    <row r="32" spans="1:5" x14ac:dyDescent="0.25">
      <c r="A32" s="11" t="str">
        <f t="shared" si="5"/>
        <v>2025.07.14</v>
      </c>
      <c r="B32" s="5">
        <v>0.37</v>
      </c>
      <c r="C32" s="7">
        <f t="shared" si="6"/>
        <v>74.727094630757264</v>
      </c>
      <c r="D32" s="14">
        <v>4.9513500000000002E-3</v>
      </c>
      <c r="E32" s="6"/>
    </row>
    <row r="33" spans="1:5" x14ac:dyDescent="0.25">
      <c r="A33" s="11" t="str">
        <f t="shared" si="5"/>
        <v>2025.07.17</v>
      </c>
      <c r="B33" s="5">
        <v>0.81</v>
      </c>
      <c r="C33" s="7">
        <f t="shared" si="6"/>
        <v>75.213033954506329</v>
      </c>
      <c r="D33" s="6">
        <v>1.076941E-2</v>
      </c>
      <c r="E33" s="6"/>
    </row>
    <row r="34" spans="1:5" x14ac:dyDescent="0.25">
      <c r="A34" s="11" t="str">
        <f t="shared" si="5"/>
        <v>2025.07.24</v>
      </c>
      <c r="B34" s="5">
        <v>0.51</v>
      </c>
      <c r="C34" s="7">
        <f t="shared" si="6"/>
        <v>74.635056525079577</v>
      </c>
      <c r="D34" s="6">
        <v>6.8332499999999999E-3</v>
      </c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SUM(B28:B35)</f>
        <v>7.0500000000000007</v>
      </c>
      <c r="C36" s="6"/>
      <c r="D36" s="14">
        <f>SUM(D28:D35)</f>
        <v>9.464655000000001E-2</v>
      </c>
      <c r="E36" s="5">
        <f>SUM(E28:E35)</f>
        <v>1.08</v>
      </c>
    </row>
    <row r="39" spans="1:5" x14ac:dyDescent="0.25">
      <c r="A39" s="11" t="s">
        <v>16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 t="str">
        <f t="shared" ref="A40:A46" si="7">A4</f>
        <v>2025.07.01</v>
      </c>
      <c r="B40" s="5">
        <v>2.57</v>
      </c>
      <c r="C40" s="7">
        <f t="shared" ref="C40:C46" si="8">B40/D40</f>
        <v>4.2760000644894012</v>
      </c>
      <c r="D40" s="14">
        <v>0.60102898999999999</v>
      </c>
      <c r="E40" s="6"/>
    </row>
    <row r="41" spans="1:5" x14ac:dyDescent="0.25">
      <c r="A41" s="11" t="str">
        <f t="shared" si="7"/>
        <v>2025.07.08</v>
      </c>
      <c r="B41" s="5">
        <v>0.42</v>
      </c>
      <c r="C41" s="7">
        <f t="shared" si="8"/>
        <v>4.2951003949038018</v>
      </c>
      <c r="D41" s="14">
        <v>9.7785839999999999E-2</v>
      </c>
      <c r="E41" s="6"/>
    </row>
    <row r="42" spans="1:5" x14ac:dyDescent="0.25">
      <c r="A42" s="11" t="str">
        <f t="shared" si="7"/>
        <v>2025.07.09</v>
      </c>
      <c r="B42" s="5">
        <v>0.26</v>
      </c>
      <c r="C42" s="7">
        <f t="shared" si="8"/>
        <v>4.3104005655245548</v>
      </c>
      <c r="D42" s="14">
        <v>6.031922E-2</v>
      </c>
      <c r="E42" s="6"/>
    </row>
    <row r="43" spans="1:5" x14ac:dyDescent="0.25">
      <c r="A43" s="11" t="str">
        <f t="shared" si="7"/>
        <v>2025.07.10</v>
      </c>
      <c r="B43" s="5">
        <v>0.45</v>
      </c>
      <c r="C43" s="7">
        <f t="shared" si="8"/>
        <v>4.3114003773337615</v>
      </c>
      <c r="D43" s="14">
        <v>0.10437444</v>
      </c>
      <c r="E43" s="6"/>
    </row>
    <row r="44" spans="1:5" x14ac:dyDescent="0.25">
      <c r="A44" s="11" t="str">
        <f t="shared" si="7"/>
        <v>2025.07.14</v>
      </c>
      <c r="B44" s="5">
        <v>0.21</v>
      </c>
      <c r="C44" s="7">
        <f t="shared" si="8"/>
        <v>4.3249005324364447</v>
      </c>
      <c r="D44" s="14">
        <v>4.855603E-2</v>
      </c>
      <c r="E44" s="6"/>
    </row>
    <row r="45" spans="1:5" x14ac:dyDescent="0.25">
      <c r="A45" s="11" t="str">
        <f t="shared" si="7"/>
        <v>2025.07.17</v>
      </c>
      <c r="B45" s="5">
        <v>0.45</v>
      </c>
      <c r="C45" s="7">
        <f t="shared" si="8"/>
        <v>4.3622002744308661</v>
      </c>
      <c r="D45" s="6">
        <v>0.10315895</v>
      </c>
      <c r="E45" s="6"/>
    </row>
    <row r="46" spans="1:5" x14ac:dyDescent="0.25">
      <c r="A46" s="11" t="str">
        <f t="shared" si="7"/>
        <v>2025.07.24</v>
      </c>
      <c r="B46" s="5">
        <v>0.59</v>
      </c>
      <c r="C46" s="7">
        <f t="shared" si="8"/>
        <v>4.3042001479331704</v>
      </c>
      <c r="D46" s="6">
        <v>0.13707541000000001</v>
      </c>
      <c r="E46" s="6"/>
    </row>
    <row r="47" spans="1:5" x14ac:dyDescent="0.25">
      <c r="A47" s="2"/>
      <c r="B47" s="6"/>
      <c r="C47" s="6"/>
      <c r="D47" s="6"/>
      <c r="E47" s="6"/>
    </row>
    <row r="48" spans="1:5" x14ac:dyDescent="0.25">
      <c r="A48" s="2" t="s">
        <v>2</v>
      </c>
      <c r="B48" s="5">
        <f>SUM(B40:B47)</f>
        <v>4.95</v>
      </c>
      <c r="C48" s="6"/>
      <c r="D48" s="14">
        <f>SUM(D40:D47)</f>
        <v>1.15229888</v>
      </c>
      <c r="E48" s="6">
        <f>SUM(E40:E47)</f>
        <v>0</v>
      </c>
    </row>
    <row r="51" spans="1:5" x14ac:dyDescent="0.25">
      <c r="A51" s="11" t="s">
        <v>17</v>
      </c>
      <c r="B51" s="3" t="s">
        <v>3</v>
      </c>
      <c r="C51" s="3" t="s">
        <v>0</v>
      </c>
      <c r="D51" s="3" t="s">
        <v>1</v>
      </c>
      <c r="E51" s="3" t="s">
        <v>25</v>
      </c>
    </row>
    <row r="52" spans="1:5" x14ac:dyDescent="0.25">
      <c r="A52" s="11" t="str">
        <f t="shared" ref="A52:A58" si="9">A4</f>
        <v>2025.07.01</v>
      </c>
      <c r="B52" s="5">
        <v>2.16</v>
      </c>
      <c r="C52" s="7">
        <f t="shared" ref="C52:C58" si="10">B52/D52</f>
        <v>86.763922596940617</v>
      </c>
      <c r="D52" s="14">
        <v>2.489514E-2</v>
      </c>
      <c r="E52" s="6"/>
    </row>
    <row r="53" spans="1:5" x14ac:dyDescent="0.25">
      <c r="A53" s="11" t="str">
        <f t="shared" si="9"/>
        <v>2025.07.08</v>
      </c>
      <c r="B53" s="5">
        <v>0.54</v>
      </c>
      <c r="C53" s="7">
        <f t="shared" si="10"/>
        <v>86.152020025558429</v>
      </c>
      <c r="D53" s="14">
        <v>6.2679900000000002E-3</v>
      </c>
      <c r="E53" s="5"/>
    </row>
    <row r="54" spans="1:5" x14ac:dyDescent="0.25">
      <c r="A54" s="11" t="str">
        <f t="shared" si="9"/>
        <v>2025.07.09</v>
      </c>
      <c r="B54" s="5">
        <v>0.46</v>
      </c>
      <c r="C54" s="7">
        <f t="shared" si="10"/>
        <v>86.526017997411742</v>
      </c>
      <c r="D54" s="14">
        <v>5.3163200000000002E-3</v>
      </c>
      <c r="E54" s="5"/>
    </row>
    <row r="55" spans="1:5" x14ac:dyDescent="0.25">
      <c r="A55" s="11" t="str">
        <f t="shared" si="9"/>
        <v>2025.07.10</v>
      </c>
      <c r="B55" s="5">
        <v>0.28999999999999998</v>
      </c>
      <c r="C55" s="7">
        <f t="shared" si="10"/>
        <v>86.884096615115439</v>
      </c>
      <c r="D55" s="14">
        <v>3.3377799999999998E-3</v>
      </c>
      <c r="E55" s="5"/>
    </row>
    <row r="56" spans="1:5" x14ac:dyDescent="0.25">
      <c r="A56" s="11" t="str">
        <f t="shared" si="9"/>
        <v>2025.07.14</v>
      </c>
      <c r="B56" s="5">
        <v>0.39</v>
      </c>
      <c r="C56" s="7">
        <f t="shared" si="10"/>
        <v>86.549920440650055</v>
      </c>
      <c r="D56" s="14">
        <v>4.50607E-3</v>
      </c>
      <c r="E56" s="6"/>
    </row>
    <row r="57" spans="1:5" x14ac:dyDescent="0.25">
      <c r="A57" s="11" t="str">
        <f t="shared" si="9"/>
        <v>2025.07.17</v>
      </c>
      <c r="B57" s="5">
        <v>0.6</v>
      </c>
      <c r="C57" s="7">
        <f t="shared" si="10"/>
        <v>86.977951089398843</v>
      </c>
      <c r="D57" s="14">
        <v>6.8982999999999996E-3</v>
      </c>
      <c r="E57" s="6"/>
    </row>
    <row r="58" spans="1:5" x14ac:dyDescent="0.25">
      <c r="A58" s="11" t="str">
        <f t="shared" si="9"/>
        <v>2025.07.24</v>
      </c>
      <c r="B58" s="5">
        <v>0</v>
      </c>
      <c r="C58" s="7" t="e">
        <f t="shared" si="10"/>
        <v>#DIV/0!</v>
      </c>
      <c r="D58" s="14">
        <v>0</v>
      </c>
      <c r="E58" s="6"/>
    </row>
    <row r="59" spans="1:5" x14ac:dyDescent="0.25">
      <c r="A59" s="2"/>
      <c r="B59" s="6"/>
      <c r="C59" s="6"/>
      <c r="D59" s="6"/>
      <c r="E59" s="6"/>
    </row>
    <row r="60" spans="1:5" x14ac:dyDescent="0.25">
      <c r="A60" s="2" t="s">
        <v>2</v>
      </c>
      <c r="B60" s="5">
        <f>SUM(B52:B59)</f>
        <v>4.4400000000000004</v>
      </c>
      <c r="C60" s="6"/>
      <c r="D60" s="14">
        <f>SUM(D52:D59)</f>
        <v>5.1221600000000006E-2</v>
      </c>
      <c r="E60" s="5">
        <f>SUM(E52:E59)</f>
        <v>0</v>
      </c>
    </row>
    <row r="63" spans="1:5" x14ac:dyDescent="0.25">
      <c r="A63" s="11" t="s">
        <v>18</v>
      </c>
      <c r="B63" s="3" t="s">
        <v>3</v>
      </c>
      <c r="C63" s="3" t="s">
        <v>0</v>
      </c>
      <c r="D63" s="3" t="s">
        <v>1</v>
      </c>
      <c r="E63" s="3" t="s">
        <v>25</v>
      </c>
    </row>
    <row r="64" spans="1:5" x14ac:dyDescent="0.25">
      <c r="A64" s="11" t="str">
        <f t="shared" ref="A64:A70" si="11">A4</f>
        <v>2025.07.01</v>
      </c>
      <c r="B64" s="5">
        <v>2.69</v>
      </c>
      <c r="C64" s="7">
        <f t="shared" ref="C64:C70" si="12">B64/D64</f>
        <v>62.110008600735391</v>
      </c>
      <c r="D64" s="14">
        <v>4.3310250000000002E-2</v>
      </c>
      <c r="E64" s="6"/>
    </row>
    <row r="65" spans="1:5" x14ac:dyDescent="0.25">
      <c r="A65" s="11" t="str">
        <f t="shared" si="11"/>
        <v>2025.07.08</v>
      </c>
      <c r="B65" s="5">
        <v>0.54</v>
      </c>
      <c r="C65" s="7">
        <f t="shared" si="12"/>
        <v>62.4800410979826</v>
      </c>
      <c r="D65" s="14">
        <v>8.6427599999999993E-3</v>
      </c>
      <c r="E65" s="6"/>
    </row>
    <row r="66" spans="1:5" x14ac:dyDescent="0.25">
      <c r="A66" s="11" t="str">
        <f t="shared" si="11"/>
        <v>2025.07.09</v>
      </c>
      <c r="B66" s="5">
        <v>0.44</v>
      </c>
      <c r="C66" s="7">
        <f t="shared" si="12"/>
        <v>63.030025212010088</v>
      </c>
      <c r="D66" s="14">
        <v>6.9807999999999997E-3</v>
      </c>
      <c r="E66" s="6"/>
    </row>
    <row r="67" spans="1:5" x14ac:dyDescent="0.25">
      <c r="A67" s="11" t="str">
        <f t="shared" si="11"/>
        <v>2025.07.10</v>
      </c>
      <c r="B67" s="5">
        <v>0.59</v>
      </c>
      <c r="C67" s="7">
        <f t="shared" si="12"/>
        <v>63.12010150568188</v>
      </c>
      <c r="D67" s="14">
        <v>9.3472599999999996E-3</v>
      </c>
      <c r="E67" s="6"/>
    </row>
    <row r="68" spans="1:5" x14ac:dyDescent="0.25">
      <c r="A68" s="11" t="str">
        <f t="shared" si="11"/>
        <v>2025.07.14</v>
      </c>
      <c r="B68" s="5">
        <v>0.73</v>
      </c>
      <c r="C68" s="7">
        <f t="shared" si="12"/>
        <v>62.790027567402511</v>
      </c>
      <c r="D68" s="14">
        <v>1.1626050000000001E-2</v>
      </c>
      <c r="E68" s="6"/>
    </row>
    <row r="69" spans="1:5" x14ac:dyDescent="0.25">
      <c r="A69" s="11" t="str">
        <f t="shared" si="11"/>
        <v>2025.07.17</v>
      </c>
      <c r="B69" s="5">
        <v>0.21</v>
      </c>
      <c r="C69" s="7">
        <f t="shared" si="12"/>
        <v>63.170243807060025</v>
      </c>
      <c r="D69" s="6">
        <v>3.3243499999999998E-3</v>
      </c>
      <c r="E69" s="6"/>
    </row>
    <row r="70" spans="1:5" x14ac:dyDescent="0.25">
      <c r="A70" s="11" t="str">
        <f t="shared" si="11"/>
        <v>2025.07.24</v>
      </c>
      <c r="B70" s="5">
        <v>0.87</v>
      </c>
      <c r="C70" s="7">
        <f t="shared" si="12"/>
        <v>63.330023672326092</v>
      </c>
      <c r="D70" s="6">
        <v>1.3737559999999999E-2</v>
      </c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SUM(B64:B71)</f>
        <v>6.07</v>
      </c>
      <c r="C72" s="6"/>
      <c r="D72" s="14">
        <f>SUM(D64:D71)</f>
        <v>9.6969029999999998E-2</v>
      </c>
      <c r="E72" s="6">
        <f>SUM(E64:E71)</f>
        <v>0</v>
      </c>
    </row>
    <row r="75" spans="1:5" x14ac:dyDescent="0.25">
      <c r="A75" s="15" t="s">
        <v>19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 t="str">
        <f t="shared" ref="A76:A82" si="13">A4</f>
        <v>2025.07.01</v>
      </c>
      <c r="B76" s="5">
        <v>2.09</v>
      </c>
      <c r="C76" s="7">
        <f t="shared" ref="C76:C82" si="14">B76/D76</f>
        <v>109.37993092840533</v>
      </c>
      <c r="D76" s="14">
        <v>1.910771E-2</v>
      </c>
      <c r="E76" s="5"/>
    </row>
    <row r="77" spans="1:5" x14ac:dyDescent="0.25">
      <c r="A77" s="11" t="str">
        <f t="shared" si="13"/>
        <v>2025.07.08</v>
      </c>
      <c r="B77" s="5">
        <v>0.35</v>
      </c>
      <c r="C77" s="7">
        <f t="shared" si="14"/>
        <v>109.53005348196039</v>
      </c>
      <c r="D77" s="14">
        <v>3.1954700000000002E-3</v>
      </c>
      <c r="E77" s="6"/>
    </row>
    <row r="78" spans="1:5" x14ac:dyDescent="0.25">
      <c r="A78" s="11" t="str">
        <f t="shared" si="13"/>
        <v>2025.07.09</v>
      </c>
      <c r="B78" s="5">
        <v>0.31</v>
      </c>
      <c r="C78" s="7">
        <f t="shared" si="14"/>
        <v>109.96495310526839</v>
      </c>
      <c r="D78" s="14">
        <v>2.8190799999999998E-3</v>
      </c>
      <c r="E78" s="6"/>
    </row>
    <row r="79" spans="1:5" x14ac:dyDescent="0.25">
      <c r="A79" s="11" t="str">
        <f t="shared" si="13"/>
        <v>2025.07.10</v>
      </c>
      <c r="B79" s="5">
        <v>0.36</v>
      </c>
      <c r="C79" s="7">
        <f t="shared" si="14"/>
        <v>110.03521126760563</v>
      </c>
      <c r="D79" s="14">
        <v>3.2716799999999999E-3</v>
      </c>
      <c r="E79" s="6"/>
    </row>
    <row r="80" spans="1:5" x14ac:dyDescent="0.25">
      <c r="A80" s="11" t="str">
        <f t="shared" si="13"/>
        <v>2025.07.14</v>
      </c>
      <c r="B80" s="5">
        <v>0.2</v>
      </c>
      <c r="C80" s="7">
        <f t="shared" si="14"/>
        <v>110.31013695003503</v>
      </c>
      <c r="D80" s="14">
        <v>1.81307E-3</v>
      </c>
      <c r="E80" s="6"/>
    </row>
    <row r="81" spans="1:5" x14ac:dyDescent="0.25">
      <c r="A81" s="11" t="str">
        <f t="shared" si="13"/>
        <v>2025.07.17</v>
      </c>
      <c r="B81" s="5">
        <v>0.37</v>
      </c>
      <c r="C81" s="7">
        <f t="shared" si="14"/>
        <v>111.05508332132737</v>
      </c>
      <c r="D81" s="6">
        <v>3.3316800000000001E-3</v>
      </c>
      <c r="E81" s="6"/>
    </row>
    <row r="82" spans="1:5" x14ac:dyDescent="0.25">
      <c r="A82" s="11" t="str">
        <f t="shared" si="13"/>
        <v>2025.07.24</v>
      </c>
      <c r="B82" s="5">
        <v>0.48</v>
      </c>
      <c r="C82" s="7">
        <f t="shared" si="14"/>
        <v>109.72507012117761</v>
      </c>
      <c r="D82" s="6">
        <v>4.3745700000000004E-3</v>
      </c>
      <c r="E82" s="6"/>
    </row>
    <row r="83" spans="1:5" x14ac:dyDescent="0.25">
      <c r="A83" s="2"/>
      <c r="B83" s="6"/>
      <c r="C83" s="6"/>
      <c r="D83" s="6"/>
      <c r="E83" s="6"/>
    </row>
    <row r="84" spans="1:5" x14ac:dyDescent="0.25">
      <c r="A84" s="2" t="s">
        <v>2</v>
      </c>
      <c r="B84" s="5">
        <f>SUM(B76:B83)</f>
        <v>4.16</v>
      </c>
      <c r="C84" s="6"/>
      <c r="D84" s="14">
        <f>SUM(D76:D83)</f>
        <v>3.7913259999999997E-2</v>
      </c>
      <c r="E84" s="5">
        <f>SUM(E76:E83)</f>
        <v>0</v>
      </c>
    </row>
    <row r="87" spans="1:5" x14ac:dyDescent="0.25">
      <c r="A87" s="15" t="s">
        <v>20</v>
      </c>
      <c r="B87" s="3" t="s">
        <v>3</v>
      </c>
      <c r="C87" s="3" t="s">
        <v>0</v>
      </c>
      <c r="D87" s="3" t="s">
        <v>1</v>
      </c>
      <c r="E87" s="3" t="s">
        <v>25</v>
      </c>
    </row>
    <row r="88" spans="1:5" x14ac:dyDescent="0.25">
      <c r="A88" s="11" t="str">
        <f t="shared" ref="A88:A94" si="15">A4</f>
        <v>2025.07.01</v>
      </c>
      <c r="B88" s="5">
        <v>1.29</v>
      </c>
      <c r="C88" s="7">
        <f t="shared" ref="C88:C94" si="16">B88/D88</f>
        <v>84.580014332706313</v>
      </c>
      <c r="D88" s="14">
        <v>1.5251829999999999E-2</v>
      </c>
      <c r="E88" s="6"/>
    </row>
    <row r="89" spans="1:5" x14ac:dyDescent="0.25">
      <c r="A89" s="11" t="str">
        <f t="shared" si="15"/>
        <v>2025.07.08</v>
      </c>
      <c r="B89" s="5">
        <v>0.3</v>
      </c>
      <c r="C89" s="7">
        <f t="shared" si="16"/>
        <v>85.490057506312013</v>
      </c>
      <c r="D89" s="14">
        <v>3.5091800000000002E-3</v>
      </c>
      <c r="E89" s="6"/>
    </row>
    <row r="90" spans="1:5" x14ac:dyDescent="0.25">
      <c r="A90" s="11" t="str">
        <f t="shared" si="15"/>
        <v>2025.07.09</v>
      </c>
      <c r="B90" s="5">
        <v>0.42</v>
      </c>
      <c r="C90" s="7">
        <f t="shared" si="16"/>
        <v>86.210081653263046</v>
      </c>
      <c r="D90" s="14">
        <v>4.8718199999999998E-3</v>
      </c>
      <c r="E90" s="6"/>
    </row>
    <row r="91" spans="1:5" x14ac:dyDescent="0.25">
      <c r="A91" s="11" t="str">
        <f t="shared" si="15"/>
        <v>2025.07.10</v>
      </c>
      <c r="B91" s="5">
        <v>0.33</v>
      </c>
      <c r="C91" s="7">
        <f t="shared" si="16"/>
        <v>86.370024890270813</v>
      </c>
      <c r="D91" s="14">
        <v>3.8207699999999998E-3</v>
      </c>
      <c r="E91" s="6"/>
    </row>
    <row r="92" spans="1:5" x14ac:dyDescent="0.25">
      <c r="A92" s="11" t="str">
        <f t="shared" si="15"/>
        <v>2025.07.14</v>
      </c>
      <c r="B92" s="5">
        <v>0.37</v>
      </c>
      <c r="C92" s="7">
        <f t="shared" si="16"/>
        <v>86.20006802816178</v>
      </c>
      <c r="D92" s="14">
        <v>4.2923400000000004E-3</v>
      </c>
      <c r="E92" s="6"/>
    </row>
    <row r="93" spans="1:5" x14ac:dyDescent="0.25">
      <c r="A93" s="11" t="str">
        <f t="shared" si="15"/>
        <v>2025.07.17</v>
      </c>
      <c r="B93" s="5">
        <v>0</v>
      </c>
      <c r="C93" s="6" t="e">
        <f t="shared" si="16"/>
        <v>#DIV/0!</v>
      </c>
      <c r="D93" s="14">
        <v>0</v>
      </c>
      <c r="E93" s="6"/>
    </row>
    <row r="94" spans="1:5" x14ac:dyDescent="0.25">
      <c r="A94" s="11" t="str">
        <f t="shared" si="15"/>
        <v>2025.07.24</v>
      </c>
      <c r="B94" s="5">
        <v>0.26</v>
      </c>
      <c r="C94" s="7">
        <f t="shared" si="16"/>
        <v>87.720186101748681</v>
      </c>
      <c r="D94" s="14">
        <v>2.9639699999999998E-3</v>
      </c>
      <c r="E94" s="6"/>
    </row>
    <row r="95" spans="1:5" x14ac:dyDescent="0.25">
      <c r="A95" s="2"/>
      <c r="B95" s="6"/>
      <c r="C95" s="6"/>
      <c r="D95" s="6"/>
      <c r="E95" s="6"/>
    </row>
    <row r="96" spans="1:5" x14ac:dyDescent="0.25">
      <c r="A96" s="2" t="s">
        <v>2</v>
      </c>
      <c r="B96" s="5">
        <f>SUM(B88:B95)</f>
        <v>2.9700000000000006</v>
      </c>
      <c r="C96" s="6"/>
      <c r="D96" s="14">
        <f>SUM(D88:D95)</f>
        <v>3.4709909999999997E-2</v>
      </c>
      <c r="E96" s="6">
        <f>SUM(E88:E95)</f>
        <v>0</v>
      </c>
    </row>
    <row r="99" spans="1:5" x14ac:dyDescent="0.25">
      <c r="A99" s="15" t="s">
        <v>21</v>
      </c>
      <c r="B99" s="3" t="s">
        <v>3</v>
      </c>
      <c r="C99" s="3" t="s">
        <v>0</v>
      </c>
      <c r="D99" s="3" t="s">
        <v>1</v>
      </c>
      <c r="E99" s="3" t="s">
        <v>25</v>
      </c>
    </row>
    <row r="100" spans="1:5" x14ac:dyDescent="0.25">
      <c r="A100" s="11" t="str">
        <f t="shared" ref="A100:A106" si="17">A4</f>
        <v>2025.07.01</v>
      </c>
      <c r="B100" s="5">
        <v>0.93</v>
      </c>
      <c r="C100" s="7">
        <f t="shared" ref="C100:C106" si="18">B100/D100</f>
        <v>76.029960709678377</v>
      </c>
      <c r="D100" s="14">
        <v>1.223202E-2</v>
      </c>
      <c r="E100" s="6"/>
    </row>
    <row r="101" spans="1:5" x14ac:dyDescent="0.25">
      <c r="A101" s="11" t="str">
        <f t="shared" si="17"/>
        <v>2025.07.08</v>
      </c>
      <c r="B101" s="5">
        <v>0.44</v>
      </c>
      <c r="C101" s="7">
        <f t="shared" si="18"/>
        <v>74.6199048596213</v>
      </c>
      <c r="D101" s="14">
        <v>5.8965500000000004E-3</v>
      </c>
      <c r="E101" s="6"/>
    </row>
    <row r="102" spans="1:5" x14ac:dyDescent="0.25">
      <c r="A102" s="11" t="str">
        <f t="shared" si="17"/>
        <v>2025.07.09</v>
      </c>
      <c r="B102" s="5">
        <v>0.13</v>
      </c>
      <c r="C102" s="7">
        <f t="shared" si="18"/>
        <v>74.888243697866272</v>
      </c>
      <c r="D102" s="14">
        <v>1.73592E-3</v>
      </c>
      <c r="E102" s="6"/>
    </row>
    <row r="103" spans="1:5" x14ac:dyDescent="0.25">
      <c r="A103" s="11" t="str">
        <f t="shared" si="17"/>
        <v>2025.07.10</v>
      </c>
      <c r="B103" s="5">
        <v>0.24</v>
      </c>
      <c r="C103" s="7">
        <f t="shared" si="18"/>
        <v>74.561948552255501</v>
      </c>
      <c r="D103" s="14">
        <v>3.2188E-3</v>
      </c>
      <c r="E103" s="6"/>
    </row>
    <row r="104" spans="1:5" x14ac:dyDescent="0.25">
      <c r="A104" s="11" t="str">
        <f t="shared" si="17"/>
        <v>2025.07.14</v>
      </c>
      <c r="B104" s="5">
        <v>0.18</v>
      </c>
      <c r="C104" s="7">
        <f t="shared" si="18"/>
        <v>74.194066947779746</v>
      </c>
      <c r="D104" s="14">
        <v>2.4260699999999998E-3</v>
      </c>
      <c r="E104" s="6"/>
    </row>
    <row r="105" spans="1:5" x14ac:dyDescent="0.25">
      <c r="A105" s="11" t="str">
        <f t="shared" si="17"/>
        <v>2025.07.17</v>
      </c>
      <c r="B105" s="5">
        <v>0.15</v>
      </c>
      <c r="C105" s="7">
        <f t="shared" si="18"/>
        <v>74.607935299998502</v>
      </c>
      <c r="D105" s="6">
        <v>2.0105100000000001E-3</v>
      </c>
      <c r="E105" s="6"/>
    </row>
    <row r="106" spans="1:5" x14ac:dyDescent="0.25">
      <c r="A106" s="11" t="str">
        <f t="shared" si="17"/>
        <v>2025.07.24</v>
      </c>
      <c r="B106" s="5">
        <v>0</v>
      </c>
      <c r="C106" s="7" t="e">
        <f t="shared" si="18"/>
        <v>#DIV/0!</v>
      </c>
      <c r="D106" s="14">
        <v>0</v>
      </c>
      <c r="E106" s="6"/>
    </row>
    <row r="107" spans="1:5" x14ac:dyDescent="0.25">
      <c r="A107" s="2"/>
      <c r="B107" s="6"/>
      <c r="C107" s="6"/>
      <c r="D107" s="6"/>
      <c r="E107" s="6"/>
    </row>
    <row r="108" spans="1:5" x14ac:dyDescent="0.25">
      <c r="A108" s="2" t="s">
        <v>2</v>
      </c>
      <c r="B108" s="5">
        <f>SUM(B100:B107)</f>
        <v>2.0699999999999998</v>
      </c>
      <c r="C108" s="6"/>
      <c r="D108" s="14">
        <f>SUM(D100:D107)</f>
        <v>2.7519869999999998E-2</v>
      </c>
      <c r="E108" s="6">
        <f>SUM(E100:E107)</f>
        <v>0</v>
      </c>
    </row>
  </sheetData>
  <pageMargins left="0.7" right="0.7" top="0.75" bottom="0.7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8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21" t="s">
        <v>101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8">
        <v>45809</v>
      </c>
      <c r="B4" s="5">
        <v>25</v>
      </c>
      <c r="C4" s="5">
        <f t="shared" ref="C4" si="0">B16+B28+B40+B52+B64+B76+B88+B100</f>
        <v>24.310000000000002</v>
      </c>
      <c r="D4" s="5">
        <f t="shared" ref="D4" si="1">B4-C4</f>
        <v>0.68999999999999773</v>
      </c>
      <c r="E4" s="6"/>
      <c r="F4" s="5"/>
    </row>
    <row r="5" spans="1:6" x14ac:dyDescent="0.25">
      <c r="A5" s="24"/>
      <c r="B5" s="5"/>
      <c r="C5" s="5"/>
      <c r="D5" s="5"/>
      <c r="E5" s="6"/>
      <c r="F5" s="6"/>
    </row>
    <row r="6" spans="1:6" x14ac:dyDescent="0.25">
      <c r="A6" s="24"/>
      <c r="B6" s="5"/>
      <c r="C6" s="5"/>
      <c r="D6" s="5"/>
      <c r="E6" s="6"/>
      <c r="F6" s="2"/>
    </row>
    <row r="7" spans="1:6" x14ac:dyDescent="0.25">
      <c r="A7" s="24"/>
      <c r="B7" s="5"/>
      <c r="C7" s="5"/>
      <c r="D7" s="5"/>
      <c r="E7" s="6"/>
      <c r="F7" s="2"/>
    </row>
    <row r="8" spans="1:6" x14ac:dyDescent="0.25">
      <c r="A8" s="24"/>
      <c r="B8" s="5"/>
      <c r="C8" s="5"/>
      <c r="D8" s="5"/>
      <c r="E8" s="6"/>
      <c r="F8" s="2"/>
    </row>
    <row r="9" spans="1:6" x14ac:dyDescent="0.25">
      <c r="A9" s="24"/>
      <c r="B9" s="5"/>
      <c r="C9" s="5"/>
      <c r="D9" s="5"/>
      <c r="E9" s="6"/>
      <c r="F9" s="2"/>
    </row>
    <row r="10" spans="1:6" x14ac:dyDescent="0.25">
      <c r="A10" s="24"/>
      <c r="B10" s="5"/>
      <c r="C10" s="5"/>
      <c r="D10" s="5"/>
      <c r="E10" s="6"/>
      <c r="F10" s="2"/>
    </row>
    <row r="11" spans="1:6" x14ac:dyDescent="0.25">
      <c r="A11" s="25"/>
      <c r="B11" s="5"/>
      <c r="C11" s="2"/>
      <c r="D11" s="2"/>
      <c r="E11" s="6"/>
      <c r="F11" s="2"/>
    </row>
    <row r="12" spans="1:6" x14ac:dyDescent="0.25">
      <c r="A12" s="2" t="s">
        <v>2</v>
      </c>
      <c r="B12" s="5">
        <f>SUM(B4:B11)</f>
        <v>25</v>
      </c>
      <c r="C12" s="5">
        <f t="shared" ref="C12:D12" si="2">SUM(C4:C11)</f>
        <v>24.310000000000002</v>
      </c>
      <c r="D12" s="5">
        <f t="shared" si="2"/>
        <v>0.68999999999999773</v>
      </c>
      <c r="E12" s="5">
        <f>E24+E36+E48+E60+E72+E84+E96+E108</f>
        <v>1.0099999999999998</v>
      </c>
      <c r="F12" s="5">
        <v>0.12</v>
      </c>
    </row>
    <row r="15" spans="1:6" x14ac:dyDescent="0.25">
      <c r="A15" s="11" t="s">
        <v>14</v>
      </c>
      <c r="B15" s="3" t="s">
        <v>3</v>
      </c>
      <c r="C15" s="3" t="s">
        <v>0</v>
      </c>
      <c r="D15" s="3" t="s">
        <v>1</v>
      </c>
      <c r="E15" s="3" t="s">
        <v>25</v>
      </c>
    </row>
    <row r="16" spans="1:6" x14ac:dyDescent="0.25">
      <c r="A16" s="17">
        <f t="shared" ref="A16" si="3">A4</f>
        <v>45809</v>
      </c>
      <c r="B16" s="5">
        <v>1.6</v>
      </c>
      <c r="C16" s="7">
        <f>B16/D16</f>
        <v>82.330021951242102</v>
      </c>
      <c r="D16" s="14">
        <v>1.943398E-2</v>
      </c>
      <c r="E16" s="6"/>
    </row>
    <row r="17" spans="1:5" x14ac:dyDescent="0.25">
      <c r="A17" s="17"/>
      <c r="B17" s="5"/>
      <c r="C17" s="7"/>
      <c r="D17" s="14"/>
      <c r="E17" s="6"/>
    </row>
    <row r="18" spans="1:5" ht="15" customHeight="1" x14ac:dyDescent="0.25">
      <c r="A18" s="17"/>
      <c r="B18" s="5"/>
      <c r="C18" s="7"/>
      <c r="D18" s="14"/>
      <c r="E18" s="6"/>
    </row>
    <row r="19" spans="1:5" ht="15" customHeight="1" x14ac:dyDescent="0.25">
      <c r="A19" s="17"/>
      <c r="B19" s="5"/>
      <c r="C19" s="7"/>
      <c r="D19" s="6"/>
      <c r="E19" s="6"/>
    </row>
    <row r="20" spans="1:5" ht="15" customHeight="1" x14ac:dyDescent="0.25">
      <c r="A20" s="17"/>
      <c r="B20" s="5"/>
      <c r="C20" s="7"/>
      <c r="D20" s="6"/>
      <c r="E20" s="6"/>
    </row>
    <row r="21" spans="1:5" ht="15" customHeight="1" x14ac:dyDescent="0.25">
      <c r="A21" s="17"/>
      <c r="B21" s="5"/>
      <c r="C21" s="6"/>
      <c r="D21" s="14"/>
      <c r="E21" s="6"/>
    </row>
    <row r="22" spans="1:5" ht="15" customHeight="1" x14ac:dyDescent="0.25">
      <c r="A22" s="17"/>
      <c r="B22" s="5"/>
      <c r="C22" s="6"/>
      <c r="D22" s="14"/>
      <c r="E22" s="6"/>
    </row>
    <row r="23" spans="1:5" x14ac:dyDescent="0.25">
      <c r="A23" s="19"/>
      <c r="B23" s="6"/>
      <c r="C23" s="6"/>
      <c r="D23" s="6"/>
      <c r="E23" s="6"/>
    </row>
    <row r="24" spans="1:5" x14ac:dyDescent="0.25">
      <c r="A24" s="2" t="s">
        <v>2</v>
      </c>
      <c r="B24" s="5">
        <f>SUM(B16:B23)</f>
        <v>1.6</v>
      </c>
      <c r="C24" s="6"/>
      <c r="D24" s="14">
        <f>SUM(D16:D23)</f>
        <v>1.943398E-2</v>
      </c>
      <c r="E24" s="5">
        <f>SUM(E16:E23)</f>
        <v>0</v>
      </c>
    </row>
    <row r="25" spans="1:5" x14ac:dyDescent="0.25">
      <c r="B25" s="9"/>
      <c r="C25" s="1"/>
      <c r="D25" s="12"/>
    </row>
    <row r="26" spans="1:5" x14ac:dyDescent="0.25">
      <c r="B26" s="1"/>
      <c r="C26" s="1"/>
      <c r="D26" s="1"/>
    </row>
    <row r="27" spans="1:5" x14ac:dyDescent="0.25">
      <c r="A27" s="11" t="s">
        <v>15</v>
      </c>
      <c r="B27" s="3" t="s">
        <v>3</v>
      </c>
      <c r="C27" s="3" t="s">
        <v>0</v>
      </c>
      <c r="D27" s="3" t="s">
        <v>1</v>
      </c>
      <c r="E27" s="3" t="s">
        <v>25</v>
      </c>
    </row>
    <row r="28" spans="1:5" x14ac:dyDescent="0.25">
      <c r="A28" s="17">
        <f t="shared" ref="A28" si="4">A4</f>
        <v>45809</v>
      </c>
      <c r="B28" s="5">
        <v>4.08</v>
      </c>
      <c r="C28" s="7">
        <f>B28/D28</f>
        <v>77.897009843089066</v>
      </c>
      <c r="D28" s="14">
        <v>5.2376850000000003E-2</v>
      </c>
      <c r="E28" s="5"/>
    </row>
    <row r="29" spans="1:5" x14ac:dyDescent="0.25">
      <c r="A29" s="17"/>
      <c r="B29" s="5"/>
      <c r="C29" s="7"/>
      <c r="D29" s="14"/>
      <c r="E29" s="6"/>
    </row>
    <row r="30" spans="1:5" x14ac:dyDescent="0.25">
      <c r="A30" s="17"/>
      <c r="B30" s="5"/>
      <c r="C30" s="7"/>
      <c r="D30" s="14"/>
      <c r="E30" s="6"/>
    </row>
    <row r="31" spans="1:5" x14ac:dyDescent="0.25">
      <c r="A31" s="17"/>
      <c r="B31" s="5"/>
      <c r="C31" s="7"/>
      <c r="D31" s="14"/>
      <c r="E31" s="6"/>
    </row>
    <row r="32" spans="1:5" x14ac:dyDescent="0.25">
      <c r="A32" s="17"/>
      <c r="B32" s="5"/>
      <c r="C32" s="7"/>
      <c r="D32" s="14"/>
      <c r="E32" s="6"/>
    </row>
    <row r="33" spans="1:5" x14ac:dyDescent="0.25">
      <c r="A33" s="17"/>
      <c r="B33" s="5"/>
      <c r="C33" s="7"/>
      <c r="D33" s="6"/>
      <c r="E33" s="6"/>
    </row>
    <row r="34" spans="1:5" x14ac:dyDescent="0.25">
      <c r="A34" s="17"/>
      <c r="B34" s="5"/>
      <c r="C34" s="7"/>
      <c r="D34" s="6"/>
      <c r="E34" s="6"/>
    </row>
    <row r="35" spans="1:5" x14ac:dyDescent="0.25">
      <c r="A35" s="19"/>
      <c r="B35" s="6"/>
      <c r="C35" s="6"/>
      <c r="D35" s="6"/>
      <c r="E35" s="6"/>
    </row>
    <row r="36" spans="1:5" x14ac:dyDescent="0.25">
      <c r="A36" s="2" t="s">
        <v>2</v>
      </c>
      <c r="B36" s="5">
        <f>SUM(B28:B35)</f>
        <v>4.08</v>
      </c>
      <c r="C36" s="6"/>
      <c r="D36" s="14">
        <f>SUM(D28:D35)</f>
        <v>5.2376850000000003E-2</v>
      </c>
      <c r="E36" s="5">
        <f>SUM(E28:E35)</f>
        <v>0</v>
      </c>
    </row>
    <row r="39" spans="1:5" x14ac:dyDescent="0.25">
      <c r="A39" s="11" t="s">
        <v>16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7">
        <f t="shared" ref="A40" si="5">A4</f>
        <v>45809</v>
      </c>
      <c r="B40" s="5">
        <v>3.91</v>
      </c>
      <c r="C40" s="7">
        <f>B40/D40</f>
        <v>4.3934000524129262</v>
      </c>
      <c r="D40" s="14">
        <v>0.88997130999999996</v>
      </c>
      <c r="E40" s="6">
        <v>0.59</v>
      </c>
    </row>
    <row r="41" spans="1:5" x14ac:dyDescent="0.25">
      <c r="A41" s="26"/>
      <c r="B41" s="5"/>
      <c r="C41" s="7"/>
      <c r="D41" s="14"/>
      <c r="E41" s="6"/>
    </row>
    <row r="42" spans="1:5" x14ac:dyDescent="0.25">
      <c r="A42" s="26"/>
      <c r="B42" s="5"/>
      <c r="C42" s="7"/>
      <c r="D42" s="14"/>
      <c r="E42" s="6"/>
    </row>
    <row r="43" spans="1:5" x14ac:dyDescent="0.25">
      <c r="A43" s="26"/>
      <c r="B43" s="5"/>
      <c r="C43" s="7"/>
      <c r="D43" s="14"/>
      <c r="E43" s="6"/>
    </row>
    <row r="44" spans="1:5" x14ac:dyDescent="0.25">
      <c r="A44" s="26"/>
      <c r="B44" s="5"/>
      <c r="C44" s="7"/>
      <c r="D44" s="14"/>
      <c r="E44" s="6"/>
    </row>
    <row r="45" spans="1:5" x14ac:dyDescent="0.25">
      <c r="A45" s="26"/>
      <c r="B45" s="5"/>
      <c r="C45" s="7"/>
      <c r="D45" s="6"/>
      <c r="E45" s="6"/>
    </row>
    <row r="46" spans="1:5" x14ac:dyDescent="0.25">
      <c r="A46" s="26"/>
      <c r="B46" s="5"/>
      <c r="C46" s="7"/>
      <c r="D46" s="6"/>
      <c r="E46" s="6"/>
    </row>
    <row r="47" spans="1:5" x14ac:dyDescent="0.25">
      <c r="A47" s="25"/>
      <c r="B47" s="6"/>
      <c r="C47" s="6"/>
      <c r="D47" s="6"/>
      <c r="E47" s="6"/>
    </row>
    <row r="48" spans="1:5" x14ac:dyDescent="0.25">
      <c r="A48" s="2" t="s">
        <v>2</v>
      </c>
      <c r="B48" s="5">
        <f>SUM(B40:B47)</f>
        <v>3.91</v>
      </c>
      <c r="C48" s="6"/>
      <c r="D48" s="14">
        <f>SUM(D40:D47)</f>
        <v>0.88997130999999996</v>
      </c>
      <c r="E48" s="6">
        <f>SUM(E40:E47)</f>
        <v>0.59</v>
      </c>
    </row>
    <row r="51" spans="1:5" x14ac:dyDescent="0.25">
      <c r="A51" s="11" t="s">
        <v>17</v>
      </c>
      <c r="B51" s="3" t="s">
        <v>3</v>
      </c>
      <c r="C51" s="3" t="s">
        <v>0</v>
      </c>
      <c r="D51" s="3" t="s">
        <v>1</v>
      </c>
      <c r="E51" s="3" t="s">
        <v>25</v>
      </c>
    </row>
    <row r="52" spans="1:5" x14ac:dyDescent="0.25">
      <c r="A52" s="17">
        <f t="shared" ref="A52" si="6">A4</f>
        <v>45809</v>
      </c>
      <c r="B52" s="5">
        <v>2.98</v>
      </c>
      <c r="C52" s="7">
        <f>B52/D52</f>
        <v>88.499911648578149</v>
      </c>
      <c r="D52" s="14">
        <v>3.3672349999999997E-2</v>
      </c>
      <c r="E52" s="5">
        <v>0.3</v>
      </c>
    </row>
    <row r="53" spans="1:5" x14ac:dyDescent="0.25">
      <c r="A53" s="17"/>
      <c r="B53" s="5"/>
      <c r="C53" s="7"/>
      <c r="D53" s="14"/>
      <c r="E53" s="5"/>
    </row>
    <row r="54" spans="1:5" x14ac:dyDescent="0.25">
      <c r="A54" s="17"/>
      <c r="B54" s="5"/>
      <c r="C54" s="7"/>
      <c r="D54" s="14"/>
      <c r="E54" s="5"/>
    </row>
    <row r="55" spans="1:5" x14ac:dyDescent="0.25">
      <c r="A55" s="17"/>
      <c r="B55" s="5"/>
      <c r="C55" s="7"/>
      <c r="D55" s="14"/>
      <c r="E55" s="5"/>
    </row>
    <row r="56" spans="1:5" x14ac:dyDescent="0.25">
      <c r="A56" s="17"/>
      <c r="B56" s="5"/>
      <c r="C56" s="7"/>
      <c r="D56" s="14"/>
      <c r="E56" s="6"/>
    </row>
    <row r="57" spans="1:5" x14ac:dyDescent="0.25">
      <c r="A57" s="17"/>
      <c r="B57" s="5"/>
      <c r="C57" s="7"/>
      <c r="D57" s="14"/>
      <c r="E57" s="6"/>
    </row>
    <row r="58" spans="1:5" x14ac:dyDescent="0.25">
      <c r="A58" s="17"/>
      <c r="B58" s="5"/>
      <c r="C58" s="7"/>
      <c r="D58" s="14"/>
      <c r="E58" s="6"/>
    </row>
    <row r="59" spans="1:5" x14ac:dyDescent="0.25">
      <c r="A59" s="19"/>
      <c r="B59" s="6"/>
      <c r="C59" s="6"/>
      <c r="D59" s="6"/>
      <c r="E59" s="6"/>
    </row>
    <row r="60" spans="1:5" x14ac:dyDescent="0.25">
      <c r="A60" s="2" t="s">
        <v>2</v>
      </c>
      <c r="B60" s="5">
        <f>SUM(B52:B59)</f>
        <v>2.98</v>
      </c>
      <c r="C60" s="6"/>
      <c r="D60" s="14">
        <f>SUM(D52:D59)</f>
        <v>3.3672349999999997E-2</v>
      </c>
      <c r="E60" s="5">
        <f>SUM(E52:E59)</f>
        <v>0.3</v>
      </c>
    </row>
    <row r="63" spans="1:5" x14ac:dyDescent="0.25">
      <c r="A63" s="11" t="s">
        <v>18</v>
      </c>
      <c r="B63" s="3" t="s">
        <v>3</v>
      </c>
      <c r="C63" s="3" t="s">
        <v>0</v>
      </c>
      <c r="D63" s="3" t="s">
        <v>1</v>
      </c>
      <c r="E63" s="3" t="s">
        <v>25</v>
      </c>
    </row>
    <row r="64" spans="1:5" x14ac:dyDescent="0.25">
      <c r="A64" s="17">
        <f t="shared" ref="A64" si="7">A4</f>
        <v>45809</v>
      </c>
      <c r="B64" s="5">
        <v>4.82</v>
      </c>
      <c r="C64" s="7">
        <f>B64/D64</f>
        <v>62.040001384959368</v>
      </c>
      <c r="D64" s="14">
        <v>7.769181E-2</v>
      </c>
      <c r="E64" s="6"/>
    </row>
    <row r="65" spans="1:5" x14ac:dyDescent="0.25">
      <c r="A65" s="17"/>
      <c r="B65" s="5"/>
      <c r="C65" s="7"/>
      <c r="D65" s="14"/>
      <c r="E65" s="6"/>
    </row>
    <row r="66" spans="1:5" x14ac:dyDescent="0.25">
      <c r="A66" s="17"/>
      <c r="B66" s="5"/>
      <c r="C66" s="7"/>
      <c r="D66" s="14"/>
      <c r="E66" s="6"/>
    </row>
    <row r="67" spans="1:5" x14ac:dyDescent="0.25">
      <c r="A67" s="17"/>
      <c r="B67" s="5"/>
      <c r="C67" s="7"/>
      <c r="D67" s="14"/>
      <c r="E67" s="6"/>
    </row>
    <row r="68" spans="1:5" x14ac:dyDescent="0.25">
      <c r="A68" s="17"/>
      <c r="B68" s="5"/>
      <c r="C68" s="7"/>
      <c r="D68" s="14"/>
      <c r="E68" s="6"/>
    </row>
    <row r="69" spans="1:5" x14ac:dyDescent="0.25">
      <c r="A69" s="17"/>
      <c r="B69" s="5"/>
      <c r="C69" s="7"/>
      <c r="D69" s="6"/>
      <c r="E69" s="6"/>
    </row>
    <row r="70" spans="1:5" x14ac:dyDescent="0.25">
      <c r="A70" s="17"/>
      <c r="B70" s="5"/>
      <c r="C70" s="7"/>
      <c r="D70" s="6"/>
      <c r="E70" s="6"/>
    </row>
    <row r="71" spans="1:5" x14ac:dyDescent="0.25">
      <c r="A71" s="19"/>
      <c r="B71" s="6"/>
      <c r="C71" s="6"/>
      <c r="D71" s="6"/>
      <c r="E71" s="6"/>
    </row>
    <row r="72" spans="1:5" x14ac:dyDescent="0.25">
      <c r="A72" s="2" t="s">
        <v>2</v>
      </c>
      <c r="B72" s="5">
        <f>SUM(B64:B71)</f>
        <v>4.82</v>
      </c>
      <c r="C72" s="6"/>
      <c r="D72" s="14">
        <f>SUM(D64:D71)</f>
        <v>7.769181E-2</v>
      </c>
      <c r="E72" s="5">
        <f>SUM(E64:E71)</f>
        <v>0</v>
      </c>
    </row>
    <row r="75" spans="1:5" x14ac:dyDescent="0.25">
      <c r="A75" s="15" t="s">
        <v>19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7">
        <f t="shared" ref="A76" si="8">A4</f>
        <v>45809</v>
      </c>
      <c r="B76" s="5">
        <v>2.85</v>
      </c>
      <c r="C76" s="7">
        <f>B76/D76</f>
        <v>112.32492091931445</v>
      </c>
      <c r="D76" s="14">
        <v>2.5372820000000001E-2</v>
      </c>
      <c r="E76" s="5"/>
    </row>
    <row r="77" spans="1:5" x14ac:dyDescent="0.25">
      <c r="A77" s="17"/>
      <c r="B77" s="5"/>
      <c r="C77" s="7"/>
      <c r="D77" s="14"/>
      <c r="E77" s="6"/>
    </row>
    <row r="78" spans="1:5" x14ac:dyDescent="0.25">
      <c r="A78" s="17"/>
      <c r="B78" s="5"/>
      <c r="C78" s="7"/>
      <c r="D78" s="14"/>
      <c r="E78" s="6"/>
    </row>
    <row r="79" spans="1:5" x14ac:dyDescent="0.25">
      <c r="A79" s="17"/>
      <c r="B79" s="5"/>
      <c r="C79" s="7"/>
      <c r="D79" s="14"/>
      <c r="E79" s="6"/>
    </row>
    <row r="80" spans="1:5" x14ac:dyDescent="0.25">
      <c r="A80" s="17"/>
      <c r="B80" s="5"/>
      <c r="C80" s="7"/>
      <c r="D80" s="14"/>
      <c r="E80" s="6"/>
    </row>
    <row r="81" spans="1:5" x14ac:dyDescent="0.25">
      <c r="A81" s="17"/>
      <c r="B81" s="5"/>
      <c r="C81" s="7"/>
      <c r="D81" s="6"/>
      <c r="E81" s="6"/>
    </row>
    <row r="82" spans="1:5" x14ac:dyDescent="0.25">
      <c r="A82" s="17"/>
      <c r="B82" s="5"/>
      <c r="C82" s="7"/>
      <c r="D82" s="6"/>
      <c r="E82" s="6"/>
    </row>
    <row r="83" spans="1:5" x14ac:dyDescent="0.25">
      <c r="A83" s="19"/>
      <c r="B83" s="6"/>
      <c r="C83" s="6"/>
      <c r="D83" s="6"/>
      <c r="E83" s="6"/>
    </row>
    <row r="84" spans="1:5" x14ac:dyDescent="0.25">
      <c r="A84" s="2" t="s">
        <v>2</v>
      </c>
      <c r="B84" s="5">
        <f>SUM(B76:B83)</f>
        <v>2.85</v>
      </c>
      <c r="C84" s="6"/>
      <c r="D84" s="14">
        <f>SUM(D76:D83)</f>
        <v>2.5372820000000001E-2</v>
      </c>
      <c r="E84" s="5">
        <f>SUM(E76:E83)</f>
        <v>0</v>
      </c>
    </row>
    <row r="87" spans="1:5" x14ac:dyDescent="0.25">
      <c r="A87" s="15" t="s">
        <v>20</v>
      </c>
      <c r="B87" s="3" t="s">
        <v>3</v>
      </c>
      <c r="C87" s="3" t="s">
        <v>0</v>
      </c>
      <c r="D87" s="3" t="s">
        <v>1</v>
      </c>
      <c r="E87" s="3" t="s">
        <v>25</v>
      </c>
    </row>
    <row r="88" spans="1:5" x14ac:dyDescent="0.25">
      <c r="A88" s="17">
        <f t="shared" ref="A88" si="9">A4</f>
        <v>45809</v>
      </c>
      <c r="B88" s="5">
        <v>2.94</v>
      </c>
      <c r="C88" s="7">
        <f>B88/D88</f>
        <v>82.860011955516015</v>
      </c>
      <c r="D88" s="14">
        <v>3.5481529999999997E-2</v>
      </c>
      <c r="E88" s="6">
        <v>0.12</v>
      </c>
    </row>
    <row r="89" spans="1:5" x14ac:dyDescent="0.25">
      <c r="A89" s="17"/>
      <c r="B89" s="5"/>
      <c r="C89" s="7"/>
      <c r="D89" s="14"/>
      <c r="E89" s="6"/>
    </row>
    <row r="90" spans="1:5" x14ac:dyDescent="0.25">
      <c r="A90" s="17"/>
      <c r="B90" s="5"/>
      <c r="C90" s="7"/>
      <c r="D90" s="14"/>
      <c r="E90" s="6"/>
    </row>
    <row r="91" spans="1:5" x14ac:dyDescent="0.25">
      <c r="A91" s="17"/>
      <c r="B91" s="5"/>
      <c r="C91" s="7"/>
      <c r="D91" s="14"/>
      <c r="E91" s="6"/>
    </row>
    <row r="92" spans="1:5" x14ac:dyDescent="0.25">
      <c r="A92" s="17"/>
      <c r="B92" s="5"/>
      <c r="C92" s="7"/>
      <c r="D92" s="14"/>
      <c r="E92" s="6"/>
    </row>
    <row r="93" spans="1:5" x14ac:dyDescent="0.25">
      <c r="A93" s="17"/>
      <c r="B93" s="5"/>
      <c r="C93" s="6"/>
      <c r="D93" s="14"/>
      <c r="E93" s="6"/>
    </row>
    <row r="94" spans="1:5" x14ac:dyDescent="0.25">
      <c r="A94" s="17"/>
      <c r="B94" s="5"/>
      <c r="C94" s="7"/>
      <c r="D94" s="14"/>
      <c r="E94" s="6"/>
    </row>
    <row r="95" spans="1:5" x14ac:dyDescent="0.25">
      <c r="A95" s="19"/>
      <c r="B95" s="6"/>
      <c r="C95" s="6"/>
      <c r="D95" s="6"/>
      <c r="E95" s="6"/>
    </row>
    <row r="96" spans="1:5" x14ac:dyDescent="0.25">
      <c r="A96" s="2" t="s">
        <v>2</v>
      </c>
      <c r="B96" s="5">
        <f>SUM(B88:B95)</f>
        <v>2.94</v>
      </c>
      <c r="C96" s="6"/>
      <c r="D96" s="14">
        <f>SUM(D88:D95)</f>
        <v>3.5481529999999997E-2</v>
      </c>
      <c r="E96" s="6">
        <f>SUM(E88:E95)</f>
        <v>0.12</v>
      </c>
    </row>
    <row r="99" spans="1:5" x14ac:dyDescent="0.25">
      <c r="A99" s="15" t="s">
        <v>21</v>
      </c>
      <c r="B99" s="3" t="s">
        <v>3</v>
      </c>
      <c r="C99" s="3" t="s">
        <v>0</v>
      </c>
      <c r="D99" s="3" t="s">
        <v>1</v>
      </c>
      <c r="E99" s="3" t="s">
        <v>25</v>
      </c>
    </row>
    <row r="100" spans="1:5" x14ac:dyDescent="0.25">
      <c r="A100" s="17">
        <f t="shared" ref="A100" si="10">A4</f>
        <v>45809</v>
      </c>
      <c r="B100" s="5">
        <v>1.1299999999999999</v>
      </c>
      <c r="C100" s="7">
        <f>B100/D100</f>
        <v>77.703978099855789</v>
      </c>
      <c r="D100" s="14">
        <v>1.4542370000000001E-2</v>
      </c>
      <c r="E100" s="6"/>
    </row>
    <row r="101" spans="1:5" x14ac:dyDescent="0.25">
      <c r="A101" s="17"/>
      <c r="B101" s="5"/>
      <c r="C101" s="7"/>
      <c r="D101" s="14"/>
      <c r="E101" s="6"/>
    </row>
    <row r="102" spans="1:5" x14ac:dyDescent="0.25">
      <c r="A102" s="17"/>
      <c r="B102" s="5"/>
      <c r="C102" s="7"/>
      <c r="D102" s="14"/>
      <c r="E102" s="6"/>
    </row>
    <row r="103" spans="1:5" x14ac:dyDescent="0.25">
      <c r="A103" s="17"/>
      <c r="B103" s="5"/>
      <c r="C103" s="7"/>
      <c r="D103" s="14"/>
      <c r="E103" s="6"/>
    </row>
    <row r="104" spans="1:5" x14ac:dyDescent="0.25">
      <c r="A104" s="17"/>
      <c r="B104" s="5"/>
      <c r="C104" s="7"/>
      <c r="D104" s="14"/>
      <c r="E104" s="6"/>
    </row>
    <row r="105" spans="1:5" x14ac:dyDescent="0.25">
      <c r="A105" s="17"/>
      <c r="B105" s="5"/>
      <c r="C105" s="7"/>
      <c r="D105" s="6"/>
      <c r="E105" s="6"/>
    </row>
    <row r="106" spans="1:5" x14ac:dyDescent="0.25">
      <c r="A106" s="17"/>
      <c r="B106" s="5"/>
      <c r="C106" s="7"/>
      <c r="D106" s="14"/>
      <c r="E106" s="6"/>
    </row>
    <row r="107" spans="1:5" x14ac:dyDescent="0.25">
      <c r="A107" s="19"/>
      <c r="B107" s="6"/>
      <c r="C107" s="6"/>
      <c r="D107" s="6"/>
      <c r="E107" s="6"/>
    </row>
    <row r="108" spans="1:5" x14ac:dyDescent="0.25">
      <c r="A108" s="2" t="s">
        <v>2</v>
      </c>
      <c r="B108" s="5">
        <f>SUM(B100:B107)</f>
        <v>1.1299999999999999</v>
      </c>
      <c r="C108" s="6"/>
      <c r="D108" s="14">
        <f>SUM(D100:D107)</f>
        <v>1.4542370000000001E-2</v>
      </c>
      <c r="E108" s="5">
        <f>SUM(E100:E107)</f>
        <v>0</v>
      </c>
    </row>
  </sheetData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1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7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6" t="s">
        <v>59</v>
      </c>
      <c r="B4" s="5">
        <v>11.93</v>
      </c>
      <c r="C4" s="5">
        <f>B13+B22+B31+B40+B49+B58+B67+B76</f>
        <v>11.770000000000001</v>
      </c>
      <c r="D4" s="5">
        <f>B4-C4</f>
        <v>0.15999999999999837</v>
      </c>
      <c r="E4" s="6"/>
      <c r="F4" s="5">
        <v>0.1</v>
      </c>
    </row>
    <row r="5" spans="1:6" x14ac:dyDescent="0.25">
      <c r="A5" s="16" t="s">
        <v>61</v>
      </c>
      <c r="B5" s="5">
        <v>2.72</v>
      </c>
      <c r="C5" s="5">
        <f>B14+B23+B32+B41+B50+B59+B68+B77</f>
        <v>2.66</v>
      </c>
      <c r="D5" s="5">
        <f>B5-C5</f>
        <v>6.0000000000000053E-2</v>
      </c>
      <c r="E5" s="6"/>
      <c r="F5" s="6"/>
    </row>
    <row r="6" spans="1:6" x14ac:dyDescent="0.25">
      <c r="A6" s="2"/>
      <c r="B6" s="5"/>
      <c r="C6" s="5"/>
      <c r="D6" s="2"/>
      <c r="E6" s="6"/>
      <c r="F6" s="2"/>
    </row>
    <row r="7" spans="1:6" x14ac:dyDescent="0.25">
      <c r="A7" s="16"/>
      <c r="B7" s="5"/>
      <c r="C7" s="6"/>
      <c r="D7" s="7"/>
      <c r="E7" s="6"/>
      <c r="F7" s="2"/>
    </row>
    <row r="8" spans="1:6" x14ac:dyDescent="0.25">
      <c r="A8" s="2"/>
      <c r="B8" s="5"/>
      <c r="C8" s="2"/>
      <c r="D8" s="2"/>
      <c r="E8" s="6"/>
      <c r="F8" s="2"/>
    </row>
    <row r="9" spans="1:6" x14ac:dyDescent="0.25">
      <c r="A9" s="2" t="s">
        <v>2</v>
      </c>
      <c r="B9" s="5">
        <f>SUM(B4:B8)</f>
        <v>14.65</v>
      </c>
      <c r="C9" s="5">
        <f t="shared" ref="C9:D9" si="0">SUM(C4:C8)</f>
        <v>14.430000000000001</v>
      </c>
      <c r="D9" s="5">
        <f t="shared" si="0"/>
        <v>0.21999999999999842</v>
      </c>
      <c r="E9" s="5">
        <f>E18+E27+E36+E45+E54+E63+E72+E81</f>
        <v>0</v>
      </c>
      <c r="F9" s="5">
        <f>SUM(F4:F8)</f>
        <v>0.1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 t="s">
        <v>60</v>
      </c>
      <c r="B13" s="5">
        <v>0.81</v>
      </c>
      <c r="C13" s="7">
        <f>B13/D13</f>
        <v>76.770119931987367</v>
      </c>
      <c r="D13" s="14">
        <v>1.055098E-2</v>
      </c>
      <c r="E13" s="6"/>
    </row>
    <row r="14" spans="1:6" x14ac:dyDescent="0.25">
      <c r="A14" s="11" t="s">
        <v>61</v>
      </c>
      <c r="B14" s="5">
        <v>0.2</v>
      </c>
      <c r="C14" s="7">
        <f>B14/D14</f>
        <v>77.210239621978673</v>
      </c>
      <c r="D14" s="14">
        <v>2.5903300000000001E-3</v>
      </c>
      <c r="E14" s="6"/>
    </row>
    <row r="15" spans="1:6" ht="15" customHeight="1" x14ac:dyDescent="0.25">
      <c r="A15" s="11"/>
      <c r="B15" s="5"/>
      <c r="C15" s="7"/>
      <c r="D15" s="14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1.01</v>
      </c>
      <c r="C18" s="6"/>
      <c r="D18" s="14">
        <f>SUM(D13:D17)</f>
        <v>1.314131E-2</v>
      </c>
      <c r="E18" s="6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3</v>
      </c>
      <c r="C21" s="3" t="s">
        <v>0</v>
      </c>
      <c r="D21" s="3" t="s">
        <v>1</v>
      </c>
      <c r="E21" s="3" t="s">
        <v>25</v>
      </c>
    </row>
    <row r="22" spans="1:5" x14ac:dyDescent="0.25">
      <c r="A22" s="11" t="s">
        <v>60</v>
      </c>
      <c r="B22" s="5">
        <v>2.08</v>
      </c>
      <c r="C22" s="7">
        <f>B22/D22</f>
        <v>77.895007267079876</v>
      </c>
      <c r="D22" s="14">
        <v>2.6702610000000002E-2</v>
      </c>
      <c r="E22" s="5"/>
    </row>
    <row r="23" spans="1:5" x14ac:dyDescent="0.25">
      <c r="A23" s="11" t="s">
        <v>61</v>
      </c>
      <c r="B23" s="5">
        <v>0.47</v>
      </c>
      <c r="C23" s="7">
        <f>B23/D23</f>
        <v>77.777226166244674</v>
      </c>
      <c r="D23" s="14">
        <v>6.0429000000000004E-3</v>
      </c>
      <c r="E23" s="6"/>
    </row>
    <row r="24" spans="1:5" x14ac:dyDescent="0.25">
      <c r="A24" s="11"/>
      <c r="B24" s="5"/>
      <c r="C24" s="7"/>
      <c r="D24" s="14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2.5499999999999998</v>
      </c>
      <c r="C27" s="6"/>
      <c r="D27" s="14">
        <f>SUM(D22:D26)</f>
        <v>3.2745510000000005E-2</v>
      </c>
      <c r="E27" s="5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 t="s">
        <v>60</v>
      </c>
      <c r="B31" s="5">
        <v>1.66</v>
      </c>
      <c r="C31" s="7">
        <f>B31/D31</f>
        <v>4.5161000189921046</v>
      </c>
      <c r="D31" s="14">
        <v>0.36757379000000001</v>
      </c>
      <c r="E31" s="6"/>
    </row>
    <row r="32" spans="1:5" x14ac:dyDescent="0.25">
      <c r="A32" s="11" t="s">
        <v>61</v>
      </c>
      <c r="B32" s="5">
        <v>0.39</v>
      </c>
      <c r="C32" s="7">
        <f>B32/D32</f>
        <v>4.521300367720837</v>
      </c>
      <c r="D32" s="14">
        <v>8.6258370000000001E-2</v>
      </c>
      <c r="E32" s="6"/>
    </row>
    <row r="33" spans="1:5" x14ac:dyDescent="0.25">
      <c r="A33" s="11"/>
      <c r="B33" s="5"/>
      <c r="C33" s="7"/>
      <c r="D33" s="14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2.0499999999999998</v>
      </c>
      <c r="C36" s="6"/>
      <c r="D36" s="14">
        <f>SUM(D31:D35)</f>
        <v>0.45383216000000004</v>
      </c>
      <c r="E36" s="6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 t="s">
        <v>60</v>
      </c>
      <c r="B40" s="5">
        <v>1.61</v>
      </c>
      <c r="C40" s="7">
        <f>B40/D40</f>
        <v>89.28591234674434</v>
      </c>
      <c r="D40" s="14">
        <v>1.803196E-2</v>
      </c>
      <c r="E40" s="6"/>
    </row>
    <row r="41" spans="1:5" x14ac:dyDescent="0.25">
      <c r="A41" s="11" t="s">
        <v>61</v>
      </c>
      <c r="B41" s="5">
        <v>0.45</v>
      </c>
      <c r="C41" s="7">
        <f>B41/D41</f>
        <v>88.697914613474211</v>
      </c>
      <c r="D41" s="14">
        <v>5.0733999999999996E-3</v>
      </c>
      <c r="E41" s="6"/>
    </row>
    <row r="42" spans="1:5" x14ac:dyDescent="0.25">
      <c r="A42" s="11"/>
      <c r="B42" s="5"/>
      <c r="C42" s="7"/>
      <c r="D42" s="14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2.06</v>
      </c>
      <c r="C45" s="6"/>
      <c r="D45" s="14">
        <f>SUM(D40:D44)</f>
        <v>2.3105359999999998E-2</v>
      </c>
      <c r="E45" s="6">
        <f>SUM(E40:E44)</f>
        <v>0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 t="s">
        <v>60</v>
      </c>
      <c r="B49" s="5">
        <v>2</v>
      </c>
      <c r="C49" s="7">
        <f>B49/D49</f>
        <v>60.269991480836701</v>
      </c>
      <c r="D49" s="14">
        <v>3.318401E-2</v>
      </c>
      <c r="E49" s="6"/>
    </row>
    <row r="50" spans="1:5" x14ac:dyDescent="0.25">
      <c r="A50" s="11" t="s">
        <v>61</v>
      </c>
      <c r="B50" s="5">
        <v>0.42</v>
      </c>
      <c r="C50" s="7">
        <f>B50/D50</f>
        <v>60.640012012497614</v>
      </c>
      <c r="D50" s="14">
        <v>6.92612E-3</v>
      </c>
      <c r="E50" s="6"/>
    </row>
    <row r="51" spans="1:5" x14ac:dyDescent="0.25">
      <c r="A51" s="11"/>
      <c r="B51" s="5"/>
      <c r="C51" s="7"/>
      <c r="D51" s="14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2.42</v>
      </c>
      <c r="C54" s="6"/>
      <c r="D54" s="14">
        <f>SUM(D49:D53)</f>
        <v>4.0110130000000001E-2</v>
      </c>
      <c r="E54" s="6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 t="s">
        <v>60</v>
      </c>
      <c r="B58" s="5">
        <v>1.4</v>
      </c>
      <c r="C58" s="7">
        <f>B58/D58</f>
        <v>113.25495551102658</v>
      </c>
      <c r="D58" s="14">
        <v>1.2361489999999999E-2</v>
      </c>
      <c r="E58" s="5"/>
    </row>
    <row r="59" spans="1:5" x14ac:dyDescent="0.25">
      <c r="A59" s="11" t="s">
        <v>61</v>
      </c>
      <c r="B59" s="5">
        <v>0.34</v>
      </c>
      <c r="C59" s="7">
        <f>B59/D59</f>
        <v>113.08003405704555</v>
      </c>
      <c r="D59" s="14">
        <v>3.0067200000000001E-3</v>
      </c>
      <c r="E59" s="6"/>
    </row>
    <row r="60" spans="1:5" x14ac:dyDescent="0.25">
      <c r="A60" s="11"/>
      <c r="B60" s="5"/>
      <c r="C60" s="7"/>
      <c r="D60" s="14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1.74</v>
      </c>
      <c r="C63" s="6"/>
      <c r="D63" s="14">
        <f>SUM(D58:D62)</f>
        <v>1.536821E-2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 t="s">
        <v>60</v>
      </c>
      <c r="B67" s="5">
        <v>1.55</v>
      </c>
      <c r="C67" s="7">
        <f>B67/D67</f>
        <v>79.060012159939944</v>
      </c>
      <c r="D67" s="14">
        <v>1.9605359999999999E-2</v>
      </c>
      <c r="E67" s="6"/>
    </row>
    <row r="68" spans="1:5" x14ac:dyDescent="0.25">
      <c r="A68" s="11" t="s">
        <v>61</v>
      </c>
      <c r="B68" s="5">
        <v>0.33</v>
      </c>
      <c r="C68" s="7">
        <f>B68/D68</f>
        <v>79.320058841061837</v>
      </c>
      <c r="D68" s="14">
        <v>4.1603600000000001E-3</v>
      </c>
      <c r="E68" s="6"/>
    </row>
    <row r="69" spans="1:5" x14ac:dyDescent="0.25">
      <c r="A69" s="11"/>
      <c r="B69" s="5"/>
      <c r="C69" s="7"/>
      <c r="D69" s="14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1.8800000000000001</v>
      </c>
      <c r="C72" s="6"/>
      <c r="D72" s="14">
        <f>SUM(D67:D71)</f>
        <v>2.3765719999999997E-2</v>
      </c>
      <c r="E72" s="6">
        <f>SUM(E67:E71)</f>
        <v>0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 t="s">
        <v>60</v>
      </c>
      <c r="B76" s="5">
        <v>0.66</v>
      </c>
      <c r="C76" s="7">
        <f>B76/D76</f>
        <v>74.725976447730886</v>
      </c>
      <c r="D76" s="14">
        <v>8.8322699999999997E-3</v>
      </c>
      <c r="E76" s="6"/>
    </row>
    <row r="77" spans="1:5" x14ac:dyDescent="0.25">
      <c r="A77" s="11" t="s">
        <v>61</v>
      </c>
      <c r="B77" s="5">
        <v>0.06</v>
      </c>
      <c r="C77" s="7">
        <f>B77/D77</f>
        <v>75.516342995229877</v>
      </c>
      <c r="D77" s="14">
        <v>7.9453E-4</v>
      </c>
      <c r="E77" s="6"/>
    </row>
    <row r="78" spans="1:5" x14ac:dyDescent="0.25">
      <c r="A78" s="11"/>
      <c r="B78" s="5"/>
      <c r="C78" s="7"/>
      <c r="D78" s="14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0.72</v>
      </c>
      <c r="C81" s="6"/>
      <c r="D81" s="14">
        <f>SUM(D76:D80)</f>
        <v>9.6267999999999996E-3</v>
      </c>
      <c r="E81" s="6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81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6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6" t="s">
        <v>53</v>
      </c>
      <c r="B4" s="5">
        <v>10</v>
      </c>
      <c r="C4" s="5">
        <f>B13+B22+B31+B40+B49+B58+B67+B76</f>
        <v>10.15</v>
      </c>
      <c r="D4" s="5">
        <f>B4-C4</f>
        <v>-0.15000000000000036</v>
      </c>
      <c r="E4" s="6"/>
      <c r="F4" s="5">
        <v>7.0000000000000007E-2</v>
      </c>
    </row>
    <row r="5" spans="1:6" x14ac:dyDescent="0.25">
      <c r="A5" s="16" t="s">
        <v>9</v>
      </c>
      <c r="B5" s="5">
        <v>10</v>
      </c>
      <c r="C5" s="5">
        <f>B14+B23+B32+B41+B50+B59+B68+B77</f>
        <v>9.9899999999999984</v>
      </c>
      <c r="D5" s="5">
        <f>B5-C5</f>
        <v>1.0000000000001563E-2</v>
      </c>
      <c r="E5" s="6"/>
      <c r="F5" s="6"/>
    </row>
    <row r="6" spans="1:6" x14ac:dyDescent="0.25">
      <c r="A6" s="2" t="s">
        <v>55</v>
      </c>
      <c r="B6" s="5">
        <v>43</v>
      </c>
      <c r="C6" s="5">
        <f>B15+B24+B33+B42+B51+B60+B69+B78</f>
        <v>42.8</v>
      </c>
      <c r="D6" s="5">
        <f>B6-C6</f>
        <v>0.20000000000000284</v>
      </c>
      <c r="E6" s="6"/>
      <c r="F6" s="2"/>
    </row>
    <row r="7" spans="1:6" x14ac:dyDescent="0.25">
      <c r="A7" s="16" t="s">
        <v>58</v>
      </c>
      <c r="B7" s="5">
        <v>0.94</v>
      </c>
      <c r="C7" s="6"/>
      <c r="D7" s="5">
        <f>B7-C7</f>
        <v>0.94</v>
      </c>
      <c r="E7" s="6"/>
      <c r="F7" s="2"/>
    </row>
    <row r="8" spans="1:6" x14ac:dyDescent="0.25">
      <c r="A8" s="2"/>
      <c r="B8" s="5"/>
      <c r="C8" s="2"/>
      <c r="D8" s="2"/>
      <c r="E8" s="6"/>
      <c r="F8" s="2"/>
    </row>
    <row r="9" spans="1:6" x14ac:dyDescent="0.25">
      <c r="A9" s="2" t="s">
        <v>2</v>
      </c>
      <c r="B9" s="5">
        <f>SUM(B4:B8)</f>
        <v>63.94</v>
      </c>
      <c r="C9" s="5">
        <f>SUM(C4:C8)</f>
        <v>62.94</v>
      </c>
      <c r="D9" s="5">
        <f>SUM(D4:D8)</f>
        <v>1.000000000000004</v>
      </c>
      <c r="E9" s="5">
        <f>E18+E27+E36+E45+E54+E63+E72+E81</f>
        <v>0</v>
      </c>
      <c r="F9" s="5">
        <f>SUM(F4:F8)</f>
        <v>7.0000000000000007E-2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 t="s">
        <v>53</v>
      </c>
      <c r="B13" s="5">
        <v>1.36</v>
      </c>
      <c r="C13" s="7">
        <f>B13/D13</f>
        <v>77.320041866528555</v>
      </c>
      <c r="D13" s="14">
        <v>1.7589230000000001E-2</v>
      </c>
      <c r="E13" s="6"/>
    </row>
    <row r="14" spans="1:6" x14ac:dyDescent="0.25">
      <c r="A14" s="11" t="s">
        <v>54</v>
      </c>
      <c r="B14" s="5">
        <v>0.88</v>
      </c>
      <c r="C14" s="7">
        <f>B14/D14</f>
        <v>72.440027066228296</v>
      </c>
      <c r="D14" s="14">
        <v>1.2147979999999999E-2</v>
      </c>
      <c r="E14" s="6"/>
    </row>
    <row r="15" spans="1:6" ht="15" customHeight="1" x14ac:dyDescent="0.25">
      <c r="A15" s="11" t="s">
        <v>56</v>
      </c>
      <c r="B15" s="5">
        <v>4.3899999999999997</v>
      </c>
      <c r="C15" s="7">
        <f>B15/D15</f>
        <v>74.820001653198204</v>
      </c>
      <c r="D15" s="14">
        <v>5.8674150000000001E-2</v>
      </c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6.63</v>
      </c>
      <c r="C18" s="6"/>
      <c r="D18" s="14">
        <f>SUM(D13:D17)</f>
        <v>8.8411359999999994E-2</v>
      </c>
      <c r="E18" s="6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4</v>
      </c>
      <c r="C21" s="3" t="s">
        <v>0</v>
      </c>
      <c r="D21" s="3" t="s">
        <v>1</v>
      </c>
      <c r="E21" s="3" t="s">
        <v>25</v>
      </c>
    </row>
    <row r="22" spans="1:5" x14ac:dyDescent="0.25">
      <c r="A22" s="11" t="s">
        <v>53</v>
      </c>
      <c r="B22" s="5">
        <v>1.41</v>
      </c>
      <c r="C22" s="7">
        <f>B22/D22</f>
        <v>81.465030124728159</v>
      </c>
      <c r="D22" s="14">
        <v>1.730804E-2</v>
      </c>
      <c r="E22" s="5"/>
    </row>
    <row r="23" spans="1:5" x14ac:dyDescent="0.25">
      <c r="A23" s="11" t="s">
        <v>54</v>
      </c>
      <c r="B23" s="5">
        <v>1.51</v>
      </c>
      <c r="C23" s="7">
        <f>B23/D23</f>
        <v>76.331015768673552</v>
      </c>
      <c r="D23" s="14">
        <v>1.9782259999999999E-2</v>
      </c>
      <c r="E23" s="6"/>
    </row>
    <row r="24" spans="1:5" x14ac:dyDescent="0.25">
      <c r="A24" s="11" t="s">
        <v>56</v>
      </c>
      <c r="B24" s="5">
        <v>6.5</v>
      </c>
      <c r="C24" s="7">
        <f>B24/D24</f>
        <v>77.428700079334632</v>
      </c>
      <c r="D24" s="14">
        <v>8.3948200000000001E-2</v>
      </c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9.42</v>
      </c>
      <c r="C27" s="6"/>
      <c r="D27" s="14">
        <f>SUM(D22:D26)</f>
        <v>0.12103849999999999</v>
      </c>
      <c r="E27" s="5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 t="s">
        <v>53</v>
      </c>
      <c r="B31" s="5">
        <v>1.04</v>
      </c>
      <c r="C31" s="7">
        <f>B31/D31</f>
        <v>4.7347001805741806</v>
      </c>
      <c r="D31" s="14">
        <v>0.21965488</v>
      </c>
      <c r="E31" s="6"/>
    </row>
    <row r="32" spans="1:5" x14ac:dyDescent="0.25">
      <c r="A32" s="11" t="s">
        <v>54</v>
      </c>
      <c r="B32" s="5">
        <v>1.06</v>
      </c>
      <c r="C32" s="7">
        <f>B32/D32</f>
        <v>4.4824001307507659</v>
      </c>
      <c r="D32" s="14">
        <v>0.23648045000000001</v>
      </c>
      <c r="E32" s="6"/>
    </row>
    <row r="33" spans="1:5" x14ac:dyDescent="0.25">
      <c r="A33" s="11" t="s">
        <v>56</v>
      </c>
      <c r="B33" s="5">
        <v>5.38</v>
      </c>
      <c r="C33" s="7">
        <f>B33/D33</f>
        <v>4.4952004377289159</v>
      </c>
      <c r="D33" s="14">
        <v>1.19683206</v>
      </c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7.48</v>
      </c>
      <c r="C36" s="6"/>
      <c r="D36" s="14">
        <f>SUM(D31:D35)</f>
        <v>1.6529673899999999</v>
      </c>
      <c r="E36" s="6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 t="s">
        <v>53</v>
      </c>
      <c r="B40" s="5">
        <v>1.04</v>
      </c>
      <c r="C40" s="7">
        <f>B40/D40</f>
        <v>94.419961832546207</v>
      </c>
      <c r="D40" s="14">
        <v>1.1014619999999999E-2</v>
      </c>
      <c r="E40" s="6"/>
    </row>
    <row r="41" spans="1:5" x14ac:dyDescent="0.25">
      <c r="A41" s="11" t="s">
        <v>54</v>
      </c>
      <c r="B41" s="5">
        <v>1.25</v>
      </c>
      <c r="C41" s="7">
        <f>B41/D41</f>
        <v>87.653911503208491</v>
      </c>
      <c r="D41" s="14">
        <v>1.426063E-2</v>
      </c>
      <c r="E41" s="6"/>
    </row>
    <row r="42" spans="1:5" x14ac:dyDescent="0.25">
      <c r="A42" s="11" t="s">
        <v>56</v>
      </c>
      <c r="B42" s="5">
        <v>4.72</v>
      </c>
      <c r="C42" s="7">
        <f>B42/D42</f>
        <v>88.943913513350537</v>
      </c>
      <c r="D42" s="14">
        <v>5.306715E-2</v>
      </c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7.01</v>
      </c>
      <c r="C45" s="6"/>
      <c r="D45" s="14">
        <f>SUM(D40:D44)</f>
        <v>7.8342400000000006E-2</v>
      </c>
      <c r="E45" s="6">
        <f>SUM(E40:E44)</f>
        <v>0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 t="s">
        <v>53</v>
      </c>
      <c r="B49" s="5">
        <v>2.0699999999999998</v>
      </c>
      <c r="C49" s="7">
        <f>B49/D49</f>
        <v>62.750014853868237</v>
      </c>
      <c r="D49" s="14">
        <v>3.2988040000000003E-2</v>
      </c>
      <c r="E49" s="6"/>
    </row>
    <row r="50" spans="1:5" x14ac:dyDescent="0.25">
      <c r="A50" s="11" t="s">
        <v>54</v>
      </c>
      <c r="B50" s="5">
        <v>2.2999999999999998</v>
      </c>
      <c r="C50" s="7">
        <f>B50/D50</f>
        <v>58.450002503184884</v>
      </c>
      <c r="D50" s="14">
        <v>3.9349870000000002E-2</v>
      </c>
      <c r="E50" s="6"/>
    </row>
    <row r="51" spans="1:5" x14ac:dyDescent="0.25">
      <c r="A51" s="11" t="s">
        <v>56</v>
      </c>
      <c r="B51" s="5">
        <v>8.92</v>
      </c>
      <c r="C51" s="7">
        <f>B51/D51</f>
        <v>59.290002223375083</v>
      </c>
      <c r="D51" s="14">
        <v>0.15044695</v>
      </c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13.29</v>
      </c>
      <c r="C54" s="6"/>
      <c r="D54" s="14">
        <f>SUM(D49:D53)</f>
        <v>0.22278486</v>
      </c>
      <c r="E54" s="6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 t="s">
        <v>53</v>
      </c>
      <c r="B58" s="5">
        <v>0.86</v>
      </c>
      <c r="C58" s="7">
        <f>B58/D58</f>
        <v>118.31991227816735</v>
      </c>
      <c r="D58" s="14">
        <v>7.2684300000000002E-3</v>
      </c>
      <c r="E58" s="5"/>
    </row>
    <row r="59" spans="1:5" x14ac:dyDescent="0.25">
      <c r="A59" s="11" t="s">
        <v>54</v>
      </c>
      <c r="B59" s="5">
        <v>0.77</v>
      </c>
      <c r="C59" s="7">
        <f>B59/D59</f>
        <v>112.48511763459867</v>
      </c>
      <c r="D59" s="14">
        <v>6.84535E-3</v>
      </c>
      <c r="E59" s="6"/>
    </row>
    <row r="60" spans="1:5" x14ac:dyDescent="0.25">
      <c r="A60" s="11" t="s">
        <v>56</v>
      </c>
      <c r="B60" s="5">
        <v>4.55</v>
      </c>
      <c r="C60" s="7">
        <f>B60/D60</f>
        <v>112.679907092321</v>
      </c>
      <c r="D60" s="14">
        <v>4.0379869999999998E-2</v>
      </c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6.18</v>
      </c>
      <c r="C63" s="6"/>
      <c r="D63" s="14">
        <f>SUM(D58:D62)</f>
        <v>5.4493649999999998E-2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 t="s">
        <v>53</v>
      </c>
      <c r="B67" s="5">
        <v>1.69</v>
      </c>
      <c r="C67" s="7">
        <f>B67/D67</f>
        <v>81.230004921865387</v>
      </c>
      <c r="D67" s="14">
        <v>2.080512E-2</v>
      </c>
      <c r="E67" s="6"/>
    </row>
    <row r="68" spans="1:5" x14ac:dyDescent="0.25">
      <c r="A68" s="11" t="s">
        <v>54</v>
      </c>
      <c r="B68" s="5">
        <v>1.68</v>
      </c>
      <c r="C68" s="7">
        <f>B68/D68</f>
        <v>75.360012272916293</v>
      </c>
      <c r="D68" s="14">
        <v>2.2292989999999999E-2</v>
      </c>
      <c r="E68" s="6"/>
    </row>
    <row r="69" spans="1:5" x14ac:dyDescent="0.25">
      <c r="A69" s="11" t="s">
        <v>56</v>
      </c>
      <c r="B69" s="5">
        <v>6.45</v>
      </c>
      <c r="C69" s="7">
        <f>B69/D69</f>
        <v>77.340002719490329</v>
      </c>
      <c r="D69" s="14">
        <v>8.3397979999999997E-2</v>
      </c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9.82</v>
      </c>
      <c r="C72" s="6"/>
      <c r="D72" s="14">
        <f>SUM(D67:D71)</f>
        <v>0.12649609000000001</v>
      </c>
      <c r="E72" s="6">
        <f>SUM(E67:E71)</f>
        <v>0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 t="s">
        <v>53</v>
      </c>
      <c r="B76" s="5">
        <v>0.68</v>
      </c>
      <c r="C76" s="7">
        <f>B76/D76</f>
        <v>74.835966165339059</v>
      </c>
      <c r="D76" s="14">
        <v>9.0865400000000006E-3</v>
      </c>
      <c r="E76" s="6"/>
    </row>
    <row r="77" spans="1:5" x14ac:dyDescent="0.25">
      <c r="A77" s="11" t="s">
        <v>54</v>
      </c>
      <c r="B77" s="5">
        <v>0.54</v>
      </c>
      <c r="C77" s="7">
        <f>B77/D77</f>
        <v>70.411975251494638</v>
      </c>
      <c r="D77" s="14">
        <v>7.6691499999999996E-3</v>
      </c>
      <c r="E77" s="6"/>
    </row>
    <row r="78" spans="1:5" x14ac:dyDescent="0.25">
      <c r="A78" s="11" t="s">
        <v>56</v>
      </c>
      <c r="B78" s="5">
        <v>1.89</v>
      </c>
      <c r="C78" s="7">
        <f>B78/D78</f>
        <v>74.615905742345348</v>
      </c>
      <c r="D78" s="14">
        <v>2.532972E-2</v>
      </c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3.1100000000000003</v>
      </c>
      <c r="C81" s="6"/>
      <c r="D81" s="14">
        <f>SUM(D76:D80)</f>
        <v>4.2085410000000004E-2</v>
      </c>
      <c r="E81" s="6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81"/>
  <sheetViews>
    <sheetView workbookViewId="0">
      <selection activeCell="E9" sqref="E9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49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 t="s">
        <v>52</v>
      </c>
      <c r="B4" s="5">
        <v>10</v>
      </c>
      <c r="C4" s="5">
        <f>B13+B22+B31+B40+B49+B58+B67+B76</f>
        <v>10.33</v>
      </c>
      <c r="D4" s="5">
        <f>B4-C4</f>
        <v>-0.33000000000000007</v>
      </c>
      <c r="E4" s="6"/>
      <c r="F4" s="5">
        <v>0.06</v>
      </c>
    </row>
    <row r="5" spans="1:6" x14ac:dyDescent="0.25">
      <c r="A5" s="10"/>
      <c r="B5" s="5"/>
      <c r="C5" s="6"/>
      <c r="D5" s="7"/>
      <c r="E5" s="6"/>
      <c r="F5" s="6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10</v>
      </c>
      <c r="C9" s="5">
        <f>SUM(C4:C8)</f>
        <v>10.33</v>
      </c>
      <c r="D9" s="5">
        <f>SUM(D4:D8)</f>
        <v>-0.33000000000000007</v>
      </c>
      <c r="E9" s="5">
        <f>E18+E27+E36+E45+E54+E63+E72+E81</f>
        <v>0.42000000000000004</v>
      </c>
      <c r="F9" s="5">
        <f>SUM(F4:F8)</f>
        <v>0.06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 t="s">
        <v>52</v>
      </c>
      <c r="B13" s="5">
        <v>1.7</v>
      </c>
      <c r="C13" s="7">
        <f>B13/D13</f>
        <v>81.050026937214838</v>
      </c>
      <c r="D13" s="14">
        <v>2.0974699999999999E-2</v>
      </c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1.7</v>
      </c>
      <c r="C18" s="6"/>
      <c r="D18" s="14">
        <f>SUM(D13:D17)</f>
        <v>2.0974699999999999E-2</v>
      </c>
      <c r="E18" s="6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4</v>
      </c>
      <c r="C21" s="3" t="s">
        <v>0</v>
      </c>
      <c r="D21" s="3" t="s">
        <v>1</v>
      </c>
      <c r="E21" s="3" t="s">
        <v>25</v>
      </c>
    </row>
    <row r="22" spans="1:5" x14ac:dyDescent="0.25">
      <c r="A22" s="11" t="s">
        <v>52</v>
      </c>
      <c r="B22" s="5">
        <v>1.01</v>
      </c>
      <c r="C22" s="7">
        <f>B22/D22</f>
        <v>81.491044053574313</v>
      </c>
      <c r="D22" s="14">
        <v>1.2394000000000001E-2</v>
      </c>
      <c r="E22" s="5"/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1.01</v>
      </c>
      <c r="C27" s="6"/>
      <c r="D27" s="14">
        <f>SUM(D22:D26)</f>
        <v>1.2394000000000001E-2</v>
      </c>
      <c r="E27" s="5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 t="s">
        <v>52</v>
      </c>
      <c r="B31" s="5">
        <v>1.01</v>
      </c>
      <c r="C31" s="7">
        <f>B31/D31</f>
        <v>4.7111001776271344</v>
      </c>
      <c r="D31" s="14">
        <v>0.21438729000000001</v>
      </c>
      <c r="E31" s="6"/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1.01</v>
      </c>
      <c r="C36" s="6"/>
      <c r="D36" s="14">
        <f>SUM(D31:D35)</f>
        <v>0.21438729000000001</v>
      </c>
      <c r="E36" s="6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 t="s">
        <v>52</v>
      </c>
      <c r="B40" s="5">
        <v>0.84</v>
      </c>
      <c r="C40" s="7">
        <f>B40/D40</f>
        <v>94.263927775876297</v>
      </c>
      <c r="D40" s="14">
        <v>8.9111499999999996E-3</v>
      </c>
      <c r="E40" s="6"/>
    </row>
    <row r="41" spans="1:5" x14ac:dyDescent="0.25">
      <c r="A41" s="11" t="s">
        <v>51</v>
      </c>
      <c r="B41" s="5"/>
      <c r="C41" s="7"/>
      <c r="D41" s="14"/>
      <c r="E41" s="6">
        <v>0.16</v>
      </c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0.84</v>
      </c>
      <c r="C45" s="6"/>
      <c r="D45" s="14">
        <f>SUM(D40:D44)</f>
        <v>8.9111499999999996E-3</v>
      </c>
      <c r="E45" s="6">
        <f>SUM(E40:E44)</f>
        <v>0.16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 t="s">
        <v>52</v>
      </c>
      <c r="B49" s="5">
        <v>2.48</v>
      </c>
      <c r="C49" s="7">
        <f>B49/D49</f>
        <v>63.820002887340458</v>
      </c>
      <c r="D49" s="14">
        <v>3.8859289999999998E-2</v>
      </c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2.48</v>
      </c>
      <c r="C54" s="6"/>
      <c r="D54" s="14">
        <f>SUM(D49:D53)</f>
        <v>3.8859289999999998E-2</v>
      </c>
      <c r="E54" s="6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 t="s">
        <v>52</v>
      </c>
      <c r="B58" s="5">
        <v>1.06</v>
      </c>
      <c r="C58" s="7">
        <f>B58/D58</f>
        <v>117.50490527552684</v>
      </c>
      <c r="D58" s="14">
        <v>9.0209000000000001E-3</v>
      </c>
      <c r="E58" s="5"/>
    </row>
    <row r="59" spans="1:5" x14ac:dyDescent="0.25">
      <c r="A59" s="11" t="s">
        <v>51</v>
      </c>
      <c r="B59" s="5"/>
      <c r="C59" s="6"/>
      <c r="D59" s="8"/>
      <c r="E59" s="6">
        <v>0.25</v>
      </c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1.06</v>
      </c>
      <c r="C63" s="6"/>
      <c r="D63" s="14">
        <f>SUM(D58:D62)</f>
        <v>9.0209000000000001E-3</v>
      </c>
      <c r="E63" s="5">
        <f>SUM(E58:E62)</f>
        <v>0.25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 t="s">
        <v>52</v>
      </c>
      <c r="B67" s="5">
        <v>2.2000000000000002</v>
      </c>
      <c r="C67" s="7">
        <f>B67/D67</f>
        <v>83.580021031772574</v>
      </c>
      <c r="D67" s="14">
        <v>2.6322080000000001E-2</v>
      </c>
      <c r="E67" s="6"/>
    </row>
    <row r="68" spans="1:5" x14ac:dyDescent="0.25">
      <c r="A68" s="11" t="s">
        <v>50</v>
      </c>
      <c r="B68" s="5"/>
      <c r="C68" s="6"/>
      <c r="D68" s="8"/>
      <c r="E68" s="6">
        <v>0.01</v>
      </c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2.2000000000000002</v>
      </c>
      <c r="C72" s="6"/>
      <c r="D72" s="14">
        <f>SUM(D67:D71)</f>
        <v>2.6322080000000001E-2</v>
      </c>
      <c r="E72" s="6">
        <f>SUM(E67:E71)</f>
        <v>0.01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 t="s">
        <v>52</v>
      </c>
      <c r="B76" s="5">
        <v>0.03</v>
      </c>
      <c r="C76" s="7">
        <f>B76/D76</f>
        <v>78.17385866166353</v>
      </c>
      <c r="D76" s="14">
        <v>3.8376000000000003E-4</v>
      </c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0.03</v>
      </c>
      <c r="C81" s="6"/>
      <c r="D81" s="14">
        <f>SUM(D76:D80)</f>
        <v>3.8376000000000003E-4</v>
      </c>
      <c r="E81" s="6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81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47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/>
      <c r="B4" s="5"/>
      <c r="C4" s="5">
        <f>B13+B22+B31+B40+B49+B58+B67+B76</f>
        <v>0</v>
      </c>
      <c r="D4" s="5"/>
      <c r="E4" s="6"/>
      <c r="F4" s="5">
        <v>7.0000000000000007E-2</v>
      </c>
    </row>
    <row r="5" spans="1:6" x14ac:dyDescent="0.25">
      <c r="A5" s="10"/>
      <c r="B5" s="5"/>
      <c r="C5" s="6"/>
      <c r="D5" s="7"/>
      <c r="E5" s="6"/>
      <c r="F5" s="6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0</v>
      </c>
      <c r="C9" s="6"/>
      <c r="D9" s="7"/>
      <c r="E9" s="5">
        <f>E18+E27+E36+E45+E54+E63+E72+E81</f>
        <v>0</v>
      </c>
      <c r="F9" s="5">
        <f>SUM(F4:F8)</f>
        <v>7.0000000000000007E-2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/>
      <c r="B13" s="5"/>
      <c r="C13" s="7"/>
      <c r="D13" s="14"/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0</v>
      </c>
      <c r="C18" s="6"/>
      <c r="D18" s="14">
        <f>SUM(D13:D17)</f>
        <v>0</v>
      </c>
      <c r="E18" s="6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4</v>
      </c>
      <c r="C21" s="3" t="s">
        <v>0</v>
      </c>
      <c r="D21" s="3" t="s">
        <v>1</v>
      </c>
      <c r="E21" s="3" t="s">
        <v>25</v>
      </c>
    </row>
    <row r="22" spans="1:5" x14ac:dyDescent="0.25">
      <c r="A22" s="11"/>
      <c r="B22" s="5"/>
      <c r="C22" s="7"/>
      <c r="D22" s="14"/>
      <c r="E22" s="5"/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0</v>
      </c>
      <c r="C27" s="6"/>
      <c r="D27" s="14">
        <f>SUM(D22:D26)</f>
        <v>0</v>
      </c>
      <c r="E27" s="5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/>
      <c r="B31" s="5"/>
      <c r="C31" s="7"/>
      <c r="D31" s="14"/>
      <c r="E31" s="6"/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0</v>
      </c>
      <c r="C36" s="6"/>
      <c r="D36" s="14">
        <f>SUM(D31:D35)</f>
        <v>0</v>
      </c>
      <c r="E36" s="6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/>
      <c r="B40" s="5"/>
      <c r="C40" s="7"/>
      <c r="D40" s="14"/>
      <c r="E40" s="6"/>
    </row>
    <row r="41" spans="1:5" x14ac:dyDescent="0.25">
      <c r="A41" s="11"/>
      <c r="B41" s="5"/>
      <c r="C41" s="7"/>
      <c r="D41" s="14"/>
      <c r="E41" s="6"/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0</v>
      </c>
      <c r="C45" s="6"/>
      <c r="D45" s="14">
        <f>SUM(D40:D44)</f>
        <v>0</v>
      </c>
      <c r="E45" s="6">
        <f>SUM(E40:E44)</f>
        <v>0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/>
      <c r="B49" s="5"/>
      <c r="C49" s="7"/>
      <c r="D49" s="14"/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0</v>
      </c>
      <c r="C54" s="6"/>
      <c r="D54" s="14">
        <f>SUM(D49:D53)</f>
        <v>0</v>
      </c>
      <c r="E54" s="6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/>
      <c r="B58" s="5"/>
      <c r="C58" s="7"/>
      <c r="D58" s="14"/>
      <c r="E58" s="5"/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0</v>
      </c>
      <c r="C63" s="6"/>
      <c r="D63" s="14">
        <f>SUM(D58:D62)</f>
        <v>0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/>
      <c r="B67" s="5"/>
      <c r="C67" s="7"/>
      <c r="D67" s="14"/>
      <c r="E67" s="6"/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0</v>
      </c>
      <c r="C72" s="6"/>
      <c r="D72" s="14">
        <f>SUM(D67:D71)</f>
        <v>0</v>
      </c>
      <c r="E72" s="6">
        <f>SUM(E67:E71)</f>
        <v>0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/>
      <c r="B76" s="5"/>
      <c r="C76" s="7"/>
      <c r="D76" s="14"/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</v>
      </c>
      <c r="C81" s="6"/>
      <c r="D81" s="14">
        <f>SUM(D76:D80)</f>
        <v>0</v>
      </c>
      <c r="E81" s="6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81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46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/>
      <c r="B4" s="5"/>
      <c r="C4" s="5">
        <f>B13+B22+B31+B40+B49+B58+B67+B76</f>
        <v>0</v>
      </c>
      <c r="D4" s="5"/>
      <c r="E4" s="6"/>
      <c r="F4" s="5">
        <v>0.06</v>
      </c>
    </row>
    <row r="5" spans="1:6" x14ac:dyDescent="0.25">
      <c r="A5" s="10"/>
      <c r="B5" s="5"/>
      <c r="C5" s="6"/>
      <c r="D5" s="7"/>
      <c r="E5" s="6"/>
      <c r="F5" s="6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0</v>
      </c>
      <c r="C9" s="6"/>
      <c r="D9" s="7"/>
      <c r="E9" s="5">
        <f>E18+E27+E36+E45+E54+E63+E72+E81</f>
        <v>0.5</v>
      </c>
      <c r="F9" s="5">
        <f>SUM(F4:F8)</f>
        <v>0.06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/>
      <c r="B13" s="5"/>
      <c r="C13" s="7"/>
      <c r="D13" s="14"/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0</v>
      </c>
      <c r="C18" s="6"/>
      <c r="D18" s="14">
        <f>SUM(D13:D17)</f>
        <v>0</v>
      </c>
      <c r="E18" s="6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4</v>
      </c>
      <c r="C21" s="3" t="s">
        <v>0</v>
      </c>
      <c r="D21" s="3" t="s">
        <v>1</v>
      </c>
      <c r="E21" s="3" t="s">
        <v>25</v>
      </c>
    </row>
    <row r="22" spans="1:5" x14ac:dyDescent="0.25">
      <c r="A22" s="11" t="s">
        <v>48</v>
      </c>
      <c r="B22" s="5"/>
      <c r="C22" s="7"/>
      <c r="D22" s="14"/>
      <c r="E22" s="5">
        <v>0.5</v>
      </c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0</v>
      </c>
      <c r="C27" s="6"/>
      <c r="D27" s="14">
        <f>SUM(D22:D26)</f>
        <v>0</v>
      </c>
      <c r="E27" s="5">
        <f>SUM(E22:E26)</f>
        <v>0.5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/>
      <c r="B31" s="5"/>
      <c r="C31" s="7"/>
      <c r="D31" s="14"/>
      <c r="E31" s="6"/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0</v>
      </c>
      <c r="C36" s="6"/>
      <c r="D36" s="14">
        <f>SUM(D31:D35)</f>
        <v>0</v>
      </c>
      <c r="E36" s="6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/>
      <c r="B40" s="5"/>
      <c r="C40" s="7"/>
      <c r="D40" s="14"/>
      <c r="E40" s="6"/>
    </row>
    <row r="41" spans="1:5" x14ac:dyDescent="0.25">
      <c r="A41" s="11"/>
      <c r="B41" s="5"/>
      <c r="C41" s="7"/>
      <c r="D41" s="14"/>
      <c r="E41" s="6"/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0</v>
      </c>
      <c r="C45" s="6"/>
      <c r="D45" s="14">
        <f>SUM(D40:D44)</f>
        <v>0</v>
      </c>
      <c r="E45" s="6">
        <f>SUM(E40:E44)</f>
        <v>0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/>
      <c r="B49" s="5"/>
      <c r="C49" s="7"/>
      <c r="D49" s="14"/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0</v>
      </c>
      <c r="C54" s="6"/>
      <c r="D54" s="14">
        <f>SUM(D49:D53)</f>
        <v>0</v>
      </c>
      <c r="E54" s="6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/>
      <c r="B58" s="5"/>
      <c r="C58" s="7"/>
      <c r="D58" s="14"/>
      <c r="E58" s="5"/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0</v>
      </c>
      <c r="C63" s="6"/>
      <c r="D63" s="14">
        <f>SUM(D58:D62)</f>
        <v>0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/>
      <c r="B67" s="5"/>
      <c r="C67" s="7"/>
      <c r="D67" s="14"/>
      <c r="E67" s="6"/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0</v>
      </c>
      <c r="C72" s="6"/>
      <c r="D72" s="14">
        <f>SUM(D67:D71)</f>
        <v>0</v>
      </c>
      <c r="E72" s="6">
        <f>SUM(E67:E71)</f>
        <v>0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/>
      <c r="B76" s="5"/>
      <c r="C76" s="7"/>
      <c r="D76" s="14"/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</v>
      </c>
      <c r="C81" s="6"/>
      <c r="D81" s="14">
        <f>SUM(D76:D80)</f>
        <v>0</v>
      </c>
      <c r="E81" s="6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81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41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 t="s">
        <v>44</v>
      </c>
      <c r="B4" s="5">
        <v>10</v>
      </c>
      <c r="C4" s="5">
        <f>B13+B22+B31+B40+B49+B58+B67+B76</f>
        <v>10.16</v>
      </c>
      <c r="D4" s="5">
        <f>B4-C4</f>
        <v>-0.16000000000000014</v>
      </c>
      <c r="E4" s="6"/>
      <c r="F4" s="5">
        <v>0.06</v>
      </c>
    </row>
    <row r="5" spans="1:6" x14ac:dyDescent="0.25">
      <c r="A5" s="10"/>
      <c r="B5" s="5"/>
      <c r="C5" s="6"/>
      <c r="D5" s="7"/>
      <c r="E5" s="6"/>
      <c r="F5" s="6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10</v>
      </c>
      <c r="C9" s="5">
        <f t="shared" ref="C9:D9" si="0">SUM(C4:C8)</f>
        <v>10.16</v>
      </c>
      <c r="D9" s="5">
        <f t="shared" si="0"/>
        <v>-0.16000000000000014</v>
      </c>
      <c r="E9" s="6">
        <f>E18+E27+E36+E45+E54+E63+E72+E81</f>
        <v>0.15000000000000002</v>
      </c>
      <c r="F9" s="5">
        <f>SUM(F4:F8)</f>
        <v>0.06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/>
      <c r="B13" s="5"/>
      <c r="C13" s="7"/>
      <c r="D13" s="14"/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0</v>
      </c>
      <c r="C18" s="6"/>
      <c r="D18" s="14">
        <f>SUM(D13:D17)</f>
        <v>0</v>
      </c>
      <c r="E18" s="6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4</v>
      </c>
      <c r="C21" s="3" t="s">
        <v>0</v>
      </c>
      <c r="D21" s="3" t="s">
        <v>1</v>
      </c>
      <c r="E21" s="3" t="s">
        <v>25</v>
      </c>
    </row>
    <row r="22" spans="1:5" x14ac:dyDescent="0.25">
      <c r="A22" s="11" t="s">
        <v>45</v>
      </c>
      <c r="B22" s="5">
        <v>2.6</v>
      </c>
      <c r="C22" s="7">
        <f>B22/D22</f>
        <v>82.479014642245687</v>
      </c>
      <c r="D22" s="14">
        <v>3.1523170000000003E-2</v>
      </c>
      <c r="E22" s="6"/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2.6</v>
      </c>
      <c r="C27" s="6"/>
      <c r="D27" s="14">
        <f>SUM(D22:D26)</f>
        <v>3.1523170000000003E-2</v>
      </c>
      <c r="E27" s="6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 t="s">
        <v>45</v>
      </c>
      <c r="B31" s="5">
        <v>1.43</v>
      </c>
      <c r="C31" s="7">
        <f>B31/D31</f>
        <v>4.8502000453137564</v>
      </c>
      <c r="D31" s="14">
        <v>0.29483320000000002</v>
      </c>
      <c r="E31" s="6"/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1.43</v>
      </c>
      <c r="C36" s="6"/>
      <c r="D36" s="14">
        <f>SUM(D31:D35)</f>
        <v>0.29483320000000002</v>
      </c>
      <c r="E36" s="6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 t="s">
        <v>45</v>
      </c>
      <c r="B40" s="5">
        <v>2.12</v>
      </c>
      <c r="C40" s="7">
        <f>B40/D40</f>
        <v>96.397901435874033</v>
      </c>
      <c r="D40" s="14">
        <v>2.199218E-2</v>
      </c>
      <c r="E40" s="6"/>
    </row>
    <row r="41" spans="1:5" x14ac:dyDescent="0.25">
      <c r="A41" s="11" t="s">
        <v>43</v>
      </c>
      <c r="B41" s="5"/>
      <c r="C41" s="7"/>
      <c r="D41" s="14"/>
      <c r="E41" s="6">
        <v>0.14000000000000001</v>
      </c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2.12</v>
      </c>
      <c r="C45" s="6"/>
      <c r="D45" s="14">
        <f>SUM(D40:D44)</f>
        <v>2.199218E-2</v>
      </c>
      <c r="E45" s="6">
        <f>SUM(E40:E44)</f>
        <v>0.14000000000000001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 t="s">
        <v>45</v>
      </c>
      <c r="B49" s="5">
        <v>1.29</v>
      </c>
      <c r="C49" s="7">
        <f>B49/D49</f>
        <v>65.920016025206991</v>
      </c>
      <c r="D49" s="14">
        <v>1.956917E-2</v>
      </c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1.29</v>
      </c>
      <c r="C54" s="6"/>
      <c r="D54" s="14">
        <f>SUM(D49:D53)</f>
        <v>1.956917E-2</v>
      </c>
      <c r="E54" s="6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 t="s">
        <v>45</v>
      </c>
      <c r="B58" s="5">
        <v>1.74</v>
      </c>
      <c r="C58" s="7">
        <f>B58/D58</f>
        <v>123.12491022141963</v>
      </c>
      <c r="D58" s="14">
        <v>1.4131990000000001E-2</v>
      </c>
      <c r="E58" s="5"/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1.74</v>
      </c>
      <c r="C63" s="6"/>
      <c r="D63" s="14">
        <f>SUM(D58:D62)</f>
        <v>1.4131990000000001E-2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 t="s">
        <v>42</v>
      </c>
      <c r="B67" s="5"/>
      <c r="C67" s="7"/>
      <c r="D67" s="14"/>
      <c r="E67" s="6">
        <v>0.01</v>
      </c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0</v>
      </c>
      <c r="C72" s="6"/>
      <c r="D72" s="14">
        <f>SUM(D67:D71)</f>
        <v>0</v>
      </c>
      <c r="E72" s="6">
        <f>SUM(E67:E71)</f>
        <v>0.01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 t="s">
        <v>45</v>
      </c>
      <c r="B76" s="5">
        <v>0.98</v>
      </c>
      <c r="C76" s="7">
        <f>B76/D76</f>
        <v>74.779705093260972</v>
      </c>
      <c r="D76" s="14">
        <v>1.3105159999999999E-2</v>
      </c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0.98</v>
      </c>
      <c r="C81" s="6"/>
      <c r="D81" s="14">
        <f>SUM(D76:D80)</f>
        <v>1.3105159999999999E-2</v>
      </c>
      <c r="E81" s="6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81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39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/>
      <c r="B4" s="5"/>
      <c r="C4" s="5">
        <f>B13+B22+B31+B40+B49+B58+B67+B76</f>
        <v>0</v>
      </c>
      <c r="D4" s="5"/>
      <c r="E4" s="6"/>
      <c r="F4" s="5">
        <v>0.06</v>
      </c>
    </row>
    <row r="5" spans="1:6" x14ac:dyDescent="0.25">
      <c r="A5" s="10"/>
      <c r="B5" s="5"/>
      <c r="C5" s="6"/>
      <c r="D5" s="7"/>
      <c r="E5" s="6"/>
      <c r="F5" s="6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0</v>
      </c>
      <c r="C9" s="6"/>
      <c r="D9" s="7"/>
      <c r="E9" s="6">
        <f>E18+E27+E36+E45+E54+E63+E72+E81</f>
        <v>0.39</v>
      </c>
      <c r="F9" s="5">
        <f>SUM(F4:F8)</f>
        <v>0.06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/>
      <c r="B13" s="5"/>
      <c r="C13" s="7"/>
      <c r="D13" s="14"/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0</v>
      </c>
      <c r="C18" s="6"/>
      <c r="D18" s="14">
        <f>SUM(D13:D17)</f>
        <v>0</v>
      </c>
      <c r="E18" s="6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4</v>
      </c>
      <c r="C21" s="3" t="s">
        <v>0</v>
      </c>
      <c r="D21" s="3" t="s">
        <v>1</v>
      </c>
      <c r="E21" s="3" t="s">
        <v>25</v>
      </c>
    </row>
    <row r="22" spans="1:5" x14ac:dyDescent="0.25">
      <c r="A22" s="11"/>
      <c r="B22" s="5"/>
      <c r="C22" s="7"/>
      <c r="D22" s="14"/>
      <c r="E22" s="6"/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0</v>
      </c>
      <c r="C27" s="6"/>
      <c r="D27" s="14">
        <f>SUM(D22:D26)</f>
        <v>0</v>
      </c>
      <c r="E27" s="6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 t="s">
        <v>40</v>
      </c>
      <c r="B31" s="5"/>
      <c r="C31" s="7"/>
      <c r="D31" s="14"/>
      <c r="E31" s="6">
        <v>0.39</v>
      </c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0</v>
      </c>
      <c r="C36" s="6"/>
      <c r="D36" s="14">
        <f>SUM(D31:D35)</f>
        <v>0</v>
      </c>
      <c r="E36" s="6">
        <f>SUM(E31:E35)</f>
        <v>0.39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/>
      <c r="B40" s="5"/>
      <c r="C40" s="7"/>
      <c r="D40" s="14"/>
      <c r="E40" s="6"/>
    </row>
    <row r="41" spans="1:5" x14ac:dyDescent="0.25">
      <c r="A41" s="11"/>
      <c r="B41" s="5"/>
      <c r="C41" s="7"/>
      <c r="D41" s="8"/>
      <c r="E41" s="6"/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0</v>
      </c>
      <c r="C45" s="6"/>
      <c r="D45" s="14">
        <f>SUM(D40:D44)</f>
        <v>0</v>
      </c>
      <c r="E45" s="6">
        <f>SUM(E40:E44)</f>
        <v>0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/>
      <c r="B49" s="5"/>
      <c r="C49" s="7"/>
      <c r="D49" s="14"/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0</v>
      </c>
      <c r="C54" s="6"/>
      <c r="D54" s="14">
        <f>SUM(D49:D53)</f>
        <v>0</v>
      </c>
      <c r="E54" s="6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/>
      <c r="B58" s="5"/>
      <c r="C58" s="7"/>
      <c r="D58" s="14"/>
      <c r="E58" s="5"/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0</v>
      </c>
      <c r="C63" s="6"/>
      <c r="D63" s="14">
        <f>SUM(D58:D62)</f>
        <v>0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/>
      <c r="B67" s="5"/>
      <c r="C67" s="7"/>
      <c r="D67" s="14"/>
      <c r="E67" s="6"/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0</v>
      </c>
      <c r="C72" s="6"/>
      <c r="D72" s="14">
        <f>SUM(D67:D71)</f>
        <v>0</v>
      </c>
      <c r="E72" s="6">
        <f>SUM(E67:E71)</f>
        <v>0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/>
      <c r="B76" s="5"/>
      <c r="C76" s="7"/>
      <c r="D76" s="14"/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</v>
      </c>
      <c r="C81" s="6"/>
      <c r="D81" s="14">
        <f>SUM(D76:D80)</f>
        <v>0</v>
      </c>
      <c r="E81" s="6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81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38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/>
      <c r="B4" s="5"/>
      <c r="C4" s="5">
        <f>B13+B22+B31+B40+B49+B58+B67+B76</f>
        <v>0</v>
      </c>
      <c r="D4" s="5"/>
      <c r="E4" s="6"/>
      <c r="F4" s="5">
        <v>0.05</v>
      </c>
    </row>
    <row r="5" spans="1:6" x14ac:dyDescent="0.25">
      <c r="A5" s="10"/>
      <c r="B5" s="5"/>
      <c r="C5" s="6"/>
      <c r="D5" s="7"/>
      <c r="E5" s="6"/>
      <c r="F5" s="6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0</v>
      </c>
      <c r="C9" s="6"/>
      <c r="D9" s="7"/>
      <c r="E9" s="6">
        <f>E18+E27+E36+E45+E54+E63+E72+E81</f>
        <v>0</v>
      </c>
      <c r="F9" s="5">
        <f>SUM(F4:F8)</f>
        <v>0.05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/>
      <c r="B13" s="5"/>
      <c r="C13" s="7"/>
      <c r="D13" s="14"/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0</v>
      </c>
      <c r="C18" s="6"/>
      <c r="D18" s="14">
        <f>SUM(D13:D17)</f>
        <v>0</v>
      </c>
      <c r="E18" s="6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4</v>
      </c>
      <c r="C21" s="3" t="s">
        <v>0</v>
      </c>
      <c r="D21" s="3" t="s">
        <v>1</v>
      </c>
      <c r="E21" s="3" t="s">
        <v>25</v>
      </c>
    </row>
    <row r="22" spans="1:5" x14ac:dyDescent="0.25">
      <c r="A22" s="11"/>
      <c r="B22" s="5"/>
      <c r="C22" s="7"/>
      <c r="D22" s="14"/>
      <c r="E22" s="6"/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0</v>
      </c>
      <c r="C27" s="6"/>
      <c r="D27" s="14">
        <f>SUM(D22:D26)</f>
        <v>0</v>
      </c>
      <c r="E27" s="6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/>
      <c r="B31" s="5"/>
      <c r="C31" s="7"/>
      <c r="D31" s="14"/>
      <c r="E31" s="6"/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0</v>
      </c>
      <c r="C36" s="6"/>
      <c r="D36" s="14">
        <f>SUM(D31:D35)</f>
        <v>0</v>
      </c>
      <c r="E36" s="6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/>
      <c r="B40" s="5"/>
      <c r="C40" s="7"/>
      <c r="D40" s="14"/>
      <c r="E40" s="6"/>
    </row>
    <row r="41" spans="1:5" x14ac:dyDescent="0.25">
      <c r="A41" s="11"/>
      <c r="B41" s="5"/>
      <c r="C41" s="7"/>
      <c r="D41" s="8"/>
      <c r="E41" s="6"/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0</v>
      </c>
      <c r="C45" s="6"/>
      <c r="D45" s="14">
        <f>SUM(D40:D44)</f>
        <v>0</v>
      </c>
      <c r="E45" s="6">
        <f>SUM(E40:E44)</f>
        <v>0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/>
      <c r="B49" s="5"/>
      <c r="C49" s="7"/>
      <c r="D49" s="14"/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0</v>
      </c>
      <c r="C54" s="6"/>
      <c r="D54" s="14">
        <f>SUM(D49:D53)</f>
        <v>0</v>
      </c>
      <c r="E54" s="6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/>
      <c r="B58" s="5"/>
      <c r="C58" s="7"/>
      <c r="D58" s="14"/>
      <c r="E58" s="5"/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0</v>
      </c>
      <c r="C63" s="6"/>
      <c r="D63" s="14">
        <f>SUM(D58:D62)</f>
        <v>0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/>
      <c r="B67" s="5"/>
      <c r="C67" s="7"/>
      <c r="D67" s="14"/>
      <c r="E67" s="6"/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0</v>
      </c>
      <c r="C72" s="6"/>
      <c r="D72" s="14">
        <f>SUM(D67:D71)</f>
        <v>0</v>
      </c>
      <c r="E72" s="6">
        <f>SUM(E67:E71)</f>
        <v>0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/>
      <c r="B76" s="5"/>
      <c r="C76" s="7"/>
      <c r="D76" s="14"/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</v>
      </c>
      <c r="C81" s="6"/>
      <c r="D81" s="14">
        <f>SUM(D76:D80)</f>
        <v>0</v>
      </c>
      <c r="E81" s="6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81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36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/>
      <c r="B4" s="5"/>
      <c r="C4" s="5">
        <f>B13+B22+B31+B40+B49+B58+B67+B76</f>
        <v>0</v>
      </c>
      <c r="D4" s="5"/>
      <c r="E4" s="6"/>
      <c r="F4" s="5">
        <v>0.05</v>
      </c>
    </row>
    <row r="5" spans="1:6" x14ac:dyDescent="0.25">
      <c r="A5" s="10"/>
      <c r="B5" s="5"/>
      <c r="C5" s="6"/>
      <c r="D5" s="7"/>
      <c r="E5" s="6"/>
      <c r="F5" s="6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0</v>
      </c>
      <c r="C9" s="6"/>
      <c r="D9" s="7"/>
      <c r="E9" s="6">
        <f>E18+E27+E36+E45+E54+E63+E72+E81</f>
        <v>0.33999999999999997</v>
      </c>
      <c r="F9" s="5">
        <f>SUM(F4:F8)</f>
        <v>0.05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/>
      <c r="B13" s="5"/>
      <c r="C13" s="7"/>
      <c r="D13" s="14"/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0</v>
      </c>
      <c r="C18" s="6"/>
      <c r="D18" s="14">
        <f>SUM(D13:D17)</f>
        <v>0</v>
      </c>
      <c r="E18" s="6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4</v>
      </c>
      <c r="C21" s="3" t="s">
        <v>0</v>
      </c>
      <c r="D21" s="3" t="s">
        <v>1</v>
      </c>
      <c r="E21" s="3" t="s">
        <v>25</v>
      </c>
    </row>
    <row r="22" spans="1:5" x14ac:dyDescent="0.25">
      <c r="A22" s="11"/>
      <c r="B22" s="5"/>
      <c r="C22" s="7"/>
      <c r="D22" s="14"/>
      <c r="E22" s="6"/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0</v>
      </c>
      <c r="C27" s="6"/>
      <c r="D27" s="14">
        <f>SUM(D22:D26)</f>
        <v>0</v>
      </c>
      <c r="E27" s="6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/>
      <c r="B31" s="5"/>
      <c r="C31" s="7"/>
      <c r="D31" s="14"/>
      <c r="E31" s="6"/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0</v>
      </c>
      <c r="C36" s="6"/>
      <c r="D36" s="14">
        <f>SUM(D31:D35)</f>
        <v>0</v>
      </c>
      <c r="E36" s="6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 t="s">
        <v>37</v>
      </c>
      <c r="B40" s="5"/>
      <c r="C40" s="7"/>
      <c r="D40" s="14"/>
      <c r="E40" s="6">
        <v>0.13</v>
      </c>
    </row>
    <row r="41" spans="1:5" x14ac:dyDescent="0.25">
      <c r="A41" s="11"/>
      <c r="B41" s="5"/>
      <c r="C41" s="7"/>
      <c r="D41" s="8"/>
      <c r="E41" s="6"/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0</v>
      </c>
      <c r="C45" s="6"/>
      <c r="D45" s="14">
        <f>SUM(D40:D44)</f>
        <v>0</v>
      </c>
      <c r="E45" s="6">
        <f>SUM(E40:E44)</f>
        <v>0.13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/>
      <c r="B49" s="5"/>
      <c r="C49" s="7"/>
      <c r="D49" s="14"/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0</v>
      </c>
      <c r="C54" s="6"/>
      <c r="D54" s="14">
        <f>SUM(D49:D53)</f>
        <v>0</v>
      </c>
      <c r="E54" s="6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 t="s">
        <v>37</v>
      </c>
      <c r="B58" s="5"/>
      <c r="C58" s="7"/>
      <c r="D58" s="14"/>
      <c r="E58" s="5">
        <v>0.21</v>
      </c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0</v>
      </c>
      <c r="C63" s="6"/>
      <c r="D63" s="14">
        <f>SUM(D58:D62)</f>
        <v>0</v>
      </c>
      <c r="E63" s="5">
        <f>SUM(E58:E62)</f>
        <v>0.21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/>
      <c r="B67" s="5"/>
      <c r="C67" s="7"/>
      <c r="D67" s="14"/>
      <c r="E67" s="6"/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0</v>
      </c>
      <c r="C72" s="6"/>
      <c r="D72" s="14">
        <f>SUM(D67:D71)</f>
        <v>0</v>
      </c>
      <c r="E72" s="6">
        <f>SUM(E67:E71)</f>
        <v>0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/>
      <c r="B76" s="5"/>
      <c r="C76" s="7"/>
      <c r="D76" s="14"/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</v>
      </c>
      <c r="C81" s="6"/>
      <c r="D81" s="14">
        <f>SUM(D76:D80)</f>
        <v>0</v>
      </c>
      <c r="E81" s="6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81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35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/>
      <c r="B4" s="5">
        <v>0</v>
      </c>
      <c r="C4" s="5">
        <f>B13+B22+B31+B40+B49+B58+B67+B76</f>
        <v>0</v>
      </c>
      <c r="D4" s="5">
        <f>B4-C4</f>
        <v>0</v>
      </c>
      <c r="E4" s="6"/>
      <c r="F4" s="5">
        <v>0.05</v>
      </c>
    </row>
    <row r="5" spans="1:6" x14ac:dyDescent="0.25">
      <c r="A5" s="10"/>
      <c r="B5" s="5"/>
      <c r="C5" s="6"/>
      <c r="D5" s="7"/>
      <c r="E5" s="6"/>
      <c r="F5" s="6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0</v>
      </c>
      <c r="C9" s="5">
        <f t="shared" ref="C9:D9" si="0">SUM(C4:C8)</f>
        <v>0</v>
      </c>
      <c r="D9" s="5">
        <f t="shared" si="0"/>
        <v>0</v>
      </c>
      <c r="E9" s="5">
        <f>E18+E27+E36+E45+E54+E63+E72+E81</f>
        <v>0</v>
      </c>
      <c r="F9" s="5">
        <f>SUM(F4:F8)</f>
        <v>0.05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/>
      <c r="B13" s="5"/>
      <c r="C13" s="7"/>
      <c r="D13" s="14"/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0</v>
      </c>
      <c r="C18" s="6"/>
      <c r="D18" s="14">
        <f>SUM(D13:D17)</f>
        <v>0</v>
      </c>
      <c r="E18" s="5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3</v>
      </c>
      <c r="C21" s="3" t="s">
        <v>0</v>
      </c>
      <c r="D21" s="3" t="s">
        <v>1</v>
      </c>
      <c r="E21" s="3" t="s">
        <v>25</v>
      </c>
    </row>
    <row r="22" spans="1:5" x14ac:dyDescent="0.25">
      <c r="A22" s="11"/>
      <c r="B22" s="5"/>
      <c r="C22" s="7"/>
      <c r="D22" s="14"/>
      <c r="E22" s="6"/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0</v>
      </c>
      <c r="C27" s="6"/>
      <c r="D27" s="14">
        <f>SUM(D22:D26)</f>
        <v>0</v>
      </c>
      <c r="E27" s="5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/>
      <c r="B31" s="5"/>
      <c r="C31" s="7"/>
      <c r="D31" s="14"/>
      <c r="E31" s="6"/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0</v>
      </c>
      <c r="C36" s="6"/>
      <c r="D36" s="14">
        <f>SUM(D31:D35)</f>
        <v>0</v>
      </c>
      <c r="E36" s="5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/>
      <c r="B40" s="5"/>
      <c r="C40" s="7"/>
      <c r="D40" s="14"/>
      <c r="E40" s="6"/>
    </row>
    <row r="41" spans="1:5" x14ac:dyDescent="0.25">
      <c r="A41" s="11"/>
      <c r="B41" s="5"/>
      <c r="C41" s="7"/>
      <c r="D41" s="8"/>
      <c r="E41" s="6"/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0</v>
      </c>
      <c r="C45" s="6"/>
      <c r="D45" s="14">
        <f>SUM(D40:D44)</f>
        <v>0</v>
      </c>
      <c r="E45" s="5">
        <f>SUM(E40:E44)</f>
        <v>0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/>
      <c r="B49" s="5"/>
      <c r="C49" s="7"/>
      <c r="D49" s="14"/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0</v>
      </c>
      <c r="C54" s="6"/>
      <c r="D54" s="14">
        <f>SUM(D49:D53)</f>
        <v>0</v>
      </c>
      <c r="E54" s="5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/>
      <c r="B58" s="5"/>
      <c r="C58" s="7"/>
      <c r="D58" s="14"/>
      <c r="E58" s="5"/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0</v>
      </c>
      <c r="C63" s="6"/>
      <c r="D63" s="14">
        <f>SUM(D58:D62)</f>
        <v>0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/>
      <c r="B67" s="5"/>
      <c r="C67" s="7"/>
      <c r="D67" s="14"/>
      <c r="E67" s="6"/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0</v>
      </c>
      <c r="C72" s="6"/>
      <c r="D72" s="14">
        <f>SUM(D67:D71)</f>
        <v>0</v>
      </c>
      <c r="E72" s="5">
        <f>SUM(E67:E71)</f>
        <v>0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/>
      <c r="B76" s="5"/>
      <c r="C76" s="7"/>
      <c r="D76" s="14"/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</v>
      </c>
      <c r="C81" s="6"/>
      <c r="D81" s="14">
        <f>SUM(D76:D80)</f>
        <v>0</v>
      </c>
      <c r="E81" s="5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81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30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 t="s">
        <v>63</v>
      </c>
      <c r="B4" s="5">
        <v>0</v>
      </c>
      <c r="C4" s="5">
        <f>B13+B22+B31+B40+B49+B58+B67+B76</f>
        <v>0.93</v>
      </c>
      <c r="D4" s="5">
        <f>B4-C4</f>
        <v>-0.93</v>
      </c>
      <c r="E4" s="6"/>
      <c r="F4" s="5">
        <v>0.05</v>
      </c>
    </row>
    <row r="5" spans="1:6" x14ac:dyDescent="0.25">
      <c r="A5" s="10"/>
      <c r="B5" s="5"/>
      <c r="C5" s="6"/>
      <c r="D5" s="7"/>
      <c r="E5" s="6"/>
      <c r="F5" s="6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0</v>
      </c>
      <c r="C9" s="5">
        <f>SUM(C4:C8)</f>
        <v>0.93</v>
      </c>
      <c r="D9" s="5">
        <f>SUM(D4:D8)</f>
        <v>-0.93</v>
      </c>
      <c r="E9" s="6">
        <f>E18+E27+E36+E45+E54+E63+E72+E81</f>
        <v>0.13</v>
      </c>
      <c r="F9" s="5">
        <f>SUM(F4:F8)</f>
        <v>0.05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/>
      <c r="B13" s="5"/>
      <c r="C13" s="7"/>
      <c r="D13" s="14"/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0</v>
      </c>
      <c r="C18" s="6"/>
      <c r="D18" s="14">
        <f>SUM(D13:D17)</f>
        <v>0</v>
      </c>
      <c r="E18" s="5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3</v>
      </c>
      <c r="C21" s="3" t="s">
        <v>0</v>
      </c>
      <c r="D21" s="3" t="s">
        <v>1</v>
      </c>
      <c r="E21" s="3" t="s">
        <v>25</v>
      </c>
    </row>
    <row r="22" spans="1:5" x14ac:dyDescent="0.25">
      <c r="A22" s="11" t="s">
        <v>63</v>
      </c>
      <c r="B22" s="5">
        <v>0.14000000000000001</v>
      </c>
      <c r="C22" s="7">
        <f>B22/D22</f>
        <v>79.935138344885871</v>
      </c>
      <c r="D22" s="14">
        <v>1.7514200000000001E-3</v>
      </c>
      <c r="E22" s="6"/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0.14000000000000001</v>
      </c>
      <c r="C27" s="6"/>
      <c r="D27" s="14">
        <f>SUM(D22:D26)</f>
        <v>1.7514200000000001E-3</v>
      </c>
      <c r="E27" s="5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 t="s">
        <v>63</v>
      </c>
      <c r="B31" s="5">
        <v>0.79</v>
      </c>
      <c r="C31" s="7">
        <f>B31/D31</f>
        <v>4.6809000790183335</v>
      </c>
      <c r="D31" s="14">
        <v>0.16877096</v>
      </c>
      <c r="E31" s="6"/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0.79</v>
      </c>
      <c r="C36" s="6"/>
      <c r="D36" s="14">
        <f>SUM(D31:D35)</f>
        <v>0.16877096</v>
      </c>
      <c r="E36" s="5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/>
      <c r="B40" s="5"/>
      <c r="C40" s="7"/>
      <c r="D40" s="14"/>
      <c r="E40" s="6">
        <v>0.13</v>
      </c>
    </row>
    <row r="41" spans="1:5" x14ac:dyDescent="0.25">
      <c r="A41" s="11"/>
      <c r="B41" s="5"/>
      <c r="C41" s="7"/>
      <c r="D41" s="8"/>
      <c r="E41" s="6"/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0</v>
      </c>
      <c r="C45" s="6"/>
      <c r="D45" s="14">
        <f>SUM(D40:D44)</f>
        <v>0</v>
      </c>
      <c r="E45" s="5">
        <f>SUM(E40:E44)</f>
        <v>0.13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/>
      <c r="B49" s="5"/>
      <c r="C49" s="7"/>
      <c r="D49" s="14"/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0</v>
      </c>
      <c r="C54" s="6"/>
      <c r="D54" s="14">
        <f>SUM(D49:D53)</f>
        <v>0</v>
      </c>
      <c r="E54" s="6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/>
      <c r="B58" s="5"/>
      <c r="C58" s="7"/>
      <c r="D58" s="14"/>
      <c r="E58" s="5"/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0</v>
      </c>
      <c r="C63" s="6"/>
      <c r="D63" s="14">
        <f>SUM(D58:D62)</f>
        <v>0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/>
      <c r="B67" s="5"/>
      <c r="C67" s="7"/>
      <c r="D67" s="14"/>
      <c r="E67" s="6"/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0</v>
      </c>
      <c r="C72" s="6"/>
      <c r="D72" s="14">
        <f>SUM(D67:D71)</f>
        <v>0</v>
      </c>
      <c r="E72" s="5">
        <f>SUM(E67:E71)</f>
        <v>0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/>
      <c r="B76" s="5"/>
      <c r="C76" s="7"/>
      <c r="D76" s="14"/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</v>
      </c>
      <c r="C81" s="6"/>
      <c r="D81" s="14">
        <f>SUM(D76:D80)</f>
        <v>0</v>
      </c>
      <c r="E81" s="5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81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29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/>
      <c r="B4" s="5">
        <v>0</v>
      </c>
      <c r="C4" s="5">
        <f>B18+B27+B36+B45+B54+B63+B72+B81</f>
        <v>0</v>
      </c>
      <c r="D4" s="5">
        <f>B4-C4</f>
        <v>0</v>
      </c>
      <c r="E4" s="6"/>
      <c r="F4" s="5">
        <v>0.05</v>
      </c>
    </row>
    <row r="5" spans="1:6" x14ac:dyDescent="0.25">
      <c r="A5" s="10"/>
      <c r="B5" s="5"/>
      <c r="C5" s="6"/>
      <c r="D5" s="7"/>
      <c r="E5" s="6"/>
      <c r="F5" s="6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>
        <f>E18+E27+E36+E45+E54+E63+E72+E81</f>
        <v>0.86</v>
      </c>
      <c r="F9" s="5">
        <f>SUM(F4:F8)</f>
        <v>0.05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/>
      <c r="B13" s="5"/>
      <c r="C13" s="7"/>
      <c r="D13" s="14"/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0</v>
      </c>
      <c r="C18" s="6"/>
      <c r="D18" s="14">
        <f>SUM(D13:D17)</f>
        <v>0</v>
      </c>
      <c r="E18" s="5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3</v>
      </c>
      <c r="C21" s="3" t="s">
        <v>0</v>
      </c>
      <c r="D21" s="3" t="s">
        <v>1</v>
      </c>
      <c r="E21" s="3" t="s">
        <v>25</v>
      </c>
    </row>
    <row r="22" spans="1:5" x14ac:dyDescent="0.25">
      <c r="A22" s="11" t="s">
        <v>32</v>
      </c>
      <c r="B22" s="5"/>
      <c r="C22" s="7"/>
      <c r="D22" s="14"/>
      <c r="E22" s="6">
        <v>0.47</v>
      </c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0</v>
      </c>
      <c r="C27" s="6"/>
      <c r="D27" s="14">
        <f>SUM(D22:D26)</f>
        <v>0</v>
      </c>
      <c r="E27" s="6">
        <f>SUM(E22:E26)</f>
        <v>0.47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 t="s">
        <v>34</v>
      </c>
      <c r="B31" s="5"/>
      <c r="C31" s="7"/>
      <c r="D31" s="14"/>
      <c r="E31" s="6">
        <v>0.35</v>
      </c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0</v>
      </c>
      <c r="C36" s="6"/>
      <c r="D36" s="14">
        <f>SUM(D31:D35)</f>
        <v>0</v>
      </c>
      <c r="E36" s="6">
        <f>SUM(E31:E35)</f>
        <v>0.35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/>
      <c r="B40" s="5"/>
      <c r="C40" s="7"/>
      <c r="D40" s="14"/>
      <c r="E40" s="6"/>
    </row>
    <row r="41" spans="1:5" x14ac:dyDescent="0.25">
      <c r="A41" s="11"/>
      <c r="B41" s="5"/>
      <c r="C41" s="7"/>
      <c r="D41" s="8"/>
      <c r="E41" s="6"/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0</v>
      </c>
      <c r="C45" s="6"/>
      <c r="D45" s="14">
        <f>SUM(D40:D44)</f>
        <v>0</v>
      </c>
      <c r="E45" s="5">
        <f>SUM(E40:E44)</f>
        <v>0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/>
      <c r="B49" s="5"/>
      <c r="C49" s="7"/>
      <c r="D49" s="14"/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0</v>
      </c>
      <c r="C54" s="6"/>
      <c r="D54" s="14">
        <f>SUM(D49:D53)</f>
        <v>0</v>
      </c>
      <c r="E54" s="5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/>
      <c r="B58" s="5"/>
      <c r="C58" s="7"/>
      <c r="D58" s="14"/>
      <c r="E58" s="5"/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0</v>
      </c>
      <c r="C63" s="6"/>
      <c r="D63" s="14">
        <f>SUM(D58:D62)</f>
        <v>0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 t="s">
        <v>33</v>
      </c>
      <c r="B67" s="5"/>
      <c r="C67" s="7"/>
      <c r="D67" s="14"/>
      <c r="E67" s="6">
        <v>0.04</v>
      </c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0</v>
      </c>
      <c r="C72" s="6"/>
      <c r="D72" s="14">
        <f>SUM(D67:D71)</f>
        <v>0</v>
      </c>
      <c r="E72" s="6">
        <f>SUM(E67:E71)</f>
        <v>0.04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/>
      <c r="B76" s="5"/>
      <c r="C76" s="7"/>
      <c r="D76" s="14"/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</v>
      </c>
      <c r="C81" s="6"/>
      <c r="D81" s="14">
        <f>SUM(D76:D80)</f>
        <v>0</v>
      </c>
      <c r="E81" s="5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81"/>
  <sheetViews>
    <sheetView workbookViewId="0">
      <selection activeCell="E9" sqref="E9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28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/>
      <c r="B4" s="5">
        <v>0</v>
      </c>
      <c r="C4" s="5">
        <f>B13+B22+B31+B40+B49+B58+B67+B76</f>
        <v>0</v>
      </c>
      <c r="D4" s="5">
        <f>B4-C4</f>
        <v>0</v>
      </c>
      <c r="E4" s="6"/>
      <c r="F4" s="5">
        <v>0.05</v>
      </c>
    </row>
    <row r="5" spans="1:6" x14ac:dyDescent="0.25">
      <c r="A5" s="10"/>
      <c r="B5" s="5"/>
      <c r="C5" s="6"/>
      <c r="D5" s="7"/>
      <c r="E5" s="6"/>
      <c r="F5" s="6">
        <v>-0.01</v>
      </c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0</v>
      </c>
      <c r="C9" s="5">
        <f t="shared" ref="C9:D9" si="0">SUM(C4:C8)</f>
        <v>0</v>
      </c>
      <c r="D9" s="5">
        <f t="shared" si="0"/>
        <v>0</v>
      </c>
      <c r="E9" s="6">
        <f>E18+E27+E36+E45+E54+E63+E72+E81</f>
        <v>0</v>
      </c>
      <c r="F9" s="5">
        <f>SUM(F4:F8)</f>
        <v>0.04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/>
      <c r="B13" s="5"/>
      <c r="C13" s="7"/>
      <c r="D13" s="14"/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0</v>
      </c>
      <c r="C18" s="6"/>
      <c r="D18" s="14">
        <f>SUM(D13:D17)</f>
        <v>0</v>
      </c>
      <c r="E18" s="6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4</v>
      </c>
      <c r="C21" s="3" t="s">
        <v>0</v>
      </c>
      <c r="D21" s="3" t="s">
        <v>1</v>
      </c>
      <c r="E21" s="3" t="s">
        <v>25</v>
      </c>
    </row>
    <row r="22" spans="1:5" x14ac:dyDescent="0.25">
      <c r="A22" s="11"/>
      <c r="B22" s="5"/>
      <c r="C22" s="7"/>
      <c r="D22" s="14"/>
      <c r="E22" s="6"/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0</v>
      </c>
      <c r="C27" s="6"/>
      <c r="D27" s="14">
        <f>SUM(D22:D26)</f>
        <v>0</v>
      </c>
      <c r="E27" s="6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/>
      <c r="B31" s="5"/>
      <c r="C31" s="7"/>
      <c r="D31" s="14"/>
      <c r="E31" s="6"/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0</v>
      </c>
      <c r="C36" s="6"/>
      <c r="D36" s="14">
        <f>SUM(D31:D35)</f>
        <v>0</v>
      </c>
      <c r="E36" s="6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/>
      <c r="B40" s="5"/>
      <c r="C40" s="7"/>
      <c r="D40" s="14"/>
      <c r="E40" s="6"/>
    </row>
    <row r="41" spans="1:5" x14ac:dyDescent="0.25">
      <c r="A41" s="11"/>
      <c r="B41" s="5"/>
      <c r="C41" s="7"/>
      <c r="D41" s="8"/>
      <c r="E41" s="6"/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0</v>
      </c>
      <c r="C45" s="6"/>
      <c r="D45" s="14">
        <f>SUM(D40:D44)</f>
        <v>0</v>
      </c>
      <c r="E45" s="6">
        <f>SUM(E40:E44)</f>
        <v>0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/>
      <c r="B49" s="5"/>
      <c r="C49" s="7"/>
      <c r="D49" s="14"/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0</v>
      </c>
      <c r="C54" s="6"/>
      <c r="D54" s="14">
        <f>SUM(D49:D53)</f>
        <v>0</v>
      </c>
      <c r="E54" s="6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 t="s">
        <v>27</v>
      </c>
      <c r="B58" s="5"/>
      <c r="C58" s="7"/>
      <c r="D58" s="14"/>
      <c r="E58" s="5"/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0</v>
      </c>
      <c r="C63" s="6"/>
      <c r="D63" s="14">
        <f>SUM(D58:D62)</f>
        <v>0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/>
      <c r="B67" s="5"/>
      <c r="C67" s="7"/>
      <c r="D67" s="14"/>
      <c r="E67" s="6"/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0</v>
      </c>
      <c r="C72" s="6"/>
      <c r="D72" s="14">
        <f>SUM(D67:D71)</f>
        <v>0</v>
      </c>
      <c r="E72" s="6">
        <f>SUM(E67:E71)</f>
        <v>0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/>
      <c r="B76" s="5"/>
      <c r="C76" s="7"/>
      <c r="D76" s="14"/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</v>
      </c>
      <c r="C81" s="6"/>
      <c r="D81" s="14">
        <f>SUM(D76:D80)</f>
        <v>0</v>
      </c>
      <c r="E81" s="6">
        <f>SUM(E76:E80)</f>
        <v>0</v>
      </c>
    </row>
  </sheetData>
  <pageMargins left="0.7" right="0.7" top="0.75" bottom="0.75" header="0.3" footer="0.3"/>
  <pageSetup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81"/>
  <sheetViews>
    <sheetView workbookViewId="0">
      <selection activeCell="H3" sqref="H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26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/>
      <c r="B4" s="5">
        <v>0</v>
      </c>
      <c r="C4" s="5">
        <f>B13+B22+B31+B40+B49+B58+B67+B76</f>
        <v>0</v>
      </c>
      <c r="D4" s="5">
        <f>B4-C4</f>
        <v>0</v>
      </c>
      <c r="E4" s="6"/>
      <c r="F4" s="5">
        <v>0.05</v>
      </c>
    </row>
    <row r="5" spans="1:6" x14ac:dyDescent="0.25">
      <c r="A5" s="10"/>
      <c r="B5" s="5"/>
      <c r="C5" s="6"/>
      <c r="D5" s="7"/>
      <c r="E5" s="6"/>
      <c r="F5" s="2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0</v>
      </c>
      <c r="C9" s="5">
        <f>SUM(C4:C8)</f>
        <v>0</v>
      </c>
      <c r="D9" s="5">
        <f>SUM(D4:D8)</f>
        <v>0</v>
      </c>
      <c r="E9" s="6">
        <f>E18+E27+E36+E45+E54+E63+E72+E81</f>
        <v>0.33</v>
      </c>
      <c r="F9" s="5">
        <f>SUM(F4:F8)</f>
        <v>0.05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/>
      <c r="B13" s="5"/>
      <c r="C13" s="7"/>
      <c r="D13" s="14"/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0</v>
      </c>
      <c r="C18" s="6"/>
      <c r="D18" s="14">
        <f>SUM(D13:D17)</f>
        <v>0</v>
      </c>
      <c r="E18" s="5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3</v>
      </c>
      <c r="C21" s="3" t="s">
        <v>0</v>
      </c>
      <c r="D21" s="3" t="s">
        <v>1</v>
      </c>
      <c r="E21" s="3" t="s">
        <v>25</v>
      </c>
    </row>
    <row r="22" spans="1:5" x14ac:dyDescent="0.25">
      <c r="A22" s="11"/>
      <c r="B22" s="5"/>
      <c r="C22" s="7"/>
      <c r="D22" s="14"/>
      <c r="E22" s="6"/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0</v>
      </c>
      <c r="C27" s="6"/>
      <c r="D27" s="14">
        <f>SUM(D22:D26)</f>
        <v>0</v>
      </c>
      <c r="E27" s="5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/>
      <c r="B31" s="5"/>
      <c r="C31" s="7"/>
      <c r="D31" s="14"/>
      <c r="E31" s="6"/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0</v>
      </c>
      <c r="C36" s="6"/>
      <c r="D36" s="14">
        <f>SUM(D31:D35)</f>
        <v>0</v>
      </c>
      <c r="E36" s="5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 t="s">
        <v>27</v>
      </c>
      <c r="B40" s="5"/>
      <c r="C40" s="7"/>
      <c r="D40" s="14"/>
      <c r="E40" s="6">
        <v>0.13</v>
      </c>
    </row>
    <row r="41" spans="1:5" x14ac:dyDescent="0.25">
      <c r="A41" s="11"/>
      <c r="B41" s="5"/>
      <c r="C41" s="7"/>
      <c r="D41" s="8"/>
      <c r="E41" s="6"/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0</v>
      </c>
      <c r="C45" s="6"/>
      <c r="D45" s="14">
        <f>SUM(D40:D44)</f>
        <v>0</v>
      </c>
      <c r="E45" s="6">
        <f>SUM(E40:E44)</f>
        <v>0.13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/>
      <c r="B49" s="5"/>
      <c r="C49" s="7"/>
      <c r="D49" s="14"/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0</v>
      </c>
      <c r="C54" s="6"/>
      <c r="D54" s="14">
        <f>SUM(D49:D53)</f>
        <v>0</v>
      </c>
      <c r="E54" s="5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 t="s">
        <v>27</v>
      </c>
      <c r="B58" s="5"/>
      <c r="C58" s="7"/>
      <c r="D58" s="14"/>
      <c r="E58" s="5">
        <v>0.2</v>
      </c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0</v>
      </c>
      <c r="C63" s="6"/>
      <c r="D63" s="14">
        <f>SUM(D58:D62)</f>
        <v>0</v>
      </c>
      <c r="E63" s="5">
        <f>SUM(E58:E62)</f>
        <v>0.2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/>
      <c r="B67" s="5"/>
      <c r="C67" s="7"/>
      <c r="D67" s="14"/>
      <c r="E67" s="6"/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0</v>
      </c>
      <c r="C72" s="6"/>
      <c r="D72" s="14">
        <f>SUM(D67:D71)</f>
        <v>0</v>
      </c>
      <c r="E72" s="5">
        <f>SUM(E67:E71)</f>
        <v>0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/>
      <c r="B76" s="5"/>
      <c r="C76" s="7"/>
      <c r="D76" s="14"/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</v>
      </c>
      <c r="C81" s="6"/>
      <c r="D81" s="14">
        <f>SUM(D76:D80)</f>
        <v>0</v>
      </c>
      <c r="E81" s="5">
        <f>SUM(E76:E80)</f>
        <v>0</v>
      </c>
    </row>
  </sheetData>
  <pageMargins left="0.7" right="0.7" top="0.75" bottom="0.75" header="0.3" footer="0.3"/>
  <pageSetup orientation="portrait" r:id="rId1"/>
  <ignoredErrors>
    <ignoredError sqref="E9" formula="1"/>
  </ignoredError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81"/>
  <sheetViews>
    <sheetView workbookViewId="0">
      <selection activeCell="G13" sqref="G13"/>
    </sheetView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24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/>
      <c r="B4" s="5">
        <v>0</v>
      </c>
      <c r="C4" s="5">
        <f>B13+B22+B31+B40+B49+B58+B67+B76</f>
        <v>0</v>
      </c>
      <c r="D4" s="5">
        <f>B4-C4</f>
        <v>0</v>
      </c>
      <c r="E4" s="6"/>
      <c r="F4" s="5">
        <v>0.06</v>
      </c>
    </row>
    <row r="5" spans="1:6" x14ac:dyDescent="0.25">
      <c r="A5" s="10"/>
      <c r="B5" s="5"/>
      <c r="C5" s="6"/>
      <c r="D5" s="7"/>
      <c r="E5" s="6"/>
      <c r="F5" s="2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0</v>
      </c>
      <c r="C9" s="5">
        <f t="shared" ref="C9:D9" si="0">SUM(C4:C8)</f>
        <v>0</v>
      </c>
      <c r="D9" s="5">
        <f t="shared" si="0"/>
        <v>0</v>
      </c>
      <c r="E9" s="6">
        <f>E18+E27+E36+E45+E54+E63+E72+E81</f>
        <v>0.01</v>
      </c>
      <c r="F9" s="5">
        <f>SUM(F4:F8)</f>
        <v>0.06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/>
      <c r="B13" s="5"/>
      <c r="C13" s="7"/>
      <c r="D13" s="14"/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0</v>
      </c>
      <c r="C18" s="6"/>
      <c r="D18" s="14">
        <f>SUM(D13:D17)</f>
        <v>0</v>
      </c>
      <c r="E18" s="5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3</v>
      </c>
      <c r="C21" s="3" t="s">
        <v>0</v>
      </c>
      <c r="D21" s="3" t="s">
        <v>1</v>
      </c>
      <c r="E21" s="3" t="s">
        <v>25</v>
      </c>
    </row>
    <row r="22" spans="1:5" x14ac:dyDescent="0.25">
      <c r="A22" s="11"/>
      <c r="B22" s="5"/>
      <c r="C22" s="7"/>
      <c r="D22" s="14"/>
      <c r="E22" s="6"/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0</v>
      </c>
      <c r="C27" s="6"/>
      <c r="D27" s="14">
        <f>SUM(D22:D26)</f>
        <v>0</v>
      </c>
      <c r="E27" s="5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/>
      <c r="B31" s="5"/>
      <c r="C31" s="7"/>
      <c r="D31" s="14"/>
      <c r="E31" s="6"/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0</v>
      </c>
      <c r="C36" s="6"/>
      <c r="D36" s="14">
        <f>SUM(D31:D35)</f>
        <v>0</v>
      </c>
      <c r="E36" s="5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/>
      <c r="B40" s="5"/>
      <c r="C40" s="7"/>
      <c r="D40" s="14"/>
      <c r="E40" s="6"/>
    </row>
    <row r="41" spans="1:5" x14ac:dyDescent="0.25">
      <c r="A41" s="11"/>
      <c r="B41" s="5"/>
      <c r="C41" s="7"/>
      <c r="D41" s="8"/>
      <c r="E41" s="6"/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0</v>
      </c>
      <c r="C45" s="6"/>
      <c r="D45" s="14">
        <f>SUM(D40:D44)</f>
        <v>0</v>
      </c>
      <c r="E45" s="5">
        <f>SUM(E40:E44)</f>
        <v>0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/>
      <c r="B49" s="5"/>
      <c r="C49" s="7"/>
      <c r="D49" s="14"/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0</v>
      </c>
      <c r="C54" s="6"/>
      <c r="D54" s="14">
        <f>SUM(D49:D53)</f>
        <v>0</v>
      </c>
      <c r="E54" s="5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/>
      <c r="B58" s="5"/>
      <c r="C58" s="7"/>
      <c r="D58" s="14"/>
      <c r="E58" s="5"/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0</v>
      </c>
      <c r="C63" s="6"/>
      <c r="D63" s="14">
        <f>SUM(D58:D62)</f>
        <v>0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 t="s">
        <v>31</v>
      </c>
      <c r="B67" s="5"/>
      <c r="C67" s="7"/>
      <c r="D67" s="14"/>
      <c r="E67" s="6">
        <v>0.01</v>
      </c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0</v>
      </c>
      <c r="C72" s="6"/>
      <c r="D72" s="14">
        <f>SUM(D67:D71)</f>
        <v>0</v>
      </c>
      <c r="E72" s="6">
        <f>SUM(E67:E71)</f>
        <v>0.01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/>
      <c r="B76" s="5"/>
      <c r="C76" s="7"/>
      <c r="D76" s="14"/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0</v>
      </c>
      <c r="C81" s="6"/>
      <c r="D81" s="14">
        <f>SUM(D76:D80)</f>
        <v>0</v>
      </c>
      <c r="E81" s="5">
        <f>SUM(E76:E80)</f>
        <v>0</v>
      </c>
    </row>
  </sheetData>
  <pageMargins left="0.7" right="0.7" top="0.75" bottom="0.75" header="0.3" footer="0.3"/>
  <pageSetup orientation="portrait" r:id="rId1"/>
  <ignoredErrors>
    <ignoredError sqref="E9" formula="1"/>
  </ignoredError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81"/>
  <sheetViews>
    <sheetView workbookViewId="0"/>
  </sheetViews>
  <sheetFormatPr defaultRowHeight="15" x14ac:dyDescent="0.25"/>
  <cols>
    <col min="1" max="1" width="40.7109375" customWidth="1"/>
    <col min="2" max="3" width="10.7109375" customWidth="1"/>
    <col min="4" max="4" width="15.7109375" customWidth="1"/>
    <col min="5" max="6" width="10.7109375" customWidth="1"/>
  </cols>
  <sheetData>
    <row r="1" spans="1:6" x14ac:dyDescent="0.25">
      <c r="A1" s="13" t="s">
        <v>12</v>
      </c>
    </row>
    <row r="3" spans="1:6" x14ac:dyDescent="0.25">
      <c r="A3" s="10" t="s">
        <v>8</v>
      </c>
      <c r="B3" s="3" t="s">
        <v>3</v>
      </c>
      <c r="C3" s="3" t="s">
        <v>22</v>
      </c>
      <c r="D3" s="3" t="s">
        <v>23</v>
      </c>
      <c r="E3" s="3" t="s">
        <v>25</v>
      </c>
      <c r="F3" s="3" t="s">
        <v>11</v>
      </c>
    </row>
    <row r="4" spans="1:6" x14ac:dyDescent="0.25">
      <c r="A4" s="10" t="s">
        <v>13</v>
      </c>
      <c r="B4" s="5">
        <v>100</v>
      </c>
      <c r="C4" s="5">
        <f>B13+B22+B31+B40+B49+B58+B67+B76</f>
        <v>98</v>
      </c>
      <c r="D4" s="5">
        <f>B4-C4</f>
        <v>2</v>
      </c>
      <c r="E4" s="6"/>
      <c r="F4" s="5">
        <v>0</v>
      </c>
    </row>
    <row r="5" spans="1:6" x14ac:dyDescent="0.25">
      <c r="A5" s="10"/>
      <c r="B5" s="5"/>
      <c r="C5" s="6"/>
      <c r="D5" s="7"/>
      <c r="E5" s="6"/>
      <c r="F5" s="2"/>
    </row>
    <row r="6" spans="1:6" x14ac:dyDescent="0.25">
      <c r="A6" s="10"/>
      <c r="B6" s="5"/>
      <c r="C6" s="6"/>
      <c r="D6" s="7"/>
      <c r="E6" s="6"/>
      <c r="F6" s="2"/>
    </row>
    <row r="7" spans="1:6" x14ac:dyDescent="0.25">
      <c r="A7" s="2"/>
      <c r="B7" s="2"/>
      <c r="C7" s="2"/>
      <c r="D7" s="2"/>
      <c r="E7" s="6"/>
      <c r="F7" s="2"/>
    </row>
    <row r="8" spans="1:6" x14ac:dyDescent="0.25">
      <c r="A8" s="2"/>
      <c r="B8" s="2"/>
      <c r="C8" s="2"/>
      <c r="D8" s="2"/>
      <c r="E8" s="6"/>
      <c r="F8" s="2"/>
    </row>
    <row r="9" spans="1:6" x14ac:dyDescent="0.25">
      <c r="A9" s="2" t="s">
        <v>2</v>
      </c>
      <c r="B9" s="5">
        <f>SUM(B4:B8)</f>
        <v>100</v>
      </c>
      <c r="C9" s="5">
        <f>SUM(C4:C8)</f>
        <v>98</v>
      </c>
      <c r="D9" s="5">
        <f>SUM(D4:D8)</f>
        <v>2</v>
      </c>
      <c r="E9" s="5">
        <f>E18+E27+E36+E45+E54+E63+E72+E81</f>
        <v>0</v>
      </c>
      <c r="F9" s="5">
        <f>SUM(F4:F8)</f>
        <v>0</v>
      </c>
    </row>
    <row r="12" spans="1:6" x14ac:dyDescent="0.25">
      <c r="A12" s="11" t="s">
        <v>14</v>
      </c>
      <c r="B12" s="3" t="s">
        <v>3</v>
      </c>
      <c r="C12" s="3" t="s">
        <v>0</v>
      </c>
      <c r="D12" s="3" t="s">
        <v>1</v>
      </c>
      <c r="E12" s="3" t="s">
        <v>25</v>
      </c>
    </row>
    <row r="13" spans="1:6" x14ac:dyDescent="0.25">
      <c r="A13" s="11" t="str">
        <f>A4</f>
        <v>2024.02.22</v>
      </c>
      <c r="B13" s="5">
        <v>10</v>
      </c>
      <c r="C13" s="7">
        <f>B13/D13</f>
        <v>73.290001352933416</v>
      </c>
      <c r="D13" s="14">
        <v>0.13644426000000001</v>
      </c>
      <c r="E13" s="6"/>
    </row>
    <row r="14" spans="1:6" x14ac:dyDescent="0.25">
      <c r="A14" s="11"/>
      <c r="B14" s="5"/>
      <c r="C14" s="6"/>
      <c r="D14" s="8"/>
      <c r="E14" s="6"/>
    </row>
    <row r="15" spans="1:6" ht="15" customHeight="1" x14ac:dyDescent="0.3">
      <c r="A15" s="4"/>
      <c r="B15" s="5"/>
      <c r="C15" s="6"/>
      <c r="D15" s="8"/>
      <c r="E15" s="6"/>
    </row>
    <row r="16" spans="1:6" ht="15" customHeight="1" x14ac:dyDescent="0.3">
      <c r="A16" s="4"/>
      <c r="B16" s="5"/>
      <c r="C16" s="6"/>
      <c r="D16" s="6"/>
      <c r="E16" s="6"/>
    </row>
    <row r="17" spans="1:5" x14ac:dyDescent="0.25">
      <c r="A17" s="2"/>
      <c r="B17" s="6"/>
      <c r="C17" s="6"/>
      <c r="D17" s="6"/>
      <c r="E17" s="6"/>
    </row>
    <row r="18" spans="1:5" x14ac:dyDescent="0.25">
      <c r="A18" s="2" t="s">
        <v>2</v>
      </c>
      <c r="B18" s="5">
        <f>SUM(B13:B17)</f>
        <v>10</v>
      </c>
      <c r="C18" s="6"/>
      <c r="D18" s="14">
        <f>SUM(D13:D17)</f>
        <v>0.13644426000000001</v>
      </c>
      <c r="E18" s="5">
        <f>SUM(E13:E17)</f>
        <v>0</v>
      </c>
    </row>
    <row r="19" spans="1:5" x14ac:dyDescent="0.25">
      <c r="B19" s="9"/>
      <c r="C19" s="1"/>
      <c r="D19" s="12"/>
    </row>
    <row r="20" spans="1:5" x14ac:dyDescent="0.25">
      <c r="B20" s="1"/>
      <c r="C20" s="1"/>
      <c r="D20" s="1"/>
    </row>
    <row r="21" spans="1:5" x14ac:dyDescent="0.25">
      <c r="A21" s="11" t="s">
        <v>15</v>
      </c>
      <c r="B21" s="3" t="s">
        <v>3</v>
      </c>
      <c r="C21" s="3" t="s">
        <v>0</v>
      </c>
      <c r="D21" s="3" t="s">
        <v>1</v>
      </c>
      <c r="E21" s="3" t="s">
        <v>25</v>
      </c>
    </row>
    <row r="22" spans="1:5" x14ac:dyDescent="0.25">
      <c r="A22" s="11" t="str">
        <f>A4</f>
        <v>2024.02.22</v>
      </c>
      <c r="B22" s="5">
        <v>15</v>
      </c>
      <c r="C22" s="7">
        <f>B22/D22</f>
        <v>80.102103481237407</v>
      </c>
      <c r="D22" s="14">
        <v>0.18726100000000001</v>
      </c>
      <c r="E22" s="6"/>
    </row>
    <row r="23" spans="1:5" x14ac:dyDescent="0.25">
      <c r="A23" s="11"/>
      <c r="B23" s="5"/>
      <c r="C23" s="7"/>
      <c r="D23" s="8"/>
      <c r="E23" s="6"/>
    </row>
    <row r="24" spans="1:5" ht="16.5" x14ac:dyDescent="0.3">
      <c r="A24" s="4"/>
      <c r="B24" s="5"/>
      <c r="C24" s="6"/>
      <c r="D24" s="8"/>
      <c r="E24" s="6"/>
    </row>
    <row r="25" spans="1:5" ht="16.5" x14ac:dyDescent="0.3">
      <c r="A25" s="4"/>
      <c r="B25" s="5"/>
      <c r="C25" s="6"/>
      <c r="D25" s="6"/>
      <c r="E25" s="6"/>
    </row>
    <row r="26" spans="1:5" x14ac:dyDescent="0.25">
      <c r="A26" s="2"/>
      <c r="B26" s="6"/>
      <c r="C26" s="6"/>
      <c r="D26" s="6"/>
      <c r="E26" s="6"/>
    </row>
    <row r="27" spans="1:5" x14ac:dyDescent="0.25">
      <c r="A27" s="2" t="s">
        <v>2</v>
      </c>
      <c r="B27" s="5">
        <f>SUM(B22:B26)</f>
        <v>15</v>
      </c>
      <c r="C27" s="6"/>
      <c r="D27" s="14">
        <f>SUM(D22:D26)</f>
        <v>0.18726100000000001</v>
      </c>
      <c r="E27" s="5">
        <f>SUM(E22:E26)</f>
        <v>0</v>
      </c>
    </row>
    <row r="30" spans="1:5" x14ac:dyDescent="0.25">
      <c r="A30" s="11" t="s">
        <v>16</v>
      </c>
      <c r="B30" s="3" t="s">
        <v>3</v>
      </c>
      <c r="C30" s="3" t="s">
        <v>0</v>
      </c>
      <c r="D30" s="3" t="s">
        <v>1</v>
      </c>
      <c r="E30" s="3" t="s">
        <v>25</v>
      </c>
    </row>
    <row r="31" spans="1:5" x14ac:dyDescent="0.25">
      <c r="A31" s="11" t="str">
        <f>A4</f>
        <v>2024.02.22</v>
      </c>
      <c r="B31" s="5">
        <v>12</v>
      </c>
      <c r="C31" s="7">
        <f>B31/D31</f>
        <v>4.7137000151737931</v>
      </c>
      <c r="D31" s="14">
        <v>2.5457708299999999</v>
      </c>
      <c r="E31" s="6"/>
    </row>
    <row r="32" spans="1:5" x14ac:dyDescent="0.25">
      <c r="A32" s="11"/>
      <c r="B32" s="5"/>
      <c r="C32" s="6"/>
      <c r="D32" s="8"/>
      <c r="E32" s="6"/>
    </row>
    <row r="33" spans="1:5" ht="16.5" x14ac:dyDescent="0.3">
      <c r="A33" s="4"/>
      <c r="B33" s="5"/>
      <c r="C33" s="6"/>
      <c r="D33" s="8"/>
      <c r="E33" s="6"/>
    </row>
    <row r="34" spans="1:5" ht="16.5" x14ac:dyDescent="0.3">
      <c r="A34" s="4"/>
      <c r="B34" s="5"/>
      <c r="C34" s="6"/>
      <c r="D34" s="6"/>
      <c r="E34" s="6"/>
    </row>
    <row r="35" spans="1:5" x14ac:dyDescent="0.25">
      <c r="A35" s="2"/>
      <c r="B35" s="6"/>
      <c r="C35" s="6"/>
      <c r="D35" s="6"/>
      <c r="E35" s="6"/>
    </row>
    <row r="36" spans="1:5" x14ac:dyDescent="0.25">
      <c r="A36" s="2" t="s">
        <v>2</v>
      </c>
      <c r="B36" s="5">
        <f>SUM(B31:B35)</f>
        <v>12</v>
      </c>
      <c r="C36" s="6"/>
      <c r="D36" s="14">
        <f>SUM(D31:D35)</f>
        <v>2.5457708299999999</v>
      </c>
      <c r="E36" s="5">
        <f>SUM(E31:E35)</f>
        <v>0</v>
      </c>
    </row>
    <row r="39" spans="1:5" x14ac:dyDescent="0.25">
      <c r="A39" s="11" t="s">
        <v>17</v>
      </c>
      <c r="B39" s="3" t="s">
        <v>3</v>
      </c>
      <c r="C39" s="3" t="s">
        <v>0</v>
      </c>
      <c r="D39" s="3" t="s">
        <v>1</v>
      </c>
      <c r="E39" s="3" t="s">
        <v>25</v>
      </c>
    </row>
    <row r="40" spans="1:5" x14ac:dyDescent="0.25">
      <c r="A40" s="11" t="str">
        <f>A4</f>
        <v>2024.02.22</v>
      </c>
      <c r="B40" s="5">
        <v>11</v>
      </c>
      <c r="C40" s="7">
        <f>B40/D40</f>
        <v>94.3034056046057</v>
      </c>
      <c r="D40" s="14">
        <v>0.11664478</v>
      </c>
      <c r="E40" s="6"/>
    </row>
    <row r="41" spans="1:5" x14ac:dyDescent="0.25">
      <c r="A41" s="11"/>
      <c r="B41" s="5"/>
      <c r="C41" s="7"/>
      <c r="D41" s="8"/>
      <c r="E41" s="6"/>
    </row>
    <row r="42" spans="1:5" ht="16.5" x14ac:dyDescent="0.3">
      <c r="A42" s="4"/>
      <c r="B42" s="5"/>
      <c r="C42" s="6"/>
      <c r="D42" s="8"/>
      <c r="E42" s="6"/>
    </row>
    <row r="43" spans="1:5" ht="16.5" x14ac:dyDescent="0.3">
      <c r="A43" s="4"/>
      <c r="B43" s="5"/>
      <c r="C43" s="6"/>
      <c r="D43" s="6"/>
      <c r="E43" s="6"/>
    </row>
    <row r="44" spans="1:5" x14ac:dyDescent="0.25">
      <c r="A44" s="2"/>
      <c r="B44" s="6"/>
      <c r="C44" s="6"/>
      <c r="D44" s="6"/>
      <c r="E44" s="6"/>
    </row>
    <row r="45" spans="1:5" x14ac:dyDescent="0.25">
      <c r="A45" s="2" t="s">
        <v>2</v>
      </c>
      <c r="B45" s="5">
        <f>SUM(B40:B44)</f>
        <v>11</v>
      </c>
      <c r="C45" s="6"/>
      <c r="D45" s="14">
        <f>SUM(D40:D44)</f>
        <v>0.11664478</v>
      </c>
      <c r="E45" s="5">
        <f>SUM(E40:E44)</f>
        <v>0</v>
      </c>
    </row>
    <row r="48" spans="1:5" x14ac:dyDescent="0.25">
      <c r="A48" s="11" t="s">
        <v>18</v>
      </c>
      <c r="B48" s="3" t="s">
        <v>3</v>
      </c>
      <c r="C48" s="3" t="s">
        <v>0</v>
      </c>
      <c r="D48" s="3" t="s">
        <v>1</v>
      </c>
      <c r="E48" s="3" t="s">
        <v>25</v>
      </c>
    </row>
    <row r="49" spans="1:5" x14ac:dyDescent="0.25">
      <c r="A49" s="11" t="str">
        <f>A4</f>
        <v>2024.02.22</v>
      </c>
      <c r="B49" s="5">
        <v>20</v>
      </c>
      <c r="C49" s="7">
        <f>B49/D49</f>
        <v>58.880000527564803</v>
      </c>
      <c r="D49" s="14">
        <v>0.33967391000000002</v>
      </c>
      <c r="E49" s="6"/>
    </row>
    <row r="50" spans="1:5" x14ac:dyDescent="0.25">
      <c r="A50" s="11"/>
      <c r="B50" s="5"/>
      <c r="C50" s="7"/>
      <c r="D50" s="8"/>
      <c r="E50" s="6"/>
    </row>
    <row r="51" spans="1:5" ht="16.5" x14ac:dyDescent="0.3">
      <c r="A51" s="4"/>
      <c r="B51" s="5"/>
      <c r="C51" s="6"/>
      <c r="D51" s="8"/>
      <c r="E51" s="6"/>
    </row>
    <row r="52" spans="1:5" ht="16.5" x14ac:dyDescent="0.3">
      <c r="A52" s="4"/>
      <c r="B52" s="5"/>
      <c r="C52" s="6"/>
      <c r="D52" s="6"/>
      <c r="E52" s="6"/>
    </row>
    <row r="53" spans="1:5" x14ac:dyDescent="0.25">
      <c r="A53" s="2"/>
      <c r="B53" s="6"/>
      <c r="C53" s="6"/>
      <c r="D53" s="6"/>
      <c r="E53" s="6"/>
    </row>
    <row r="54" spans="1:5" x14ac:dyDescent="0.25">
      <c r="A54" s="2" t="s">
        <v>2</v>
      </c>
      <c r="B54" s="5">
        <f>SUM(B49:B53)</f>
        <v>20</v>
      </c>
      <c r="C54" s="6"/>
      <c r="D54" s="14">
        <f>SUM(D49:D53)</f>
        <v>0.33967391000000002</v>
      </c>
      <c r="E54" s="5">
        <f>SUM(E49:E53)</f>
        <v>0</v>
      </c>
    </row>
    <row r="57" spans="1:5" x14ac:dyDescent="0.25">
      <c r="A57" s="15" t="s">
        <v>19</v>
      </c>
      <c r="B57" s="3" t="s">
        <v>3</v>
      </c>
      <c r="C57" s="3" t="s">
        <v>0</v>
      </c>
      <c r="D57" s="3" t="s">
        <v>1</v>
      </c>
      <c r="E57" s="3" t="s">
        <v>25</v>
      </c>
    </row>
    <row r="58" spans="1:5" x14ac:dyDescent="0.25">
      <c r="A58" s="11" t="str">
        <f>A4</f>
        <v>2024.02.22</v>
      </c>
      <c r="B58" s="5">
        <v>10</v>
      </c>
      <c r="C58" s="7">
        <f>B58/D58</f>
        <v>118.42990838380717</v>
      </c>
      <c r="D58" s="14">
        <v>8.443813E-2</v>
      </c>
      <c r="E58" s="5"/>
    </row>
    <row r="59" spans="1:5" x14ac:dyDescent="0.25">
      <c r="A59" s="11"/>
      <c r="B59" s="5"/>
      <c r="C59" s="6"/>
      <c r="D59" s="8"/>
      <c r="E59" s="6"/>
    </row>
    <row r="60" spans="1:5" ht="16.5" x14ac:dyDescent="0.3">
      <c r="A60" s="4"/>
      <c r="B60" s="5"/>
      <c r="C60" s="6"/>
      <c r="D60" s="8"/>
      <c r="E60" s="6"/>
    </row>
    <row r="61" spans="1:5" ht="16.5" x14ac:dyDescent="0.3">
      <c r="A61" s="4"/>
      <c r="B61" s="5"/>
      <c r="C61" s="6"/>
      <c r="D61" s="6"/>
      <c r="E61" s="6"/>
    </row>
    <row r="62" spans="1:5" x14ac:dyDescent="0.25">
      <c r="A62" s="2"/>
      <c r="B62" s="6"/>
      <c r="C62" s="6"/>
      <c r="D62" s="6"/>
      <c r="E62" s="6"/>
    </row>
    <row r="63" spans="1:5" x14ac:dyDescent="0.25">
      <c r="A63" s="2" t="s">
        <v>2</v>
      </c>
      <c r="B63" s="5">
        <f>SUM(B58:B62)</f>
        <v>10</v>
      </c>
      <c r="C63" s="6"/>
      <c r="D63" s="14">
        <f>SUM(D58:D62)</f>
        <v>8.443813E-2</v>
      </c>
      <c r="E63" s="5">
        <f>SUM(E58:E62)</f>
        <v>0</v>
      </c>
    </row>
    <row r="66" spans="1:5" x14ac:dyDescent="0.25">
      <c r="A66" s="15" t="s">
        <v>20</v>
      </c>
      <c r="B66" s="3" t="s">
        <v>3</v>
      </c>
      <c r="C66" s="3" t="s">
        <v>0</v>
      </c>
      <c r="D66" s="3" t="s">
        <v>1</v>
      </c>
      <c r="E66" s="3" t="s">
        <v>25</v>
      </c>
    </row>
    <row r="67" spans="1:5" x14ac:dyDescent="0.25">
      <c r="A67" s="11" t="str">
        <f>A13</f>
        <v>2024.02.22</v>
      </c>
      <c r="B67" s="5">
        <v>15</v>
      </c>
      <c r="C67" s="7">
        <f>B67/D67</f>
        <v>73.950002403375066</v>
      </c>
      <c r="D67" s="14">
        <v>0.20283975000000001</v>
      </c>
      <c r="E67" s="6"/>
    </row>
    <row r="68" spans="1:5" x14ac:dyDescent="0.25">
      <c r="A68" s="11"/>
      <c r="B68" s="5"/>
      <c r="C68" s="6"/>
      <c r="D68" s="8"/>
      <c r="E68" s="6"/>
    </row>
    <row r="69" spans="1:5" ht="16.5" x14ac:dyDescent="0.3">
      <c r="A69" s="4"/>
      <c r="B69" s="5"/>
      <c r="C69" s="6"/>
      <c r="D69" s="8"/>
      <c r="E69" s="6"/>
    </row>
    <row r="70" spans="1:5" ht="16.5" x14ac:dyDescent="0.3">
      <c r="A70" s="4"/>
      <c r="B70" s="5"/>
      <c r="C70" s="6"/>
      <c r="D70" s="6"/>
      <c r="E70" s="6"/>
    </row>
    <row r="71" spans="1:5" x14ac:dyDescent="0.25">
      <c r="A71" s="2"/>
      <c r="B71" s="6"/>
      <c r="C71" s="6"/>
      <c r="D71" s="6"/>
      <c r="E71" s="6"/>
    </row>
    <row r="72" spans="1:5" x14ac:dyDescent="0.25">
      <c r="A72" s="2" t="s">
        <v>2</v>
      </c>
      <c r="B72" s="5">
        <f>SUM(B67:B71)</f>
        <v>15</v>
      </c>
      <c r="C72" s="6"/>
      <c r="D72" s="14">
        <f>SUM(D67:D71)</f>
        <v>0.20283975000000001</v>
      </c>
      <c r="E72" s="5">
        <f>SUM(E67:E71)</f>
        <v>0</v>
      </c>
    </row>
    <row r="75" spans="1:5" x14ac:dyDescent="0.25">
      <c r="A75" s="15" t="s">
        <v>21</v>
      </c>
      <c r="B75" s="3" t="s">
        <v>3</v>
      </c>
      <c r="C75" s="3" t="s">
        <v>0</v>
      </c>
      <c r="D75" s="3" t="s">
        <v>1</v>
      </c>
      <c r="E75" s="3" t="s">
        <v>25</v>
      </c>
    </row>
    <row r="76" spans="1:5" x14ac:dyDescent="0.25">
      <c r="A76" s="11" t="str">
        <f>A22</f>
        <v>2024.02.22</v>
      </c>
      <c r="B76" s="5">
        <v>5</v>
      </c>
      <c r="C76" s="7">
        <f>B76/D76</f>
        <v>73.693900886419712</v>
      </c>
      <c r="D76" s="14">
        <v>6.7848220000000001E-2</v>
      </c>
      <c r="E76" s="6"/>
    </row>
    <row r="77" spans="1:5" x14ac:dyDescent="0.25">
      <c r="A77" s="11"/>
      <c r="B77" s="5"/>
      <c r="C77" s="6"/>
      <c r="D77" s="8"/>
      <c r="E77" s="6"/>
    </row>
    <row r="78" spans="1:5" ht="16.5" x14ac:dyDescent="0.3">
      <c r="A78" s="4"/>
      <c r="B78" s="5"/>
      <c r="C78" s="6"/>
      <c r="D78" s="8"/>
      <c r="E78" s="6"/>
    </row>
    <row r="79" spans="1:5" ht="16.5" x14ac:dyDescent="0.3">
      <c r="A79" s="4"/>
      <c r="B79" s="5"/>
      <c r="C79" s="6"/>
      <c r="D79" s="6"/>
      <c r="E79" s="6"/>
    </row>
    <row r="80" spans="1:5" x14ac:dyDescent="0.25">
      <c r="A80" s="2"/>
      <c r="B80" s="6"/>
      <c r="C80" s="6"/>
      <c r="D80" s="6"/>
      <c r="E80" s="6"/>
    </row>
    <row r="81" spans="1:5" x14ac:dyDescent="0.25">
      <c r="A81" s="2" t="s">
        <v>2</v>
      </c>
      <c r="B81" s="5">
        <f>SUM(B76:B80)</f>
        <v>5</v>
      </c>
      <c r="C81" s="6"/>
      <c r="D81" s="14">
        <f>SUM(D76:D80)</f>
        <v>6.7848220000000001E-2</v>
      </c>
      <c r="E81" s="5">
        <f>SUM(E76:E80)</f>
        <v>0</v>
      </c>
    </row>
  </sheetData>
  <pageMargins left="0.7" right="0.7" top="0.75" bottom="0.75" header="0.3" footer="0.3"/>
  <pageSetup orientation="portrait" r:id="rId1"/>
  <ignoredErrors>
    <ignoredError sqref="E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Apžvalga</vt:lpstr>
      <vt:lpstr>Cash</vt:lpstr>
      <vt:lpstr>XDWI</vt:lpstr>
      <vt:lpstr>WELK</vt:lpstr>
      <vt:lpstr>PRAR</vt:lpstr>
      <vt:lpstr>LKOR</vt:lpstr>
      <vt:lpstr>QDV7</vt:lpstr>
      <vt:lpstr>AMEL</vt:lpstr>
      <vt:lpstr>79U0</vt:lpstr>
      <vt:lpstr>LYTR</vt:lpstr>
      <vt:lpstr>PRAJ</vt:lpstr>
      <vt:lpstr>LEMA</vt:lpstr>
      <vt:lpstr>AEYH</vt:lpstr>
      <vt:lpstr>EMBH</vt:lpstr>
      <vt:lpstr>LYMS</vt:lpstr>
      <vt:lpstr>EBUY</vt:lpstr>
      <vt:lpstr>TRDE</vt:lpstr>
      <vt:lpstr>PRAC</vt:lpstr>
      <vt:lpstr>LYP6</vt:lpstr>
      <vt:lpstr>UBUD</vt:lpstr>
      <vt:lpstr>2B72</vt:lpstr>
      <vt:lpstr>LYP5</vt:lpstr>
      <vt:lpstr>LGQK</vt:lpstr>
      <vt:lpstr>XDWT</vt:lpstr>
      <vt:lpstr>IS3K</vt:lpstr>
      <vt:lpstr>QDVY</vt:lpstr>
      <vt:lpstr>IBCD</vt:lpstr>
      <vt:lpstr>IS3Q</vt:lpstr>
      <vt:lpstr>IUSU</vt:lpstr>
      <vt:lpstr>EXI2</vt:lpstr>
      <vt:lpstr>DBXJ</vt:lpstr>
      <vt:lpstr>2026.06</vt:lpstr>
      <vt:lpstr>2026.05</vt:lpstr>
      <vt:lpstr>2026.04</vt:lpstr>
      <vt:lpstr>2026.03</vt:lpstr>
      <vt:lpstr>2026.02</vt:lpstr>
      <vt:lpstr>2026.01</vt:lpstr>
      <vt:lpstr>2025.12</vt:lpstr>
      <vt:lpstr>2025.11</vt:lpstr>
      <vt:lpstr>2025.10</vt:lpstr>
      <vt:lpstr>2025.09</vt:lpstr>
      <vt:lpstr>2025.08</vt:lpstr>
      <vt:lpstr>2025.07</vt:lpstr>
      <vt:lpstr>2025.06</vt:lpstr>
      <vt:lpstr>2025.05</vt:lpstr>
      <vt:lpstr>2025.04</vt:lpstr>
      <vt:lpstr>2025.03</vt:lpstr>
      <vt:lpstr>2025.02</vt:lpstr>
      <vt:lpstr>2025.01</vt:lpstr>
      <vt:lpstr>2024.12</vt:lpstr>
      <vt:lpstr>2024.11</vt:lpstr>
      <vt:lpstr>2024.10</vt:lpstr>
      <vt:lpstr>2024.09</vt:lpstr>
      <vt:lpstr>2024.08</vt:lpstr>
      <vt:lpstr>2024.07</vt:lpstr>
      <vt:lpstr>2024.06</vt:lpstr>
      <vt:lpstr>2024.05</vt:lpstr>
      <vt:lpstr>2024.04</vt:lpstr>
      <vt:lpstr>2024.03</vt:lpstr>
      <vt:lpstr>2024.02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2025-05-27T05:42:47Z</dcterms:created>
  <dcterms:modified xsi:type="dcterms:W3CDTF">2026-06-17T05:40:33Z</dcterms:modified>
</cp:coreProperties>
</file>