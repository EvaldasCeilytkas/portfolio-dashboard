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Investavimas 2026.08.08\Crowdpear\"/>
    </mc:Choice>
  </mc:AlternateContent>
  <xr:revisionPtr revIDLastSave="0" documentId="13_ncr:1_{64F826D2-793E-4E81-9612-5D8917E7E5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Pinigai" sheetId="12" r:id="rId2"/>
    <sheet name="Vienbutis Gilužiuose III" sheetId="29" r:id="rId3"/>
    <sheet name="Užnerio butai XV" sheetId="28" r:id="rId4"/>
    <sheet name="Vakaro 3A K1 III" sheetId="27" r:id="rId5"/>
    <sheet name="Kauno 36-118 II" sheetId="26" r:id="rId6"/>
    <sheet name="Tautvilo kotedžai XIV" sheetId="24" r:id="rId7"/>
    <sheet name="Horizonto 2A XII" sheetId="25" r:id="rId8"/>
    <sheet name="Žemoji 52 XXIX“" sheetId="23" r:id="rId9"/>
    <sheet name="Namas Panevėžyje" sheetId="22" r:id="rId10"/>
    <sheet name="Vanagupės 36A-204 II" sheetId="21" r:id="rId11"/>
    <sheet name="Vingio namai XIV" sheetId="20" r:id="rId12"/>
    <sheet name="Druskonio perlai VII" sheetId="19" r:id="rId13"/>
    <sheet name="Birelių namas II" sheetId="18" r:id="rId14"/>
    <sheet name="Sūduvos 8-2" sheetId="17" r:id="rId15"/>
    <sheet name="Miškininkų 30 II" sheetId="16" r:id="rId16"/>
    <sheet name="Pagojo 1 II" sheetId="15" r:id="rId17"/>
    <sheet name="Vienbutis Minsko 5A" sheetId="14" r:id="rId18"/>
    <sheet name="Dvibutis Sodybų 12" sheetId="13" r:id="rId19"/>
    <sheet name="Sfintii Arhangheli 21" sheetId="11" r:id="rId20"/>
    <sheet name="Girinaičių 7 II" sheetId="10" r:id="rId21"/>
    <sheet name="Girios 112 II" sheetId="9" r:id="rId22"/>
    <sheet name="Piliarožių 10 VI" sheetId="8" r:id="rId23"/>
    <sheet name="Girinaičių 7" sheetId="7" r:id="rId24"/>
    <sheet name="Kauno 36-232" sheetId="6" r:id="rId25"/>
    <sheet name="Sodziaus 7A (1)" sheetId="5" r:id="rId26"/>
    <sheet name="Sodziaus 7A" sheetId="4" r:id="rId27"/>
    <sheet name="Pušynas VII" sheetId="3" r:id="rId28"/>
    <sheet name="Užnerio butai III" sheetId="2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M29" i="1"/>
  <c r="H29" i="1"/>
  <c r="G29" i="1"/>
  <c r="F29" i="1"/>
  <c r="E29" i="1"/>
  <c r="D29" i="1"/>
  <c r="C29" i="1"/>
  <c r="B29" i="1"/>
  <c r="I42" i="29"/>
  <c r="H42" i="29"/>
  <c r="G42" i="29"/>
  <c r="N3" i="29" s="1"/>
  <c r="B13" i="29" s="1"/>
  <c r="J29" i="1" s="1"/>
  <c r="F42" i="29"/>
  <c r="O3" i="29" s="1"/>
  <c r="E42" i="29"/>
  <c r="K41" i="29"/>
  <c r="K40" i="29"/>
  <c r="K39" i="29"/>
  <c r="K38" i="29"/>
  <c r="K37" i="29"/>
  <c r="K36" i="29"/>
  <c r="K35" i="29"/>
  <c r="K34" i="29"/>
  <c r="K33" i="29"/>
  <c r="K32" i="29"/>
  <c r="K31" i="29"/>
  <c r="K30" i="29"/>
  <c r="K29" i="29"/>
  <c r="K28" i="29"/>
  <c r="K27" i="29"/>
  <c r="K26" i="29"/>
  <c r="K25" i="29"/>
  <c r="K24" i="29"/>
  <c r="K23" i="29"/>
  <c r="K22" i="29"/>
  <c r="K21" i="29"/>
  <c r="K20" i="29"/>
  <c r="K19" i="29"/>
  <c r="K18" i="29"/>
  <c r="K17" i="29"/>
  <c r="K16" i="29"/>
  <c r="K15" i="29"/>
  <c r="Z14" i="29"/>
  <c r="Y14" i="29"/>
  <c r="K14" i="29"/>
  <c r="Z13" i="29"/>
  <c r="Y13" i="29"/>
  <c r="K13" i="29"/>
  <c r="Z12" i="29"/>
  <c r="Y12" i="29"/>
  <c r="K12" i="29"/>
  <c r="Z11" i="29"/>
  <c r="Y11" i="29"/>
  <c r="K11" i="29"/>
  <c r="Z10" i="29"/>
  <c r="Y10" i="29"/>
  <c r="K10" i="29"/>
  <c r="Z9" i="29"/>
  <c r="Y9" i="29"/>
  <c r="K9" i="29"/>
  <c r="Z8" i="29"/>
  <c r="Y8" i="29"/>
  <c r="K8" i="29"/>
  <c r="Z7" i="29"/>
  <c r="Y7" i="29"/>
  <c r="K7" i="29"/>
  <c r="Z6" i="29"/>
  <c r="Y6" i="29"/>
  <c r="K6" i="29"/>
  <c r="Z5" i="29"/>
  <c r="Y5" i="29"/>
  <c r="K5" i="29"/>
  <c r="Z4" i="29"/>
  <c r="Y4" i="29"/>
  <c r="K4" i="29"/>
  <c r="Z3" i="29"/>
  <c r="Y3" i="29"/>
  <c r="S3" i="29"/>
  <c r="K29" i="1" s="1"/>
  <c r="P3" i="29"/>
  <c r="M3" i="29"/>
  <c r="K3" i="29"/>
  <c r="AA2" i="29"/>
  <c r="AC29" i="1" s="1"/>
  <c r="Z2" i="29"/>
  <c r="Y2" i="29"/>
  <c r="K2" i="29"/>
  <c r="M28" i="1"/>
  <c r="L28" i="1"/>
  <c r="I28" i="1"/>
  <c r="H28" i="1"/>
  <c r="G28" i="1"/>
  <c r="F28" i="1"/>
  <c r="E28" i="1"/>
  <c r="D28" i="1"/>
  <c r="C28" i="1"/>
  <c r="B28" i="1"/>
  <c r="I42" i="28"/>
  <c r="H42" i="28"/>
  <c r="G42" i="28"/>
  <c r="F42" i="28"/>
  <c r="O3" i="28" s="1"/>
  <c r="E42" i="28"/>
  <c r="K41" i="28"/>
  <c r="K40" i="28"/>
  <c r="K39" i="28"/>
  <c r="K38" i="28"/>
  <c r="K37" i="28"/>
  <c r="K36" i="28"/>
  <c r="K35" i="28"/>
  <c r="K34" i="28"/>
  <c r="K33" i="28"/>
  <c r="K32" i="28"/>
  <c r="K31" i="28"/>
  <c r="K30" i="28"/>
  <c r="K29" i="28"/>
  <c r="K28" i="28"/>
  <c r="K27" i="28"/>
  <c r="K26" i="28"/>
  <c r="K25" i="28"/>
  <c r="K24" i="28"/>
  <c r="K23" i="28"/>
  <c r="K22" i="28"/>
  <c r="K21" i="28"/>
  <c r="K20" i="28"/>
  <c r="K19" i="28"/>
  <c r="K18" i="28"/>
  <c r="K17" i="28"/>
  <c r="K16" i="28"/>
  <c r="K15" i="28"/>
  <c r="Z14" i="28"/>
  <c r="Y14" i="28"/>
  <c r="K14" i="28"/>
  <c r="Z13" i="28"/>
  <c r="Y13" i="28"/>
  <c r="K13" i="28"/>
  <c r="Z12" i="28"/>
  <c r="Y12" i="28"/>
  <c r="K12" i="28"/>
  <c r="Z11" i="28"/>
  <c r="Y11" i="28"/>
  <c r="K11" i="28"/>
  <c r="Z10" i="28"/>
  <c r="Y10" i="28"/>
  <c r="K10" i="28"/>
  <c r="Z9" i="28"/>
  <c r="Y9" i="28"/>
  <c r="K9" i="28"/>
  <c r="Z8" i="28"/>
  <c r="Y8" i="28"/>
  <c r="K8" i="28"/>
  <c r="Z7" i="28"/>
  <c r="Y7" i="28"/>
  <c r="K7" i="28"/>
  <c r="Z6" i="28"/>
  <c r="Y6" i="28"/>
  <c r="K6" i="28"/>
  <c r="Z5" i="28"/>
  <c r="Y5" i="28"/>
  <c r="K5" i="28"/>
  <c r="Z4" i="28"/>
  <c r="Y4" i="28"/>
  <c r="K4" i="28"/>
  <c r="Z3" i="28"/>
  <c r="Y3" i="28"/>
  <c r="S3" i="28"/>
  <c r="K28" i="1" s="1"/>
  <c r="P3" i="28"/>
  <c r="N3" i="28"/>
  <c r="B13" i="28" s="1"/>
  <c r="J28" i="1" s="1"/>
  <c r="M3" i="28"/>
  <c r="B15" i="28" s="1"/>
  <c r="K3" i="28"/>
  <c r="AA2" i="28"/>
  <c r="AC28" i="1" s="1"/>
  <c r="Z2" i="28"/>
  <c r="Y2" i="28"/>
  <c r="K2" i="28"/>
  <c r="B15" i="29" l="1"/>
  <c r="L29" i="1"/>
  <c r="Q3" i="29"/>
  <c r="R3" i="29"/>
  <c r="Q3" i="28"/>
  <c r="R3" i="28"/>
  <c r="Y15" i="5"/>
  <c r="Z15" i="5"/>
  <c r="Y16" i="5"/>
  <c r="Z16" i="5"/>
  <c r="Y17" i="5"/>
  <c r="Z17" i="5"/>
  <c r="Y18" i="5"/>
  <c r="Z18" i="5"/>
  <c r="Y19" i="5"/>
  <c r="Z19" i="5"/>
  <c r="Y20" i="5"/>
  <c r="Z20" i="5"/>
  <c r="Y21" i="5"/>
  <c r="Z21" i="5"/>
  <c r="Y22" i="5"/>
  <c r="Z22" i="5"/>
  <c r="Y23" i="5"/>
  <c r="Z23" i="5"/>
  <c r="Y24" i="5"/>
  <c r="Z24" i="5"/>
  <c r="Y25" i="5"/>
  <c r="Z25" i="5"/>
  <c r="Y26" i="5"/>
  <c r="Z26" i="5"/>
  <c r="Y27" i="5"/>
  <c r="Z27" i="5"/>
  <c r="Y28" i="5"/>
  <c r="Z28" i="5"/>
  <c r="Y29" i="5"/>
  <c r="Z29" i="5"/>
  <c r="Y30" i="5"/>
  <c r="Z30" i="5"/>
  <c r="Y31" i="5"/>
  <c r="Z31" i="5"/>
  <c r="Y32" i="5"/>
  <c r="Z32" i="5"/>
  <c r="Y33" i="5"/>
  <c r="Z33" i="5"/>
  <c r="Y34" i="5"/>
  <c r="Z34" i="5"/>
  <c r="Y35" i="5"/>
  <c r="Z35" i="5"/>
  <c r="Y36" i="5"/>
  <c r="Z36" i="5"/>
  <c r="Y37" i="5"/>
  <c r="Z37" i="5"/>
  <c r="Y38" i="5"/>
  <c r="Z38" i="5"/>
  <c r="Y39" i="5"/>
  <c r="Z39" i="5"/>
  <c r="Y40" i="5"/>
  <c r="Z40" i="5"/>
  <c r="Y41" i="5"/>
  <c r="Z41" i="5"/>
  <c r="Y15" i="4"/>
  <c r="Z15" i="4"/>
  <c r="Y16" i="4"/>
  <c r="Z16" i="4"/>
  <c r="Y17" i="4"/>
  <c r="Z17" i="4"/>
  <c r="Y18" i="4"/>
  <c r="Z18" i="4"/>
  <c r="Y19" i="4"/>
  <c r="Z19" i="4"/>
  <c r="Y20" i="4"/>
  <c r="Z20" i="4"/>
  <c r="Y21" i="4"/>
  <c r="Z21" i="4"/>
  <c r="Y22" i="4"/>
  <c r="Z22" i="4"/>
  <c r="Y23" i="4"/>
  <c r="Z23" i="4"/>
  <c r="Y24" i="4"/>
  <c r="Z24" i="4"/>
  <c r="Y25" i="4"/>
  <c r="Z25" i="4"/>
  <c r="Y26" i="4"/>
  <c r="Z26" i="4"/>
  <c r="Y27" i="4"/>
  <c r="Z27" i="4"/>
  <c r="Y28" i="4"/>
  <c r="Z28" i="4"/>
  <c r="Y29" i="4"/>
  <c r="Z29" i="4"/>
  <c r="Y30" i="4"/>
  <c r="Z30" i="4"/>
  <c r="Y31" i="4"/>
  <c r="Z31" i="4"/>
  <c r="Y32" i="4"/>
  <c r="Z32" i="4"/>
  <c r="Y33" i="4"/>
  <c r="Z33" i="4"/>
  <c r="Y34" i="4"/>
  <c r="Z34" i="4"/>
  <c r="Y35" i="4"/>
  <c r="Z35" i="4"/>
  <c r="Y36" i="4"/>
  <c r="Z36" i="4"/>
  <c r="Y37" i="4"/>
  <c r="Z37" i="4"/>
  <c r="Y38" i="4"/>
  <c r="Z38" i="4"/>
  <c r="Y39" i="4"/>
  <c r="Z39" i="4"/>
  <c r="Y40" i="4"/>
  <c r="Z40" i="4"/>
  <c r="Y41" i="4"/>
  <c r="Z41" i="4"/>
  <c r="Y15" i="3"/>
  <c r="Z15" i="3"/>
  <c r="Y16" i="3"/>
  <c r="Z16" i="3"/>
  <c r="Y17" i="3"/>
  <c r="Z17" i="3"/>
  <c r="Y18" i="3"/>
  <c r="Z18" i="3"/>
  <c r="Y19" i="3"/>
  <c r="Z19" i="3"/>
  <c r="Y20" i="3"/>
  <c r="Z20" i="3"/>
  <c r="Y21" i="3"/>
  <c r="Z21" i="3"/>
  <c r="Y22" i="3"/>
  <c r="Z22" i="3"/>
  <c r="Y23" i="3"/>
  <c r="Z23" i="3"/>
  <c r="Y24" i="3"/>
  <c r="Z24" i="3"/>
  <c r="Y25" i="3"/>
  <c r="Z25" i="3"/>
  <c r="Y26" i="3"/>
  <c r="Z26" i="3"/>
  <c r="Y27" i="3"/>
  <c r="Z27" i="3"/>
  <c r="Y28" i="3"/>
  <c r="Z28" i="3"/>
  <c r="Y29" i="3"/>
  <c r="Z29" i="3"/>
  <c r="Y30" i="3"/>
  <c r="Z30" i="3"/>
  <c r="Y31" i="3"/>
  <c r="Z31" i="3"/>
  <c r="Y32" i="3"/>
  <c r="Z32" i="3"/>
  <c r="Y33" i="3"/>
  <c r="Z33" i="3"/>
  <c r="Y34" i="3"/>
  <c r="Z34" i="3"/>
  <c r="Y35" i="3"/>
  <c r="Z35" i="3"/>
  <c r="Y36" i="3"/>
  <c r="Z36" i="3"/>
  <c r="Y37" i="3"/>
  <c r="Z37" i="3"/>
  <c r="Y38" i="3"/>
  <c r="Z38" i="3"/>
  <c r="Y39" i="3"/>
  <c r="Z39" i="3"/>
  <c r="Y40" i="3"/>
  <c r="Z40" i="3"/>
  <c r="Y41" i="3"/>
  <c r="Z41" i="3"/>
  <c r="Y2" i="2"/>
  <c r="Z2" i="2"/>
  <c r="AA2" i="2"/>
  <c r="M3" i="2"/>
  <c r="N3" i="2"/>
  <c r="O3" i="2"/>
  <c r="P3" i="2"/>
  <c r="R3" i="2"/>
  <c r="S3" i="2"/>
  <c r="Y3" i="2"/>
  <c r="Q3" i="2" s="1"/>
  <c r="Z3" i="2"/>
  <c r="Y4" i="2"/>
  <c r="Z4" i="2"/>
  <c r="Y5" i="2"/>
  <c r="Z5" i="2"/>
  <c r="Y6" i="2"/>
  <c r="Z6" i="2"/>
  <c r="Y7" i="2"/>
  <c r="Z7" i="2"/>
  <c r="Y8" i="2"/>
  <c r="Z8" i="2"/>
  <c r="Y9" i="2"/>
  <c r="Z9" i="2"/>
  <c r="Y10" i="2"/>
  <c r="Z10" i="2"/>
  <c r="Y11" i="2"/>
  <c r="Z11" i="2"/>
  <c r="Y12" i="2"/>
  <c r="Z12" i="2"/>
  <c r="Y13" i="2"/>
  <c r="Z13" i="2"/>
  <c r="Y14" i="2"/>
  <c r="Z14" i="2"/>
  <c r="Y15" i="2"/>
  <c r="Z15" i="2"/>
  <c r="Y16" i="2"/>
  <c r="Z16" i="2"/>
  <c r="Y17" i="2"/>
  <c r="Z17" i="2"/>
  <c r="Y18" i="2"/>
  <c r="Z18" i="2"/>
  <c r="Y19" i="2"/>
  <c r="Z19" i="2"/>
  <c r="Y20" i="2"/>
  <c r="Z20" i="2"/>
  <c r="Y21" i="2"/>
  <c r="Z21" i="2"/>
  <c r="Y22" i="2"/>
  <c r="Z22" i="2"/>
  <c r="Y23" i="2"/>
  <c r="Z23" i="2"/>
  <c r="Y24" i="2"/>
  <c r="Z24" i="2"/>
  <c r="Y25" i="2"/>
  <c r="Z25" i="2"/>
  <c r="Y26" i="2"/>
  <c r="Z26" i="2"/>
  <c r="Y27" i="2"/>
  <c r="Z27" i="2"/>
  <c r="Y28" i="2"/>
  <c r="Z28" i="2"/>
  <c r="Y29" i="2"/>
  <c r="Z29" i="2"/>
  <c r="Y30" i="2"/>
  <c r="Z30" i="2"/>
  <c r="Y31" i="2"/>
  <c r="Z31" i="2"/>
  <c r="Y32" i="2"/>
  <c r="Z32" i="2"/>
  <c r="Y33" i="2"/>
  <c r="Z33" i="2"/>
  <c r="Y34" i="2"/>
  <c r="Z34" i="2"/>
  <c r="Y35" i="2"/>
  <c r="Z35" i="2"/>
  <c r="Y36" i="2"/>
  <c r="Z36" i="2"/>
  <c r="Y37" i="2"/>
  <c r="Z37" i="2"/>
  <c r="Y38" i="2"/>
  <c r="Z38" i="2"/>
  <c r="Y39" i="2"/>
  <c r="Z39" i="2"/>
  <c r="Y40" i="2"/>
  <c r="Z40" i="2"/>
  <c r="Y41" i="2"/>
  <c r="Z41" i="2"/>
  <c r="H27" i="1" l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 l="1"/>
  <c r="C6" i="1"/>
  <c r="C5" i="1"/>
  <c r="C4" i="1"/>
  <c r="C3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Z14" i="27"/>
  <c r="Y14" i="27"/>
  <c r="Z13" i="27"/>
  <c r="Y13" i="27"/>
  <c r="Z12" i="27"/>
  <c r="Y12" i="27"/>
  <c r="Z11" i="27"/>
  <c r="Y11" i="27"/>
  <c r="Z10" i="27"/>
  <c r="Y10" i="27"/>
  <c r="Z9" i="27"/>
  <c r="Y9" i="27"/>
  <c r="Z8" i="27"/>
  <c r="Y8" i="27"/>
  <c r="Z7" i="27"/>
  <c r="Y7" i="27"/>
  <c r="Z6" i="27"/>
  <c r="Y6" i="27"/>
  <c r="Z5" i="27"/>
  <c r="Y5" i="27"/>
  <c r="Z4" i="27"/>
  <c r="Y4" i="27"/>
  <c r="Z3" i="27"/>
  <c r="Y3" i="27"/>
  <c r="S3" i="27"/>
  <c r="P3" i="27"/>
  <c r="O3" i="27"/>
  <c r="N3" i="27"/>
  <c r="M3" i="27"/>
  <c r="R3" i="27" s="1"/>
  <c r="AA2" i="27"/>
  <c r="Z2" i="27"/>
  <c r="Y2" i="27"/>
  <c r="B13" i="27"/>
  <c r="Z14" i="26"/>
  <c r="Y14" i="26"/>
  <c r="Z13" i="26"/>
  <c r="Y13" i="26"/>
  <c r="Z12" i="26"/>
  <c r="Y12" i="26"/>
  <c r="Z11" i="26"/>
  <c r="Y11" i="26"/>
  <c r="Z10" i="26"/>
  <c r="Y10" i="26"/>
  <c r="Z9" i="26"/>
  <c r="Y9" i="26"/>
  <c r="Z8" i="26"/>
  <c r="Y8" i="26"/>
  <c r="Z7" i="26"/>
  <c r="Y7" i="26"/>
  <c r="Z6" i="26"/>
  <c r="Y6" i="26"/>
  <c r="Z5" i="26"/>
  <c r="Y5" i="26"/>
  <c r="Z4" i="26"/>
  <c r="Y4" i="26"/>
  <c r="Z3" i="26"/>
  <c r="Y3" i="26"/>
  <c r="S3" i="26"/>
  <c r="P3" i="26"/>
  <c r="O3" i="26"/>
  <c r="N3" i="26"/>
  <c r="B15" i="26" s="1"/>
  <c r="M3" i="26"/>
  <c r="R3" i="26" s="1"/>
  <c r="AA2" i="26"/>
  <c r="Z2" i="26"/>
  <c r="Y2" i="26"/>
  <c r="B13" i="26"/>
  <c r="J26" i="1" s="1"/>
  <c r="Z14" i="24"/>
  <c r="Y14" i="24"/>
  <c r="Z13" i="24"/>
  <c r="Y13" i="24"/>
  <c r="Z12" i="24"/>
  <c r="Y12" i="24"/>
  <c r="Z11" i="24"/>
  <c r="Y11" i="24"/>
  <c r="Z10" i="24"/>
  <c r="Y10" i="24"/>
  <c r="Z9" i="24"/>
  <c r="Y9" i="24"/>
  <c r="Z8" i="24"/>
  <c r="Y8" i="24"/>
  <c r="Z7" i="24"/>
  <c r="Y7" i="24"/>
  <c r="Z6" i="24"/>
  <c r="Y6" i="24"/>
  <c r="Z5" i="24"/>
  <c r="Y5" i="24"/>
  <c r="Z4" i="24"/>
  <c r="Y4" i="24"/>
  <c r="Z3" i="24"/>
  <c r="Y3" i="24"/>
  <c r="S3" i="24"/>
  <c r="O3" i="24"/>
  <c r="M3" i="24"/>
  <c r="AA2" i="24"/>
  <c r="Z2" i="24"/>
  <c r="Y2" i="24"/>
  <c r="Z14" i="25"/>
  <c r="Y14" i="25"/>
  <c r="Z13" i="25"/>
  <c r="Y13" i="25"/>
  <c r="Z12" i="25"/>
  <c r="Y12" i="25"/>
  <c r="Z11" i="25"/>
  <c r="Y11" i="25"/>
  <c r="Z10" i="25"/>
  <c r="Y10" i="25"/>
  <c r="Z9" i="25"/>
  <c r="Y9" i="25"/>
  <c r="Z8" i="25"/>
  <c r="Y8" i="25"/>
  <c r="Z7" i="25"/>
  <c r="Y7" i="25"/>
  <c r="Z6" i="25"/>
  <c r="Y6" i="25"/>
  <c r="Z5" i="25"/>
  <c r="Y5" i="25"/>
  <c r="Z4" i="25"/>
  <c r="Y4" i="25"/>
  <c r="Z3" i="25"/>
  <c r="Y3" i="25"/>
  <c r="S3" i="25"/>
  <c r="P3" i="25"/>
  <c r="O3" i="25"/>
  <c r="N3" i="25"/>
  <c r="M3" i="25"/>
  <c r="R3" i="25" s="1"/>
  <c r="AA2" i="25"/>
  <c r="Z2" i="25"/>
  <c r="Y2" i="25"/>
  <c r="B15" i="25"/>
  <c r="B13" i="25"/>
  <c r="J24" i="1" s="1"/>
  <c r="Z14" i="23"/>
  <c r="Y14" i="23"/>
  <c r="Z13" i="23"/>
  <c r="Y13" i="23"/>
  <c r="Z12" i="23"/>
  <c r="Y12" i="23"/>
  <c r="Z11" i="23"/>
  <c r="Y11" i="23"/>
  <c r="Z10" i="23"/>
  <c r="Y10" i="23"/>
  <c r="Z9" i="23"/>
  <c r="Y9" i="23"/>
  <c r="Z8" i="23"/>
  <c r="Y8" i="23"/>
  <c r="Z7" i="23"/>
  <c r="Y7" i="23"/>
  <c r="Z6" i="23"/>
  <c r="Y6" i="23"/>
  <c r="Z5" i="23"/>
  <c r="Y5" i="23"/>
  <c r="Z4" i="23"/>
  <c r="Y4" i="23"/>
  <c r="Z3" i="23"/>
  <c r="Y3" i="23"/>
  <c r="S3" i="23"/>
  <c r="O3" i="23"/>
  <c r="M3" i="23"/>
  <c r="AA2" i="23"/>
  <c r="Z2" i="23"/>
  <c r="Y2" i="23"/>
  <c r="Z14" i="22"/>
  <c r="Y14" i="22"/>
  <c r="Z13" i="22"/>
  <c r="Y13" i="22"/>
  <c r="Z12" i="22"/>
  <c r="Y12" i="22"/>
  <c r="Z11" i="22"/>
  <c r="Y11" i="22"/>
  <c r="Z10" i="22"/>
  <c r="Y10" i="22"/>
  <c r="Z9" i="22"/>
  <c r="Y9" i="22"/>
  <c r="Z8" i="22"/>
  <c r="Y8" i="22"/>
  <c r="Z7" i="22"/>
  <c r="Y7" i="22"/>
  <c r="Z6" i="22"/>
  <c r="Y6" i="22"/>
  <c r="Z5" i="22"/>
  <c r="Y5" i="22"/>
  <c r="Z4" i="22"/>
  <c r="Y4" i="22"/>
  <c r="Z3" i="22"/>
  <c r="Y3" i="22"/>
  <c r="S3" i="22"/>
  <c r="O3" i="22"/>
  <c r="M3" i="22"/>
  <c r="AA2" i="22"/>
  <c r="Z2" i="22"/>
  <c r="Y2" i="22"/>
  <c r="Z14" i="21"/>
  <c r="Y14" i="21"/>
  <c r="Z13" i="21"/>
  <c r="Y13" i="21"/>
  <c r="Z12" i="21"/>
  <c r="Y12" i="21"/>
  <c r="Z11" i="21"/>
  <c r="Y11" i="21"/>
  <c r="Z10" i="21"/>
  <c r="Y10" i="21"/>
  <c r="Z9" i="21"/>
  <c r="Y9" i="21"/>
  <c r="Z8" i="21"/>
  <c r="Y8" i="21"/>
  <c r="Z7" i="21"/>
  <c r="Y7" i="21"/>
  <c r="Z6" i="21"/>
  <c r="Y6" i="21"/>
  <c r="Z5" i="21"/>
  <c r="Y5" i="21"/>
  <c r="Z4" i="21"/>
  <c r="Y4" i="21"/>
  <c r="Z3" i="21"/>
  <c r="Y3" i="21"/>
  <c r="S3" i="21"/>
  <c r="O3" i="21"/>
  <c r="M3" i="21"/>
  <c r="AA2" i="21"/>
  <c r="Z2" i="21"/>
  <c r="Y2" i="21"/>
  <c r="Z14" i="20"/>
  <c r="Y14" i="20"/>
  <c r="Z13" i="20"/>
  <c r="Y13" i="20"/>
  <c r="Z12" i="20"/>
  <c r="Y12" i="20"/>
  <c r="Z11" i="20"/>
  <c r="Y11" i="20"/>
  <c r="Z10" i="20"/>
  <c r="Y10" i="20"/>
  <c r="Z9" i="20"/>
  <c r="Y9" i="20"/>
  <c r="Z8" i="20"/>
  <c r="Y8" i="20"/>
  <c r="Z7" i="20"/>
  <c r="Y7" i="20"/>
  <c r="Z6" i="20"/>
  <c r="Y6" i="20"/>
  <c r="Z5" i="20"/>
  <c r="Y5" i="20"/>
  <c r="Z4" i="20"/>
  <c r="Y4" i="20"/>
  <c r="Z3" i="20"/>
  <c r="Y3" i="20"/>
  <c r="S3" i="20"/>
  <c r="O3" i="20"/>
  <c r="M3" i="20"/>
  <c r="AA2" i="20"/>
  <c r="Z2" i="20"/>
  <c r="Y2" i="20"/>
  <c r="Z14" i="19"/>
  <c r="Y14" i="19"/>
  <c r="Z13" i="19"/>
  <c r="Y13" i="19"/>
  <c r="Z12" i="19"/>
  <c r="Y12" i="19"/>
  <c r="Z11" i="19"/>
  <c r="Y11" i="19"/>
  <c r="Z10" i="19"/>
  <c r="Y10" i="19"/>
  <c r="Z9" i="19"/>
  <c r="Y9" i="19"/>
  <c r="Z8" i="19"/>
  <c r="Y8" i="19"/>
  <c r="Z7" i="19"/>
  <c r="Y7" i="19"/>
  <c r="Z6" i="19"/>
  <c r="Y6" i="19"/>
  <c r="Z5" i="19"/>
  <c r="Y5" i="19"/>
  <c r="Z4" i="19"/>
  <c r="Y4" i="19"/>
  <c r="Z3" i="19"/>
  <c r="Y3" i="19"/>
  <c r="S3" i="19"/>
  <c r="P3" i="19"/>
  <c r="O3" i="19"/>
  <c r="N3" i="19"/>
  <c r="M3" i="19"/>
  <c r="R3" i="19" s="1"/>
  <c r="AA2" i="19"/>
  <c r="Z2" i="19"/>
  <c r="Y2" i="19"/>
  <c r="B15" i="19"/>
  <c r="B13" i="19"/>
  <c r="J19" i="1" s="1"/>
  <c r="Z14" i="18"/>
  <c r="Y14" i="18"/>
  <c r="Z13" i="18"/>
  <c r="Y13" i="18"/>
  <c r="Z12" i="18"/>
  <c r="Y12" i="18"/>
  <c r="Z11" i="18"/>
  <c r="Y11" i="18"/>
  <c r="Z10" i="18"/>
  <c r="Y10" i="18"/>
  <c r="Z9" i="18"/>
  <c r="Y9" i="18"/>
  <c r="Z8" i="18"/>
  <c r="Y8" i="18"/>
  <c r="Z7" i="18"/>
  <c r="Y7" i="18"/>
  <c r="Z6" i="18"/>
  <c r="Y6" i="18"/>
  <c r="Z5" i="18"/>
  <c r="Y5" i="18"/>
  <c r="Z4" i="18"/>
  <c r="Y4" i="18"/>
  <c r="Z3" i="18"/>
  <c r="Y3" i="18"/>
  <c r="S3" i="18"/>
  <c r="O3" i="18"/>
  <c r="M3" i="18"/>
  <c r="AA2" i="18"/>
  <c r="Z2" i="18"/>
  <c r="Y2" i="18"/>
  <c r="Z14" i="17"/>
  <c r="Y14" i="17"/>
  <c r="Z13" i="17"/>
  <c r="Y13" i="17"/>
  <c r="Z12" i="17"/>
  <c r="Y12" i="17"/>
  <c r="Z11" i="17"/>
  <c r="Y11" i="17"/>
  <c r="Z10" i="17"/>
  <c r="Y10" i="17"/>
  <c r="Z9" i="17"/>
  <c r="Y9" i="17"/>
  <c r="Z8" i="17"/>
  <c r="Y8" i="17"/>
  <c r="Z7" i="17"/>
  <c r="Y7" i="17"/>
  <c r="Z6" i="17"/>
  <c r="Y6" i="17"/>
  <c r="Z5" i="17"/>
  <c r="Y5" i="17"/>
  <c r="Z4" i="17"/>
  <c r="Y4" i="17"/>
  <c r="Z3" i="17"/>
  <c r="Y3" i="17"/>
  <c r="S3" i="17"/>
  <c r="R3" i="17"/>
  <c r="Q3" i="17"/>
  <c r="P3" i="17"/>
  <c r="O3" i="17"/>
  <c r="N3" i="17"/>
  <c r="M3" i="17"/>
  <c r="AA2" i="17"/>
  <c r="Z2" i="17"/>
  <c r="Y2" i="17"/>
  <c r="B15" i="17"/>
  <c r="B13" i="17"/>
  <c r="J17" i="1" s="1"/>
  <c r="Z14" i="16"/>
  <c r="Y14" i="16"/>
  <c r="Z13" i="16"/>
  <c r="Y13" i="16"/>
  <c r="Z12" i="16"/>
  <c r="Y12" i="16"/>
  <c r="Z11" i="16"/>
  <c r="Y11" i="16"/>
  <c r="Z10" i="16"/>
  <c r="Y10" i="16"/>
  <c r="Z9" i="16"/>
  <c r="Y9" i="16"/>
  <c r="Z8" i="16"/>
  <c r="Y8" i="16"/>
  <c r="Z7" i="16"/>
  <c r="Y7" i="16"/>
  <c r="Z6" i="16"/>
  <c r="Y6" i="16"/>
  <c r="Z5" i="16"/>
  <c r="Y5" i="16"/>
  <c r="Z4" i="16"/>
  <c r="Y4" i="16"/>
  <c r="Z3" i="16"/>
  <c r="Y3" i="16"/>
  <c r="S3" i="16"/>
  <c r="O3" i="16"/>
  <c r="M3" i="16"/>
  <c r="AA2" i="16"/>
  <c r="Z2" i="16"/>
  <c r="Y2" i="16"/>
  <c r="Z14" i="15"/>
  <c r="Y14" i="15"/>
  <c r="Z13" i="15"/>
  <c r="Y13" i="15"/>
  <c r="Z12" i="15"/>
  <c r="Y12" i="15"/>
  <c r="Z11" i="15"/>
  <c r="Y11" i="15"/>
  <c r="Z10" i="15"/>
  <c r="Y10" i="15"/>
  <c r="Z9" i="15"/>
  <c r="Y9" i="15"/>
  <c r="Z8" i="15"/>
  <c r="Y8" i="15"/>
  <c r="Z7" i="15"/>
  <c r="Y7" i="15"/>
  <c r="Z6" i="15"/>
  <c r="Y6" i="15"/>
  <c r="Z5" i="15"/>
  <c r="Y5" i="15"/>
  <c r="Z4" i="15"/>
  <c r="Y4" i="15"/>
  <c r="Z3" i="15"/>
  <c r="Y3" i="15"/>
  <c r="S3" i="15"/>
  <c r="P3" i="15"/>
  <c r="O3" i="15"/>
  <c r="N3" i="15"/>
  <c r="M3" i="15"/>
  <c r="R3" i="15" s="1"/>
  <c r="AA2" i="15"/>
  <c r="Z2" i="15"/>
  <c r="Y2" i="15"/>
  <c r="B15" i="15"/>
  <c r="B13" i="15"/>
  <c r="J15" i="1" s="1"/>
  <c r="Z14" i="14"/>
  <c r="Y14" i="14"/>
  <c r="Z13" i="14"/>
  <c r="Y13" i="14"/>
  <c r="Z12" i="14"/>
  <c r="Y12" i="14"/>
  <c r="Z11" i="14"/>
  <c r="Y11" i="14"/>
  <c r="Z10" i="14"/>
  <c r="Y10" i="14"/>
  <c r="Z9" i="14"/>
  <c r="Y9" i="14"/>
  <c r="Z8" i="14"/>
  <c r="Y8" i="14"/>
  <c r="Z7" i="14"/>
  <c r="Y7" i="14"/>
  <c r="Z6" i="14"/>
  <c r="Y6" i="14"/>
  <c r="Z5" i="14"/>
  <c r="Y5" i="14"/>
  <c r="Z4" i="14"/>
  <c r="Y4" i="14"/>
  <c r="Z3" i="14"/>
  <c r="Y3" i="14"/>
  <c r="S3" i="14"/>
  <c r="P3" i="14"/>
  <c r="O3" i="14"/>
  <c r="N3" i="14"/>
  <c r="M3" i="14"/>
  <c r="R3" i="14" s="1"/>
  <c r="AA2" i="14"/>
  <c r="Z2" i="14"/>
  <c r="Y2" i="14"/>
  <c r="B15" i="14"/>
  <c r="B13" i="14"/>
  <c r="J14" i="1" s="1"/>
  <c r="R3" i="13"/>
  <c r="Z14" i="13"/>
  <c r="Y14" i="13"/>
  <c r="Z13" i="13"/>
  <c r="Y13" i="13"/>
  <c r="Z12" i="13"/>
  <c r="Y12" i="13"/>
  <c r="Z11" i="13"/>
  <c r="Y11" i="13"/>
  <c r="Z10" i="13"/>
  <c r="Y10" i="13"/>
  <c r="Z9" i="13"/>
  <c r="Y9" i="13"/>
  <c r="Z8" i="13"/>
  <c r="Y8" i="13"/>
  <c r="Z7" i="13"/>
  <c r="Y7" i="13"/>
  <c r="Z6" i="13"/>
  <c r="Y6" i="13"/>
  <c r="Z5" i="13"/>
  <c r="Y5" i="13"/>
  <c r="Z4" i="13"/>
  <c r="Y4" i="13"/>
  <c r="Z3" i="13"/>
  <c r="Y3" i="13"/>
  <c r="S3" i="13"/>
  <c r="P3" i="13"/>
  <c r="O3" i="13"/>
  <c r="N3" i="13"/>
  <c r="M3" i="13"/>
  <c r="AA2" i="13"/>
  <c r="Z2" i="13"/>
  <c r="Y2" i="13"/>
  <c r="B15" i="13"/>
  <c r="B13" i="13"/>
  <c r="J13" i="1" s="1"/>
  <c r="Z14" i="10"/>
  <c r="Y14" i="10"/>
  <c r="Z13" i="10"/>
  <c r="Y13" i="10"/>
  <c r="Z12" i="10"/>
  <c r="Y12" i="10"/>
  <c r="Z11" i="10"/>
  <c r="Y11" i="10"/>
  <c r="Z10" i="10"/>
  <c r="Y10" i="10"/>
  <c r="Z9" i="10"/>
  <c r="Y9" i="10"/>
  <c r="Z8" i="10"/>
  <c r="Y8" i="10"/>
  <c r="Z7" i="10"/>
  <c r="Y7" i="10"/>
  <c r="Z6" i="10"/>
  <c r="Y6" i="10"/>
  <c r="Z5" i="10"/>
  <c r="Y5" i="10"/>
  <c r="Z4" i="10"/>
  <c r="Y4" i="10"/>
  <c r="Z3" i="10"/>
  <c r="Y3" i="10"/>
  <c r="S3" i="10"/>
  <c r="P3" i="10"/>
  <c r="O3" i="10"/>
  <c r="N3" i="10"/>
  <c r="M3" i="10"/>
  <c r="R3" i="10" s="1"/>
  <c r="AA2" i="10"/>
  <c r="Z2" i="10"/>
  <c r="Y2" i="10"/>
  <c r="B15" i="10"/>
  <c r="B13" i="10"/>
  <c r="J11" i="1" s="1"/>
  <c r="Z14" i="9"/>
  <c r="Y14" i="9"/>
  <c r="Z13" i="9"/>
  <c r="Y13" i="9"/>
  <c r="Z12" i="9"/>
  <c r="Y12" i="9"/>
  <c r="Z11" i="9"/>
  <c r="Y11" i="9"/>
  <c r="Z10" i="9"/>
  <c r="Y10" i="9"/>
  <c r="Z9" i="9"/>
  <c r="Y9" i="9"/>
  <c r="Z8" i="9"/>
  <c r="Y8" i="9"/>
  <c r="Z7" i="9"/>
  <c r="Y7" i="9"/>
  <c r="Z6" i="9"/>
  <c r="Y6" i="9"/>
  <c r="Z5" i="9"/>
  <c r="Y5" i="9"/>
  <c r="Z4" i="9"/>
  <c r="Y4" i="9"/>
  <c r="Z3" i="9"/>
  <c r="Y3" i="9"/>
  <c r="S3" i="9"/>
  <c r="P3" i="9"/>
  <c r="O3" i="9"/>
  <c r="N3" i="9"/>
  <c r="M3" i="9"/>
  <c r="R3" i="9" s="1"/>
  <c r="AA2" i="9"/>
  <c r="Z2" i="9"/>
  <c r="Y2" i="9"/>
  <c r="B15" i="9"/>
  <c r="B13" i="9"/>
  <c r="J10" i="1" s="1"/>
  <c r="Z14" i="8"/>
  <c r="Y14" i="8"/>
  <c r="Z13" i="8"/>
  <c r="Y13" i="8"/>
  <c r="Z12" i="8"/>
  <c r="Y12" i="8"/>
  <c r="Z11" i="8"/>
  <c r="Y11" i="8"/>
  <c r="Z10" i="8"/>
  <c r="Y10" i="8"/>
  <c r="Z9" i="8"/>
  <c r="Y9" i="8"/>
  <c r="Z8" i="8"/>
  <c r="Y8" i="8"/>
  <c r="Z7" i="8"/>
  <c r="Y7" i="8"/>
  <c r="Z6" i="8"/>
  <c r="Y6" i="8"/>
  <c r="Z5" i="8"/>
  <c r="Y5" i="8"/>
  <c r="Z4" i="8"/>
  <c r="Y4" i="8"/>
  <c r="Z3" i="8"/>
  <c r="Y3" i="8"/>
  <c r="S3" i="8"/>
  <c r="P3" i="8"/>
  <c r="O3" i="8"/>
  <c r="N3" i="8"/>
  <c r="M3" i="8"/>
  <c r="R3" i="8" s="1"/>
  <c r="AA2" i="8"/>
  <c r="Z2" i="8"/>
  <c r="Y2" i="8"/>
  <c r="B13" i="8"/>
  <c r="J9" i="1" s="1"/>
  <c r="B15" i="8"/>
  <c r="B15" i="7"/>
  <c r="B13" i="7"/>
  <c r="J8" i="1" s="1"/>
  <c r="Z14" i="7"/>
  <c r="Y14" i="7"/>
  <c r="Z13" i="7"/>
  <c r="Y13" i="7"/>
  <c r="Z12" i="7"/>
  <c r="Y12" i="7"/>
  <c r="Z11" i="7"/>
  <c r="Y11" i="7"/>
  <c r="Z10" i="7"/>
  <c r="Y10" i="7"/>
  <c r="Z9" i="7"/>
  <c r="Y9" i="7"/>
  <c r="Z8" i="7"/>
  <c r="Y8" i="7"/>
  <c r="Z7" i="7"/>
  <c r="Y7" i="7"/>
  <c r="Z6" i="7"/>
  <c r="Y6" i="7"/>
  <c r="Z5" i="7"/>
  <c r="Y5" i="7"/>
  <c r="Z4" i="7"/>
  <c r="Y4" i="7"/>
  <c r="Z3" i="7"/>
  <c r="Y3" i="7"/>
  <c r="S3" i="7"/>
  <c r="P3" i="7"/>
  <c r="O3" i="7"/>
  <c r="N3" i="7"/>
  <c r="M3" i="7"/>
  <c r="R3" i="7" s="1"/>
  <c r="AA2" i="7"/>
  <c r="Z2" i="7"/>
  <c r="Y2" i="7"/>
  <c r="R3" i="3"/>
  <c r="R3" i="4"/>
  <c r="R3" i="5"/>
  <c r="R3" i="6"/>
  <c r="Z2" i="6"/>
  <c r="Y2" i="6"/>
  <c r="M3" i="6"/>
  <c r="B15" i="6" s="1"/>
  <c r="B13" i="6"/>
  <c r="J7" i="1" s="1"/>
  <c r="B15" i="5"/>
  <c r="B15" i="4"/>
  <c r="B15" i="3"/>
  <c r="B15" i="2"/>
  <c r="Y2" i="3"/>
  <c r="Y2" i="4"/>
  <c r="Y2" i="5"/>
  <c r="Z2" i="5"/>
  <c r="M3" i="5"/>
  <c r="AA2" i="5"/>
  <c r="N3" i="5"/>
  <c r="O3" i="5"/>
  <c r="P3" i="5"/>
  <c r="Q3" i="5"/>
  <c r="S3" i="5"/>
  <c r="Y3" i="5"/>
  <c r="Z3" i="5"/>
  <c r="Y4" i="5"/>
  <c r="Z4" i="5"/>
  <c r="Y5" i="5"/>
  <c r="Z5" i="5"/>
  <c r="Y6" i="5"/>
  <c r="Z6" i="5"/>
  <c r="Y7" i="5"/>
  <c r="Z7" i="5"/>
  <c r="Y8" i="5"/>
  <c r="Z8" i="5"/>
  <c r="Y9" i="5"/>
  <c r="Z9" i="5"/>
  <c r="Y10" i="5"/>
  <c r="Z10" i="5"/>
  <c r="Y11" i="5"/>
  <c r="Z11" i="5"/>
  <c r="Y12" i="5"/>
  <c r="Z12" i="5"/>
  <c r="Y13" i="5"/>
  <c r="Z13" i="5"/>
  <c r="Y14" i="5"/>
  <c r="Z14" i="5"/>
  <c r="B13" i="5"/>
  <c r="J6" i="1" s="1"/>
  <c r="Z2" i="4"/>
  <c r="M3" i="4"/>
  <c r="B13" i="4"/>
  <c r="J5" i="1" s="1"/>
  <c r="B13" i="2"/>
  <c r="J3" i="1" s="1"/>
  <c r="Z2" i="11"/>
  <c r="M3" i="11"/>
  <c r="B13" i="3"/>
  <c r="J4" i="1" s="1"/>
  <c r="Z2" i="3"/>
  <c r="M3" i="3"/>
  <c r="J27" i="1" l="1"/>
  <c r="B15" i="27"/>
  <c r="Q3" i="27"/>
  <c r="Q3" i="26"/>
  <c r="Q3" i="25"/>
  <c r="Q3" i="19"/>
  <c r="Q3" i="15"/>
  <c r="Q3" i="14"/>
  <c r="Q3" i="13"/>
  <c r="Q3" i="10"/>
  <c r="Q3" i="9"/>
  <c r="Q3" i="8"/>
  <c r="Q3" i="7"/>
  <c r="I11" i="1" l="1"/>
  <c r="S3" i="4"/>
  <c r="S3" i="3"/>
  <c r="N3" i="4"/>
  <c r="I5" i="1"/>
  <c r="I6" i="1"/>
  <c r="S3" i="6"/>
  <c r="O3" i="6"/>
  <c r="I7" i="1"/>
  <c r="I8" i="1"/>
  <c r="I42" i="2"/>
  <c r="H42" i="2"/>
  <c r="G42" i="2"/>
  <c r="F42" i="2"/>
  <c r="E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I42" i="3"/>
  <c r="H42" i="3"/>
  <c r="P3" i="3" s="1"/>
  <c r="G42" i="3"/>
  <c r="N3" i="3" s="1"/>
  <c r="F42" i="3"/>
  <c r="O3" i="3" s="1"/>
  <c r="E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I42" i="4"/>
  <c r="H42" i="4"/>
  <c r="P3" i="4" s="1"/>
  <c r="G42" i="4"/>
  <c r="F42" i="4"/>
  <c r="O3" i="4" s="1"/>
  <c r="E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I42" i="5"/>
  <c r="H42" i="5"/>
  <c r="G42" i="5"/>
  <c r="F42" i="5"/>
  <c r="E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I42" i="6"/>
  <c r="H42" i="6"/>
  <c r="P3" i="6" s="1"/>
  <c r="G42" i="6"/>
  <c r="N3" i="6" s="1"/>
  <c r="F42" i="6"/>
  <c r="E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I42" i="7"/>
  <c r="H42" i="7"/>
  <c r="G42" i="7"/>
  <c r="F42" i="7"/>
  <c r="E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I42" i="8"/>
  <c r="H42" i="8"/>
  <c r="G42" i="8"/>
  <c r="F42" i="8"/>
  <c r="E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I42" i="9"/>
  <c r="H42" i="9"/>
  <c r="G42" i="9"/>
  <c r="F42" i="9"/>
  <c r="E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I42" i="10"/>
  <c r="H42" i="10"/>
  <c r="G42" i="10"/>
  <c r="F42" i="10"/>
  <c r="E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I42" i="11"/>
  <c r="H42" i="11"/>
  <c r="G42" i="11"/>
  <c r="N3" i="11" s="1"/>
  <c r="F42" i="11"/>
  <c r="E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I9" i="1"/>
  <c r="S3" i="11"/>
  <c r="P3" i="11"/>
  <c r="O3" i="11"/>
  <c r="I13" i="1"/>
  <c r="I15" i="1"/>
  <c r="I42" i="13"/>
  <c r="H42" i="13"/>
  <c r="G42" i="13"/>
  <c r="F42" i="13"/>
  <c r="E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I42" i="14"/>
  <c r="H42" i="14"/>
  <c r="G42" i="14"/>
  <c r="F42" i="14"/>
  <c r="E42" i="14"/>
  <c r="K41" i="14"/>
  <c r="K40" i="14"/>
  <c r="K39" i="14"/>
  <c r="K38" i="14"/>
  <c r="K37" i="14"/>
  <c r="K36" i="14"/>
  <c r="K35" i="14"/>
  <c r="K34" i="14"/>
  <c r="K33" i="14"/>
  <c r="K32" i="14"/>
  <c r="K31" i="14"/>
  <c r="K30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K16" i="14"/>
  <c r="K15" i="14"/>
  <c r="K14" i="14"/>
  <c r="I42" i="15"/>
  <c r="H42" i="15"/>
  <c r="G42" i="15"/>
  <c r="F42" i="15"/>
  <c r="E42" i="15"/>
  <c r="K41" i="15"/>
  <c r="K40" i="15"/>
  <c r="K39" i="15"/>
  <c r="K38" i="15"/>
  <c r="K37" i="15"/>
  <c r="K36" i="15"/>
  <c r="K35" i="15"/>
  <c r="K34" i="15"/>
  <c r="K33" i="15"/>
  <c r="K32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I42" i="16"/>
  <c r="H42" i="16"/>
  <c r="G42" i="16"/>
  <c r="N3" i="16" s="1"/>
  <c r="F42" i="16"/>
  <c r="E42" i="16"/>
  <c r="K41" i="16"/>
  <c r="K40" i="16"/>
  <c r="K39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I42" i="17"/>
  <c r="H42" i="17"/>
  <c r="G42" i="17"/>
  <c r="F42" i="17"/>
  <c r="E42" i="17"/>
  <c r="K41" i="17"/>
  <c r="K40" i="17"/>
  <c r="K39" i="17"/>
  <c r="K38" i="17"/>
  <c r="K37" i="17"/>
  <c r="K36" i="17"/>
  <c r="K35" i="17"/>
  <c r="K34" i="17"/>
  <c r="K33" i="17"/>
  <c r="K32" i="17"/>
  <c r="K31" i="17"/>
  <c r="K30" i="17"/>
  <c r="K29" i="17"/>
  <c r="K28" i="17"/>
  <c r="K27" i="17"/>
  <c r="K26" i="17"/>
  <c r="K25" i="17"/>
  <c r="K24" i="17"/>
  <c r="K23" i="17"/>
  <c r="K22" i="17"/>
  <c r="K21" i="17"/>
  <c r="K20" i="17"/>
  <c r="K19" i="17"/>
  <c r="K18" i="17"/>
  <c r="K17" i="17"/>
  <c r="K16" i="17"/>
  <c r="K15" i="17"/>
  <c r="K14" i="17"/>
  <c r="I42" i="18"/>
  <c r="H42" i="18"/>
  <c r="G42" i="18"/>
  <c r="N3" i="18" s="1"/>
  <c r="F42" i="18"/>
  <c r="E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K29" i="18"/>
  <c r="K28" i="18"/>
  <c r="K27" i="18"/>
  <c r="K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I17" i="1"/>
  <c r="I19" i="1"/>
  <c r="I42" i="19"/>
  <c r="H42" i="19"/>
  <c r="G42" i="19"/>
  <c r="F42" i="19"/>
  <c r="E42" i="19"/>
  <c r="K41" i="19"/>
  <c r="K40" i="19"/>
  <c r="K39" i="19"/>
  <c r="K38" i="19"/>
  <c r="K37" i="19"/>
  <c r="K36" i="19"/>
  <c r="K35" i="19"/>
  <c r="K34" i="19"/>
  <c r="K33" i="19"/>
  <c r="K32" i="19"/>
  <c r="K31" i="19"/>
  <c r="K30" i="19"/>
  <c r="K29" i="19"/>
  <c r="K28" i="19"/>
  <c r="K27" i="19"/>
  <c r="K26" i="19"/>
  <c r="K25" i="19"/>
  <c r="K24" i="19"/>
  <c r="K23" i="19"/>
  <c r="K22" i="19"/>
  <c r="K21" i="19"/>
  <c r="K20" i="19"/>
  <c r="K19" i="19"/>
  <c r="K18" i="19"/>
  <c r="K17" i="19"/>
  <c r="K16" i="19"/>
  <c r="K15" i="19"/>
  <c r="K14" i="19"/>
  <c r="I42" i="20"/>
  <c r="H42" i="20"/>
  <c r="P3" i="20" s="1"/>
  <c r="G42" i="20"/>
  <c r="N3" i="20" s="1"/>
  <c r="F42" i="20"/>
  <c r="E42" i="20"/>
  <c r="K41" i="20"/>
  <c r="K40" i="20"/>
  <c r="K39" i="20"/>
  <c r="K38" i="20"/>
  <c r="K37" i="20"/>
  <c r="K36" i="20"/>
  <c r="K35" i="20"/>
  <c r="K34" i="20"/>
  <c r="K33" i="20"/>
  <c r="K32" i="20"/>
  <c r="K31" i="20"/>
  <c r="K30" i="20"/>
  <c r="K29" i="20"/>
  <c r="K28" i="20"/>
  <c r="K27" i="20"/>
  <c r="K26" i="20"/>
  <c r="K25" i="20"/>
  <c r="K24" i="20"/>
  <c r="K23" i="20"/>
  <c r="K22" i="20"/>
  <c r="K21" i="20"/>
  <c r="K20" i="20"/>
  <c r="K19" i="20"/>
  <c r="K18" i="20"/>
  <c r="K17" i="20"/>
  <c r="K16" i="20"/>
  <c r="K15" i="20"/>
  <c r="K14" i="20"/>
  <c r="I42" i="21"/>
  <c r="H42" i="21"/>
  <c r="G42" i="21"/>
  <c r="N3" i="21" s="1"/>
  <c r="F42" i="21"/>
  <c r="E42" i="21"/>
  <c r="K41" i="21"/>
  <c r="K40" i="21"/>
  <c r="K39" i="21"/>
  <c r="K38" i="21"/>
  <c r="K37" i="21"/>
  <c r="K36" i="21"/>
  <c r="K35" i="21"/>
  <c r="K34" i="21"/>
  <c r="K33" i="21"/>
  <c r="K32" i="21"/>
  <c r="K31" i="21"/>
  <c r="K30" i="21"/>
  <c r="K29" i="21"/>
  <c r="K28" i="21"/>
  <c r="K27" i="21"/>
  <c r="K26" i="21"/>
  <c r="K25" i="21"/>
  <c r="K24" i="21"/>
  <c r="K23" i="21"/>
  <c r="K22" i="21"/>
  <c r="K21" i="21"/>
  <c r="K20" i="21"/>
  <c r="K19" i="21"/>
  <c r="K18" i="21"/>
  <c r="K17" i="21"/>
  <c r="K16" i="21"/>
  <c r="K15" i="21"/>
  <c r="K14" i="21"/>
  <c r="I42" i="22"/>
  <c r="H42" i="22"/>
  <c r="G42" i="22"/>
  <c r="N3" i="22" s="1"/>
  <c r="F42" i="22"/>
  <c r="E42" i="22"/>
  <c r="K41" i="22"/>
  <c r="K40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20" i="22"/>
  <c r="K19" i="22"/>
  <c r="K18" i="22"/>
  <c r="K17" i="22"/>
  <c r="K16" i="22"/>
  <c r="K15" i="22"/>
  <c r="K14" i="22"/>
  <c r="I42" i="23"/>
  <c r="H42" i="23"/>
  <c r="P3" i="23" s="1"/>
  <c r="G42" i="23"/>
  <c r="N3" i="23" s="1"/>
  <c r="F42" i="23"/>
  <c r="E42" i="23"/>
  <c r="K41" i="23"/>
  <c r="K40" i="23"/>
  <c r="K39" i="23"/>
  <c r="K38" i="23"/>
  <c r="K37" i="23"/>
  <c r="K36" i="23"/>
  <c r="K35" i="23"/>
  <c r="K34" i="23"/>
  <c r="K33" i="23"/>
  <c r="K32" i="23"/>
  <c r="K31" i="23"/>
  <c r="K30" i="23"/>
  <c r="K29" i="23"/>
  <c r="K28" i="23"/>
  <c r="K27" i="23"/>
  <c r="K26" i="23"/>
  <c r="K25" i="23"/>
  <c r="K24" i="23"/>
  <c r="K23" i="23"/>
  <c r="K22" i="23"/>
  <c r="K21" i="23"/>
  <c r="K20" i="23"/>
  <c r="K19" i="23"/>
  <c r="K18" i="23"/>
  <c r="K17" i="23"/>
  <c r="K16" i="23"/>
  <c r="K15" i="23"/>
  <c r="K14" i="23"/>
  <c r="I24" i="1"/>
  <c r="I42" i="25"/>
  <c r="H42" i="25"/>
  <c r="G42" i="25"/>
  <c r="F42" i="25"/>
  <c r="E42" i="25"/>
  <c r="K41" i="25"/>
  <c r="K40" i="25"/>
  <c r="K39" i="25"/>
  <c r="K38" i="25"/>
  <c r="K37" i="25"/>
  <c r="K36" i="25"/>
  <c r="K35" i="25"/>
  <c r="K34" i="25"/>
  <c r="K33" i="25"/>
  <c r="K32" i="25"/>
  <c r="K31" i="25"/>
  <c r="K30" i="25"/>
  <c r="K29" i="25"/>
  <c r="K28" i="25"/>
  <c r="K27" i="25"/>
  <c r="K26" i="25"/>
  <c r="K25" i="25"/>
  <c r="K24" i="25"/>
  <c r="K23" i="25"/>
  <c r="K22" i="25"/>
  <c r="K21" i="25"/>
  <c r="K20" i="25"/>
  <c r="K19" i="25"/>
  <c r="K18" i="25"/>
  <c r="K17" i="25"/>
  <c r="K16" i="25"/>
  <c r="K15" i="25"/>
  <c r="K14" i="25"/>
  <c r="I42" i="24"/>
  <c r="H42" i="24"/>
  <c r="P3" i="24" s="1"/>
  <c r="G42" i="24"/>
  <c r="N3" i="24" s="1"/>
  <c r="F42" i="24"/>
  <c r="E42" i="24"/>
  <c r="K41" i="24"/>
  <c r="K40" i="24"/>
  <c r="K39" i="24"/>
  <c r="K38" i="24"/>
  <c r="K37" i="24"/>
  <c r="K36" i="24"/>
  <c r="K35" i="24"/>
  <c r="K34" i="24"/>
  <c r="K33" i="24"/>
  <c r="K32" i="24"/>
  <c r="K31" i="24"/>
  <c r="K30" i="24"/>
  <c r="K29" i="24"/>
  <c r="K28" i="24"/>
  <c r="K27" i="24"/>
  <c r="K26" i="24"/>
  <c r="K25" i="24"/>
  <c r="K24" i="24"/>
  <c r="K23" i="24"/>
  <c r="K22" i="24"/>
  <c r="K21" i="24"/>
  <c r="K20" i="24"/>
  <c r="K19" i="24"/>
  <c r="K18" i="24"/>
  <c r="K17" i="24"/>
  <c r="K16" i="24"/>
  <c r="K15" i="24"/>
  <c r="K14" i="24"/>
  <c r="I26" i="1"/>
  <c r="I42" i="26"/>
  <c r="H42" i="26"/>
  <c r="G42" i="26"/>
  <c r="F42" i="26"/>
  <c r="E42" i="26"/>
  <c r="K41" i="26"/>
  <c r="K40" i="26"/>
  <c r="K39" i="26"/>
  <c r="K38" i="26"/>
  <c r="K37" i="26"/>
  <c r="K36" i="26"/>
  <c r="K35" i="26"/>
  <c r="K34" i="26"/>
  <c r="K33" i="26"/>
  <c r="K32" i="26"/>
  <c r="K31" i="26"/>
  <c r="K30" i="26"/>
  <c r="K29" i="26"/>
  <c r="K28" i="26"/>
  <c r="K27" i="26"/>
  <c r="K26" i="26"/>
  <c r="K25" i="26"/>
  <c r="K24" i="26"/>
  <c r="K23" i="26"/>
  <c r="K22" i="26"/>
  <c r="K21" i="26"/>
  <c r="K20" i="26"/>
  <c r="K19" i="26"/>
  <c r="K18" i="26"/>
  <c r="K17" i="26"/>
  <c r="K16" i="26"/>
  <c r="K15" i="26"/>
  <c r="K14" i="26"/>
  <c r="K14" i="27"/>
  <c r="K15" i="27"/>
  <c r="K16" i="27"/>
  <c r="K17" i="27"/>
  <c r="K18" i="27"/>
  <c r="K19" i="27"/>
  <c r="K20" i="27"/>
  <c r="K21" i="27"/>
  <c r="K22" i="27"/>
  <c r="K23" i="27"/>
  <c r="K24" i="27"/>
  <c r="K25" i="27"/>
  <c r="K26" i="27"/>
  <c r="K27" i="27"/>
  <c r="K28" i="27"/>
  <c r="K29" i="27"/>
  <c r="K30" i="27"/>
  <c r="K31" i="27"/>
  <c r="K32" i="27"/>
  <c r="K33" i="27"/>
  <c r="K34" i="27"/>
  <c r="K35" i="27"/>
  <c r="K36" i="27"/>
  <c r="K37" i="27"/>
  <c r="K38" i="27"/>
  <c r="K39" i="27"/>
  <c r="K40" i="27"/>
  <c r="K41" i="27"/>
  <c r="F42" i="27"/>
  <c r="G42" i="27"/>
  <c r="H42" i="27"/>
  <c r="M27" i="1" s="1"/>
  <c r="I42" i="27"/>
  <c r="E42" i="27"/>
  <c r="K13" i="27"/>
  <c r="K12" i="27"/>
  <c r="K11" i="27"/>
  <c r="K10" i="27"/>
  <c r="K9" i="27"/>
  <c r="K8" i="27"/>
  <c r="K7" i="27"/>
  <c r="K6" i="27"/>
  <c r="K5" i="27"/>
  <c r="K4" i="27"/>
  <c r="K27" i="1"/>
  <c r="I27" i="1"/>
  <c r="K3" i="27"/>
  <c r="AC27" i="1"/>
  <c r="K2" i="27"/>
  <c r="A200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2" i="12"/>
  <c r="K2" i="21"/>
  <c r="Q3" i="24" l="1"/>
  <c r="B15" i="24"/>
  <c r="B13" i="24"/>
  <c r="J25" i="1" s="1"/>
  <c r="R3" i="24"/>
  <c r="I25" i="1" s="1"/>
  <c r="P3" i="18"/>
  <c r="B13" i="18"/>
  <c r="J18" i="1" s="1"/>
  <c r="B15" i="18"/>
  <c r="R3" i="18"/>
  <c r="I18" i="1" s="1"/>
  <c r="Q3" i="18"/>
  <c r="P3" i="22"/>
  <c r="B13" i="22"/>
  <c r="J22" i="1" s="1"/>
  <c r="B15" i="22"/>
  <c r="R3" i="22"/>
  <c r="I22" i="1" s="1"/>
  <c r="Q3" i="22"/>
  <c r="B13" i="11"/>
  <c r="J12" i="1" s="1"/>
  <c r="B15" i="11"/>
  <c r="R3" i="11"/>
  <c r="I12" i="1" s="1"/>
  <c r="P3" i="21"/>
  <c r="B13" i="21"/>
  <c r="J21" i="1" s="1"/>
  <c r="R3" i="21"/>
  <c r="I21" i="1" s="1"/>
  <c r="B15" i="21"/>
  <c r="Q3" i="21"/>
  <c r="B15" i="20"/>
  <c r="B13" i="20"/>
  <c r="J20" i="1" s="1"/>
  <c r="R3" i="20"/>
  <c r="I20" i="1" s="1"/>
  <c r="Q3" i="20"/>
  <c r="P3" i="16"/>
  <c r="B15" i="16"/>
  <c r="B13" i="16"/>
  <c r="J16" i="1" s="1"/>
  <c r="R3" i="16"/>
  <c r="I16" i="1" s="1"/>
  <c r="Q3" i="16"/>
  <c r="B15" i="23"/>
  <c r="B13" i="23"/>
  <c r="J23" i="1" s="1"/>
  <c r="R3" i="23"/>
  <c r="I23" i="1" s="1"/>
  <c r="Q3" i="23"/>
  <c r="I14" i="1"/>
  <c r="I10" i="1"/>
  <c r="I4" i="1"/>
  <c r="I3" i="1"/>
  <c r="L27" i="1"/>
  <c r="K13" i="26"/>
  <c r="K12" i="26"/>
  <c r="K11" i="26"/>
  <c r="K10" i="26"/>
  <c r="K9" i="26"/>
  <c r="K8" i="26"/>
  <c r="K7" i="26"/>
  <c r="K6" i="26"/>
  <c r="K5" i="26"/>
  <c r="K4" i="26"/>
  <c r="K26" i="1"/>
  <c r="K3" i="26"/>
  <c r="K2" i="26"/>
  <c r="K13" i="24"/>
  <c r="K12" i="24"/>
  <c r="K11" i="24"/>
  <c r="K10" i="24"/>
  <c r="K9" i="24"/>
  <c r="K8" i="24"/>
  <c r="K7" i="24"/>
  <c r="K6" i="24"/>
  <c r="K5" i="24"/>
  <c r="K4" i="24"/>
  <c r="K25" i="1"/>
  <c r="K3" i="24"/>
  <c r="K2" i="24"/>
  <c r="K13" i="25"/>
  <c r="K12" i="25"/>
  <c r="K11" i="25"/>
  <c r="K10" i="25"/>
  <c r="K9" i="25"/>
  <c r="K8" i="25"/>
  <c r="K7" i="25"/>
  <c r="K6" i="25"/>
  <c r="K5" i="25"/>
  <c r="K4" i="25"/>
  <c r="K24" i="1"/>
  <c r="K3" i="25"/>
  <c r="K2" i="25"/>
  <c r="K13" i="23"/>
  <c r="K12" i="23"/>
  <c r="K11" i="23"/>
  <c r="K10" i="23"/>
  <c r="K9" i="23"/>
  <c r="K8" i="23"/>
  <c r="K7" i="23"/>
  <c r="K6" i="23"/>
  <c r="K5" i="23"/>
  <c r="K4" i="23"/>
  <c r="K23" i="1"/>
  <c r="K3" i="23"/>
  <c r="K2" i="23"/>
  <c r="K13" i="22"/>
  <c r="K12" i="22"/>
  <c r="K11" i="22"/>
  <c r="K10" i="22"/>
  <c r="K9" i="22"/>
  <c r="K8" i="22"/>
  <c r="K7" i="22"/>
  <c r="K6" i="22"/>
  <c r="K5" i="22"/>
  <c r="K4" i="22"/>
  <c r="K22" i="1"/>
  <c r="K3" i="22"/>
  <c r="K2" i="22"/>
  <c r="K13" i="21"/>
  <c r="K12" i="21"/>
  <c r="K11" i="21"/>
  <c r="K10" i="21"/>
  <c r="K9" i="21"/>
  <c r="K8" i="21"/>
  <c r="K7" i="21"/>
  <c r="K6" i="21"/>
  <c r="K5" i="21"/>
  <c r="K4" i="21"/>
  <c r="K21" i="1"/>
  <c r="K3" i="21"/>
  <c r="K13" i="20"/>
  <c r="K12" i="20"/>
  <c r="K11" i="20"/>
  <c r="K10" i="20"/>
  <c r="K9" i="20"/>
  <c r="K8" i="20"/>
  <c r="K7" i="20"/>
  <c r="K6" i="20"/>
  <c r="K5" i="20"/>
  <c r="K4" i="20"/>
  <c r="K20" i="1"/>
  <c r="K3" i="20"/>
  <c r="K2" i="20"/>
  <c r="K13" i="19"/>
  <c r="K12" i="19"/>
  <c r="K11" i="19"/>
  <c r="K10" i="19"/>
  <c r="K9" i="19"/>
  <c r="K8" i="19"/>
  <c r="K7" i="19"/>
  <c r="K6" i="19"/>
  <c r="K5" i="19"/>
  <c r="K4" i="19"/>
  <c r="K19" i="1"/>
  <c r="K3" i="19"/>
  <c r="K2" i="19"/>
  <c r="K13" i="18"/>
  <c r="K12" i="18"/>
  <c r="K11" i="18"/>
  <c r="K10" i="18"/>
  <c r="K9" i="18"/>
  <c r="K8" i="18"/>
  <c r="K7" i="18"/>
  <c r="K6" i="18"/>
  <c r="K5" i="18"/>
  <c r="K4" i="18"/>
  <c r="K18" i="1"/>
  <c r="K3" i="18"/>
  <c r="K2" i="18"/>
  <c r="K13" i="17"/>
  <c r="K12" i="17"/>
  <c r="K11" i="17"/>
  <c r="K10" i="17"/>
  <c r="K9" i="17"/>
  <c r="K8" i="17"/>
  <c r="K7" i="17"/>
  <c r="K6" i="17"/>
  <c r="K5" i="17"/>
  <c r="K4" i="17"/>
  <c r="K17" i="1"/>
  <c r="K3" i="17"/>
  <c r="K2" i="17"/>
  <c r="K13" i="16"/>
  <c r="K12" i="16"/>
  <c r="K11" i="16"/>
  <c r="K10" i="16"/>
  <c r="K9" i="16"/>
  <c r="K8" i="16"/>
  <c r="K7" i="16"/>
  <c r="K6" i="16"/>
  <c r="K5" i="16"/>
  <c r="K4" i="16"/>
  <c r="K16" i="1"/>
  <c r="K3" i="16"/>
  <c r="K2" i="16"/>
  <c r="K13" i="15"/>
  <c r="K12" i="15"/>
  <c r="K11" i="15"/>
  <c r="K10" i="15"/>
  <c r="K9" i="15"/>
  <c r="K8" i="15"/>
  <c r="K7" i="15"/>
  <c r="K6" i="15"/>
  <c r="K5" i="15"/>
  <c r="K4" i="15"/>
  <c r="K15" i="1"/>
  <c r="K3" i="15"/>
  <c r="K2" i="15"/>
  <c r="K13" i="14"/>
  <c r="K12" i="14"/>
  <c r="K11" i="14"/>
  <c r="K10" i="14"/>
  <c r="K9" i="14"/>
  <c r="K8" i="14"/>
  <c r="K7" i="14"/>
  <c r="K6" i="14"/>
  <c r="K5" i="14"/>
  <c r="K4" i="14"/>
  <c r="K14" i="1"/>
  <c r="K3" i="14"/>
  <c r="K2" i="14"/>
  <c r="K13" i="13"/>
  <c r="K12" i="13"/>
  <c r="K11" i="13"/>
  <c r="K10" i="13"/>
  <c r="K9" i="13"/>
  <c r="K8" i="13"/>
  <c r="K7" i="13"/>
  <c r="K6" i="13"/>
  <c r="K5" i="13"/>
  <c r="K4" i="13"/>
  <c r="K13" i="1"/>
  <c r="K3" i="13"/>
  <c r="K2" i="13"/>
  <c r="Z14" i="11"/>
  <c r="Y14" i="11"/>
  <c r="Z13" i="11"/>
  <c r="Y13" i="11"/>
  <c r="K13" i="11"/>
  <c r="Z12" i="11"/>
  <c r="Y12" i="11"/>
  <c r="K12" i="11"/>
  <c r="Z11" i="11"/>
  <c r="Y11" i="11"/>
  <c r="K11" i="11"/>
  <c r="Z10" i="11"/>
  <c r="Y10" i="11"/>
  <c r="K10" i="11"/>
  <c r="Z9" i="11"/>
  <c r="Y9" i="11"/>
  <c r="K9" i="11"/>
  <c r="Z8" i="11"/>
  <c r="Y8" i="11"/>
  <c r="K8" i="11"/>
  <c r="Z7" i="11"/>
  <c r="Y7" i="11"/>
  <c r="K7" i="11"/>
  <c r="Z6" i="11"/>
  <c r="Q3" i="11" s="1"/>
  <c r="Y6" i="11"/>
  <c r="K6" i="11"/>
  <c r="Z5" i="11"/>
  <c r="Y5" i="11"/>
  <c r="K5" i="11"/>
  <c r="Z4" i="11"/>
  <c r="Y4" i="11"/>
  <c r="K4" i="11"/>
  <c r="Z3" i="11"/>
  <c r="Y3" i="11"/>
  <c r="K12" i="1"/>
  <c r="K3" i="11"/>
  <c r="AA2" i="11"/>
  <c r="Y2" i="11"/>
  <c r="K2" i="11"/>
  <c r="K13" i="10"/>
  <c r="K12" i="10"/>
  <c r="K11" i="10"/>
  <c r="K10" i="10"/>
  <c r="K9" i="10"/>
  <c r="K8" i="10"/>
  <c r="K7" i="10"/>
  <c r="K6" i="10"/>
  <c r="K5" i="10"/>
  <c r="K4" i="10"/>
  <c r="K11" i="1"/>
  <c r="K3" i="10"/>
  <c r="K2" i="10"/>
  <c r="K13" i="9"/>
  <c r="K12" i="9"/>
  <c r="K11" i="9"/>
  <c r="K10" i="9"/>
  <c r="K9" i="9"/>
  <c r="K8" i="9"/>
  <c r="K7" i="9"/>
  <c r="K6" i="9"/>
  <c r="K5" i="9"/>
  <c r="K4" i="9"/>
  <c r="K10" i="1"/>
  <c r="K3" i="9"/>
  <c r="K2" i="9"/>
  <c r="K13" i="8"/>
  <c r="K12" i="8"/>
  <c r="K11" i="8"/>
  <c r="K10" i="8"/>
  <c r="K9" i="8"/>
  <c r="K8" i="8"/>
  <c r="K7" i="8"/>
  <c r="K6" i="8"/>
  <c r="K5" i="8"/>
  <c r="K4" i="8"/>
  <c r="K9" i="1"/>
  <c r="K3" i="8"/>
  <c r="K2" i="8"/>
  <c r="K13" i="7"/>
  <c r="K12" i="7"/>
  <c r="K11" i="7"/>
  <c r="K10" i="7"/>
  <c r="K9" i="7"/>
  <c r="K8" i="7"/>
  <c r="K7" i="7"/>
  <c r="K6" i="7"/>
  <c r="K5" i="7"/>
  <c r="K4" i="7"/>
  <c r="K8" i="1"/>
  <c r="K3" i="7"/>
  <c r="K2" i="7"/>
  <c r="Z14" i="6"/>
  <c r="Y14" i="6"/>
  <c r="Z13" i="6"/>
  <c r="Y13" i="6"/>
  <c r="K13" i="6"/>
  <c r="Z12" i="6"/>
  <c r="Y12" i="6"/>
  <c r="K12" i="6"/>
  <c r="Z11" i="6"/>
  <c r="Y11" i="6"/>
  <c r="K11" i="6"/>
  <c r="Z10" i="6"/>
  <c r="Y10" i="6"/>
  <c r="K10" i="6"/>
  <c r="Z9" i="6"/>
  <c r="Y9" i="6"/>
  <c r="K9" i="6"/>
  <c r="Z8" i="6"/>
  <c r="Y8" i="6"/>
  <c r="K8" i="6"/>
  <c r="Z7" i="6"/>
  <c r="Y7" i="6"/>
  <c r="K7" i="6"/>
  <c r="Z6" i="6"/>
  <c r="Y6" i="6"/>
  <c r="K6" i="6"/>
  <c r="Z5" i="6"/>
  <c r="Y5" i="6"/>
  <c r="K5" i="6"/>
  <c r="Z4" i="6"/>
  <c r="Y4" i="6"/>
  <c r="K4" i="6"/>
  <c r="Z3" i="6"/>
  <c r="Y3" i="6"/>
  <c r="K7" i="1"/>
  <c r="K3" i="6"/>
  <c r="AA2" i="6"/>
  <c r="Q3" i="6"/>
  <c r="K2" i="6"/>
  <c r="K13" i="5"/>
  <c r="K12" i="5"/>
  <c r="K11" i="5"/>
  <c r="K10" i="5"/>
  <c r="K9" i="5"/>
  <c r="K8" i="5"/>
  <c r="K7" i="5"/>
  <c r="K6" i="5"/>
  <c r="K5" i="5"/>
  <c r="K4" i="5"/>
  <c r="K6" i="1"/>
  <c r="K3" i="5"/>
  <c r="K2" i="5"/>
  <c r="K13" i="4"/>
  <c r="K12" i="4"/>
  <c r="K11" i="4"/>
  <c r="K10" i="4"/>
  <c r="Z14" i="4"/>
  <c r="Y14" i="4"/>
  <c r="Z13" i="4"/>
  <c r="Y13" i="4"/>
  <c r="Z12" i="4"/>
  <c r="Y12" i="4"/>
  <c r="Z11" i="4"/>
  <c r="Y11" i="4"/>
  <c r="Z10" i="4"/>
  <c r="Y10" i="4"/>
  <c r="Z9" i="4"/>
  <c r="Y9" i="4"/>
  <c r="K9" i="4"/>
  <c r="Z8" i="4"/>
  <c r="Y8" i="4"/>
  <c r="K8" i="4"/>
  <c r="Z7" i="4"/>
  <c r="Y7" i="4"/>
  <c r="K7" i="4"/>
  <c r="Z6" i="4"/>
  <c r="Y6" i="4"/>
  <c r="K6" i="4"/>
  <c r="Z5" i="4"/>
  <c r="Y5" i="4"/>
  <c r="K5" i="4"/>
  <c r="Z4" i="4"/>
  <c r="Y4" i="4"/>
  <c r="K4" i="4"/>
  <c r="Z3" i="4"/>
  <c r="Y3" i="4"/>
  <c r="K5" i="1"/>
  <c r="K3" i="4"/>
  <c r="AA2" i="4"/>
  <c r="Q3" i="4"/>
  <c r="K2" i="4"/>
  <c r="Z14" i="3"/>
  <c r="Y14" i="3"/>
  <c r="Z13" i="3"/>
  <c r="Y13" i="3"/>
  <c r="K13" i="3"/>
  <c r="Z12" i="3"/>
  <c r="Y12" i="3"/>
  <c r="K12" i="3"/>
  <c r="Z11" i="3"/>
  <c r="Y11" i="3"/>
  <c r="K11" i="3"/>
  <c r="Z10" i="3"/>
  <c r="Y10" i="3"/>
  <c r="K10" i="3"/>
  <c r="Z9" i="3"/>
  <c r="Y9" i="3"/>
  <c r="K9" i="3"/>
  <c r="Z8" i="3"/>
  <c r="Y8" i="3"/>
  <c r="K8" i="3"/>
  <c r="Z7" i="3"/>
  <c r="Y7" i="3"/>
  <c r="K7" i="3"/>
  <c r="Z6" i="3"/>
  <c r="Y6" i="3"/>
  <c r="K6" i="3"/>
  <c r="Z5" i="3"/>
  <c r="Y5" i="3"/>
  <c r="K5" i="3"/>
  <c r="Z4" i="3"/>
  <c r="Y4" i="3"/>
  <c r="K4" i="3"/>
  <c r="Z3" i="3"/>
  <c r="Y3" i="3"/>
  <c r="K4" i="1"/>
  <c r="K3" i="3"/>
  <c r="AA2" i="3"/>
  <c r="Q3" i="3"/>
  <c r="K2" i="3"/>
  <c r="K13" i="2"/>
  <c r="K12" i="2"/>
  <c r="K11" i="2"/>
  <c r="K10" i="2"/>
  <c r="K9" i="2"/>
  <c r="K8" i="2"/>
  <c r="K7" i="2"/>
  <c r="K6" i="2"/>
  <c r="K5" i="2"/>
  <c r="K4" i="2"/>
  <c r="K3" i="1"/>
  <c r="K3" i="2"/>
  <c r="K2" i="2"/>
  <c r="AC3" i="1" l="1"/>
  <c r="AC8" i="1"/>
  <c r="AC9" i="1"/>
  <c r="AC10" i="1"/>
  <c r="AC4" i="1"/>
  <c r="AC11" i="1"/>
  <c r="AC5" i="1"/>
  <c r="AC12" i="1"/>
  <c r="AC13" i="1"/>
  <c r="AC22" i="1"/>
  <c r="AC6" i="1"/>
  <c r="AC14" i="1"/>
  <c r="AC15" i="1"/>
  <c r="AC26" i="1"/>
  <c r="AC16" i="1"/>
  <c r="AC17" i="1"/>
  <c r="AC18" i="1"/>
  <c r="AC19" i="1"/>
  <c r="AC7" i="1"/>
  <c r="AC23" i="1"/>
  <c r="AC24" i="1"/>
  <c r="AC20" i="1"/>
  <c r="AC21" i="1"/>
  <c r="AC25" i="1"/>
  <c r="M26" i="1"/>
  <c r="L26" i="1"/>
  <c r="L22" i="1"/>
  <c r="M24" i="1"/>
  <c r="L24" i="1"/>
  <c r="L25" i="1"/>
  <c r="L23" i="1"/>
  <c r="L21" i="1"/>
  <c r="M20" i="1"/>
  <c r="L20" i="1"/>
  <c r="M25" i="1" l="1"/>
  <c r="M23" i="1"/>
  <c r="M22" i="1"/>
  <c r="M21" i="1"/>
  <c r="L15" i="1" l="1"/>
  <c r="M15" i="1" l="1"/>
  <c r="L19" i="1"/>
  <c r="M18" i="1"/>
  <c r="L18" i="1"/>
  <c r="L17" i="1"/>
  <c r="L16" i="1"/>
  <c r="M16" i="1"/>
  <c r="M14" i="1"/>
  <c r="L14" i="1"/>
  <c r="L13" i="1"/>
  <c r="L11" i="1"/>
  <c r="M10" i="1"/>
  <c r="L10" i="1"/>
  <c r="L9" i="1"/>
  <c r="L8" i="1"/>
  <c r="L7" i="1"/>
  <c r="L6" i="1"/>
  <c r="M5" i="1"/>
  <c r="L5" i="1"/>
  <c r="L4" i="1"/>
  <c r="L3" i="1"/>
  <c r="M8" i="1" l="1"/>
  <c r="L12" i="1"/>
  <c r="S3" i="1" s="1"/>
  <c r="P3" i="1" s="1"/>
  <c r="M3" i="1"/>
  <c r="M19" i="1"/>
  <c r="M17" i="1"/>
  <c r="M13" i="1"/>
  <c r="M12" i="1"/>
  <c r="T3" i="1" s="1"/>
  <c r="M11" i="1"/>
  <c r="M7" i="1"/>
  <c r="M9" i="1"/>
  <c r="M6" i="1"/>
  <c r="M4" i="1"/>
  <c r="H2" i="12" l="1"/>
  <c r="Q3" i="1" s="1"/>
  <c r="G2" i="12" l="1"/>
  <c r="F2" i="12"/>
  <c r="I2" i="12" l="1"/>
  <c r="O3" i="1" s="1"/>
  <c r="U3" i="1" l="1"/>
  <c r="V3" i="1" s="1"/>
  <c r="W3" i="1" l="1"/>
  <c r="K200" i="12"/>
  <c r="R3" i="1"/>
  <c r="X3" i="1" l="1"/>
  <c r="L1" i="12"/>
</calcChain>
</file>

<file path=xl/sharedStrings.xml><?xml version="1.0" encoding="utf-8"?>
<sst xmlns="http://schemas.openxmlformats.org/spreadsheetml/2006/main" count="1120" uniqueCount="104">
  <si>
    <t>Paskola</t>
  </si>
  <si>
    <t>Objektas</t>
  </si>
  <si>
    <t>Projekto reitingas</t>
  </si>
  <si>
    <t>Investicijos laikotarpis, mėn.</t>
  </si>
  <si>
    <t>Palūkanų mokėjimas</t>
  </si>
  <si>
    <t>Palūkanos</t>
  </si>
  <si>
    <t>Palūkanos, %</t>
  </si>
  <si>
    <t>Investicijos data</t>
  </si>
  <si>
    <t>Q</t>
  </si>
  <si>
    <t>Data</t>
  </si>
  <si>
    <t>Viso:</t>
  </si>
  <si>
    <t>Palūkanų pradžia</t>
  </si>
  <si>
    <t>LTV, %</t>
  </si>
  <si>
    <t>LTV max, %</t>
  </si>
  <si>
    <t>Užnerio butai III</t>
  </si>
  <si>
    <t>C</t>
  </si>
  <si>
    <t>Pušynas VII</t>
  </si>
  <si>
    <t>LT-262</t>
  </si>
  <si>
    <t>D</t>
  </si>
  <si>
    <t>Sodziaus 7A</t>
  </si>
  <si>
    <t>LT-264</t>
  </si>
  <si>
    <t>-</t>
  </si>
  <si>
    <t>Sutartis</t>
  </si>
  <si>
    <t>ID 44763</t>
  </si>
  <si>
    <t>Kauno 36-232</t>
  </si>
  <si>
    <t>LT-268</t>
  </si>
  <si>
    <t>Girinaičių 7</t>
  </si>
  <si>
    <t>LT-279</t>
  </si>
  <si>
    <t>B</t>
  </si>
  <si>
    <t>LT-285</t>
  </si>
  <si>
    <t>Piliarožių 10 VI</t>
  </si>
  <si>
    <t>LT-288</t>
  </si>
  <si>
    <t>Girios 112 II</t>
  </si>
  <si>
    <t>LT-296</t>
  </si>
  <si>
    <t>Girinaičių 7 II</t>
  </si>
  <si>
    <t>Pavadinimas</t>
  </si>
  <si>
    <t>Laikotarpis</t>
  </si>
  <si>
    <t xml:space="preserve">Premijos </t>
  </si>
  <si>
    <t>Vertė</t>
  </si>
  <si>
    <t>%</t>
  </si>
  <si>
    <t>Gryni</t>
  </si>
  <si>
    <t>Premija</t>
  </si>
  <si>
    <t>Vėlavimas</t>
  </si>
  <si>
    <t>Sfintii Arhangheli 21</t>
  </si>
  <si>
    <t>RO-360</t>
  </si>
  <si>
    <t>Grąžinta</t>
  </si>
  <si>
    <t>Įnešta</t>
  </si>
  <si>
    <t>Išimta</t>
  </si>
  <si>
    <t>Skirtumas</t>
  </si>
  <si>
    <t>Reitingas</t>
  </si>
  <si>
    <t>LT-364</t>
  </si>
  <si>
    <t>Dvibutis Sodybų 12</t>
  </si>
  <si>
    <t>Vienbutis Minsko 5A</t>
  </si>
  <si>
    <t>LT-363</t>
  </si>
  <si>
    <t>Pagojo 1 II</t>
  </si>
  <si>
    <t>LT-382</t>
  </si>
  <si>
    <t>LT-388</t>
  </si>
  <si>
    <t>Miškininkų 30 II</t>
  </si>
  <si>
    <t>LT-418</t>
  </si>
  <si>
    <t>Sūduvos 8-2</t>
  </si>
  <si>
    <t>Birelių namas II</t>
  </si>
  <si>
    <t>LT-424</t>
  </si>
  <si>
    <t>Papildomos</t>
  </si>
  <si>
    <t>Druskonio perlai VII</t>
  </si>
  <si>
    <t>LT-440</t>
  </si>
  <si>
    <t>LT-451</t>
  </si>
  <si>
    <t>Vingio namai XIV</t>
  </si>
  <si>
    <t>Vanagupės 36A-204 II</t>
  </si>
  <si>
    <t>LT-457</t>
  </si>
  <si>
    <t>LT-465</t>
  </si>
  <si>
    <t>Namas Panevėžyje</t>
  </si>
  <si>
    <t>Žemoji 52 XXIX“</t>
  </si>
  <si>
    <t>LT-466</t>
  </si>
  <si>
    <t>Tautvilo kotedžai XIV</t>
  </si>
  <si>
    <t>LT-477</t>
  </si>
  <si>
    <t>Suma</t>
  </si>
  <si>
    <t>Suteikta</t>
  </si>
  <si>
    <t>Planuotos</t>
  </si>
  <si>
    <t>Realios</t>
  </si>
  <si>
    <t>XIRR</t>
  </si>
  <si>
    <t>Horizonto 2A XII</t>
  </si>
  <si>
    <t>LT-481</t>
  </si>
  <si>
    <t>Kauno 36-118 II</t>
  </si>
  <si>
    <t>LT-484</t>
  </si>
  <si>
    <t>Vėluoja</t>
  </si>
  <si>
    <t>Paskolos pabaiga</t>
  </si>
  <si>
    <t>Investuota</t>
  </si>
  <si>
    <t>Planuojamas</t>
  </si>
  <si>
    <t>Grąžinimas</t>
  </si>
  <si>
    <t>Nr.</t>
  </si>
  <si>
    <t>Liko dienų</t>
  </si>
  <si>
    <t>Liko</t>
  </si>
  <si>
    <t>Pinigai</t>
  </si>
  <si>
    <t>Viso</t>
  </si>
  <si>
    <t>Eur.</t>
  </si>
  <si>
    <t>Vakaro 3A K1 III</t>
  </si>
  <si>
    <t>LT-558</t>
  </si>
  <si>
    <t>Realus</t>
  </si>
  <si>
    <t>Vėlavo/Anksčiau</t>
  </si>
  <si>
    <t>Užnerio butai XV</t>
  </si>
  <si>
    <t>LT-571</t>
  </si>
  <si>
    <t>Investuota, Eur</t>
  </si>
  <si>
    <t>Vienbutis Gilužiuose III</t>
  </si>
  <si>
    <t>LT-591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</si>
</sst>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.mm\.dd;@"/>
    <numFmt numFmtId="166" formatCode="yyyy\-mm\-dd;@"/>
  </numFmts>
  <fonts count="6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charset val="186"/>
      <scheme val="minor"/>
    </font>
    <font>
      <u/>
      <sz val="11"/>
      <color theme="10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/>
    <xf numFmtId="165" fontId="3" fillId="0" borderId="1" xfId="0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applyBorder="1"/>
    <xf numFmtId="2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0" borderId="1" xfId="1" applyFill="1" applyBorder="1" applyAlignment="1">
      <alignment horizontal="center"/>
    </xf>
    <xf numFmtId="0" fontId="5" fillId="0" borderId="1" xfId="1" applyBorder="1" applyAlignment="1">
      <alignment horizontal="center"/>
    </xf>
    <xf numFmtId="0" fontId="1" fillId="0" borderId="0" xfId="0" applyFont="1"/>
    <xf numFmtId="2" fontId="0" fillId="0" borderId="0" xfId="0" applyNumberFormat="1"/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1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E485D7-B2BA-42C6-937A-900E9A1FA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39EAD4-E07A-4257-8CE0-FEE5A53E3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180A35-B029-446C-8428-2E9EA9360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229A8B-F3F3-4BE1-8727-DC7A2B211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C2F4B5-CAB1-47E1-8A73-CBE8F66D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19</xdr:row>
      <xdr:rowOff>28575</xdr:rowOff>
    </xdr:from>
    <xdr:to>
      <xdr:col>0</xdr:col>
      <xdr:colOff>962025</xdr:colOff>
      <xdr:row>23</xdr:row>
      <xdr:rowOff>180975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E0160-C17C-4AF7-A996-43E75833B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625" y="3648075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19</xdr:row>
      <xdr:rowOff>28575</xdr:rowOff>
    </xdr:from>
    <xdr:to>
      <xdr:col>0</xdr:col>
      <xdr:colOff>962025</xdr:colOff>
      <xdr:row>23</xdr:row>
      <xdr:rowOff>180975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8835F4-DD0A-4713-9A85-F37B5D1BE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625" y="3648075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19</xdr:row>
      <xdr:rowOff>28575</xdr:rowOff>
    </xdr:from>
    <xdr:to>
      <xdr:col>0</xdr:col>
      <xdr:colOff>962025</xdr:colOff>
      <xdr:row>23</xdr:row>
      <xdr:rowOff>180975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A2A4BF-EF39-4D37-8E01-BEE172233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625" y="3648075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96B23-AB9F-4052-AAF6-4C6B3335B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19</xdr:row>
      <xdr:rowOff>28575</xdr:rowOff>
    </xdr:from>
    <xdr:to>
      <xdr:col>0</xdr:col>
      <xdr:colOff>962025</xdr:colOff>
      <xdr:row>23</xdr:row>
      <xdr:rowOff>180975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2E05F0-3B0A-43F4-87A0-0AAA040BE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625" y="3648075"/>
          <a:ext cx="914400" cy="914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19</xdr:row>
      <xdr:rowOff>28575</xdr:rowOff>
    </xdr:from>
    <xdr:to>
      <xdr:col>0</xdr:col>
      <xdr:colOff>962025</xdr:colOff>
      <xdr:row>23</xdr:row>
      <xdr:rowOff>180975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F1A2E9-B58F-4E36-B448-FD6ECF701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625" y="3648075"/>
          <a:ext cx="914400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19</xdr:row>
      <xdr:rowOff>28575</xdr:rowOff>
    </xdr:from>
    <xdr:to>
      <xdr:col>0</xdr:col>
      <xdr:colOff>962025</xdr:colOff>
      <xdr:row>23</xdr:row>
      <xdr:rowOff>180975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A0BF96-2C5B-4B6E-B63C-C975C26B2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625" y="3648075"/>
          <a:ext cx="914400" cy="914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19</xdr:row>
      <xdr:rowOff>28575</xdr:rowOff>
    </xdr:from>
    <xdr:to>
      <xdr:col>0</xdr:col>
      <xdr:colOff>962025</xdr:colOff>
      <xdr:row>23</xdr:row>
      <xdr:rowOff>180975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D0705A-5DD9-4DA0-8162-F093A90BC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625" y="3648075"/>
          <a:ext cx="914400" cy="9144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19</xdr:row>
      <xdr:rowOff>28575</xdr:rowOff>
    </xdr:from>
    <xdr:to>
      <xdr:col>0</xdr:col>
      <xdr:colOff>962025</xdr:colOff>
      <xdr:row>23</xdr:row>
      <xdr:rowOff>180975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9E4DE8-C656-4C9C-831B-83B7F6732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625" y="3648075"/>
          <a:ext cx="914400" cy="9144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19</xdr:row>
      <xdr:rowOff>28575</xdr:rowOff>
    </xdr:from>
    <xdr:to>
      <xdr:col>0</xdr:col>
      <xdr:colOff>962025</xdr:colOff>
      <xdr:row>23</xdr:row>
      <xdr:rowOff>180975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623111-2B0A-45C7-8958-A3A45FB4F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625" y="3648075"/>
          <a:ext cx="914400" cy="9144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19</xdr:row>
      <xdr:rowOff>28575</xdr:rowOff>
    </xdr:from>
    <xdr:to>
      <xdr:col>0</xdr:col>
      <xdr:colOff>962025</xdr:colOff>
      <xdr:row>23</xdr:row>
      <xdr:rowOff>180975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01AA9F-E704-4CC3-8A89-B66D72DFC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625" y="3648075"/>
          <a:ext cx="914400" cy="9144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19</xdr:row>
      <xdr:rowOff>28575</xdr:rowOff>
    </xdr:from>
    <xdr:to>
      <xdr:col>0</xdr:col>
      <xdr:colOff>962025</xdr:colOff>
      <xdr:row>23</xdr:row>
      <xdr:rowOff>180975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72A822-4C00-4A7A-937E-530CE05BA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625" y="3648075"/>
          <a:ext cx="914400" cy="9144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19</xdr:row>
      <xdr:rowOff>28575</xdr:rowOff>
    </xdr:from>
    <xdr:to>
      <xdr:col>0</xdr:col>
      <xdr:colOff>962025</xdr:colOff>
      <xdr:row>23</xdr:row>
      <xdr:rowOff>180975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16569F-6987-4A44-B7D7-EF1FB2948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625" y="3648075"/>
          <a:ext cx="914400" cy="9144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19</xdr:row>
      <xdr:rowOff>28575</xdr:rowOff>
    </xdr:from>
    <xdr:to>
      <xdr:col>0</xdr:col>
      <xdr:colOff>962025</xdr:colOff>
      <xdr:row>23</xdr:row>
      <xdr:rowOff>180975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B638E9-59DE-4707-9ADC-5DDFC65BB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625" y="3648075"/>
          <a:ext cx="914400" cy="9144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19</xdr:row>
      <xdr:rowOff>28575</xdr:rowOff>
    </xdr:from>
    <xdr:to>
      <xdr:col>0</xdr:col>
      <xdr:colOff>962025</xdr:colOff>
      <xdr:row>23</xdr:row>
      <xdr:rowOff>180975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482A5B-3688-4675-A313-98EFB56FA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625" y="3648075"/>
          <a:ext cx="914400" cy="9144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19</xdr:row>
      <xdr:rowOff>28575</xdr:rowOff>
    </xdr:from>
    <xdr:to>
      <xdr:col>0</xdr:col>
      <xdr:colOff>962025</xdr:colOff>
      <xdr:row>23</xdr:row>
      <xdr:rowOff>180975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85D1C8-0E8B-43E6-BFA2-9DEB511F8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625" y="3648075"/>
          <a:ext cx="914400" cy="9144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19</xdr:row>
      <xdr:rowOff>28575</xdr:rowOff>
    </xdr:from>
    <xdr:to>
      <xdr:col>0</xdr:col>
      <xdr:colOff>962025</xdr:colOff>
      <xdr:row>23</xdr:row>
      <xdr:rowOff>180975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1F4CB6-3569-4057-9C18-891F31454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625" y="3648075"/>
          <a:ext cx="914400" cy="9144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19</xdr:row>
      <xdr:rowOff>28575</xdr:rowOff>
    </xdr:from>
    <xdr:to>
      <xdr:col>0</xdr:col>
      <xdr:colOff>962025</xdr:colOff>
      <xdr:row>23</xdr:row>
      <xdr:rowOff>180975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96EAE4-8700-46E5-99FA-5365B7E53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625" y="3648075"/>
          <a:ext cx="914400" cy="9144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19</xdr:row>
      <xdr:rowOff>28575</xdr:rowOff>
    </xdr:from>
    <xdr:to>
      <xdr:col>0</xdr:col>
      <xdr:colOff>962025</xdr:colOff>
      <xdr:row>23</xdr:row>
      <xdr:rowOff>180975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3B297A-A039-4BF4-AC0F-EFFD533AA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625" y="3648075"/>
          <a:ext cx="914400" cy="9144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19</xdr:row>
      <xdr:rowOff>28575</xdr:rowOff>
    </xdr:from>
    <xdr:to>
      <xdr:col>0</xdr:col>
      <xdr:colOff>962025</xdr:colOff>
      <xdr:row>23</xdr:row>
      <xdr:rowOff>180975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E7B028-C507-4D07-87C7-9EF2A84BD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625" y="3648075"/>
          <a:ext cx="914400" cy="9144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19</xdr:row>
      <xdr:rowOff>28575</xdr:rowOff>
    </xdr:from>
    <xdr:to>
      <xdr:col>0</xdr:col>
      <xdr:colOff>962025</xdr:colOff>
      <xdr:row>23</xdr:row>
      <xdr:rowOff>180975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0827F1-E2D3-49A9-9538-2CFFE4CB5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625" y="3648075"/>
          <a:ext cx="914400" cy="9144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19</xdr:row>
      <xdr:rowOff>28575</xdr:rowOff>
    </xdr:from>
    <xdr:to>
      <xdr:col>0</xdr:col>
      <xdr:colOff>962025</xdr:colOff>
      <xdr:row>23</xdr:row>
      <xdr:rowOff>180975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89532F-1D7C-4862-BBC3-031BB4191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625" y="3648075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G1"/>
    </sheetView>
  </sheetViews>
  <sheetFormatPr defaultRowHeight="15" x14ac:dyDescent="0.25"/>
  <cols>
    <col min="1" max="1" width="5.7109375" customWidth="1"/>
    <col min="2" max="2" width="12.7109375" customWidth="1"/>
    <col min="3" max="3" width="40.7109375" customWidth="1"/>
    <col min="4" max="7" width="10.7109375" customWidth="1"/>
    <col min="8" max="9" width="12.7109375" customWidth="1"/>
    <col min="10" max="13" width="10.7109375" customWidth="1"/>
    <col min="14" max="14" width="5.7109375" customWidth="1"/>
    <col min="15" max="24" width="10.7109375" customWidth="1"/>
  </cols>
  <sheetData>
    <row r="1" spans="1:29" x14ac:dyDescent="0.25">
      <c r="A1" s="27" t="s">
        <v>0</v>
      </c>
      <c r="B1" s="28"/>
      <c r="C1" s="28"/>
      <c r="D1" s="28"/>
      <c r="E1" s="28"/>
      <c r="F1" s="28"/>
      <c r="G1" s="29"/>
      <c r="H1" s="30" t="s">
        <v>88</v>
      </c>
      <c r="I1" s="30"/>
      <c r="J1" s="30"/>
      <c r="K1" s="30"/>
      <c r="L1" s="30"/>
      <c r="M1" s="30"/>
      <c r="O1" s="30" t="s">
        <v>92</v>
      </c>
      <c r="P1" s="30"/>
      <c r="Q1" s="30"/>
      <c r="R1" s="30"/>
      <c r="S1" s="31" t="s">
        <v>45</v>
      </c>
      <c r="T1" s="31"/>
      <c r="U1" s="31" t="s">
        <v>38</v>
      </c>
      <c r="V1" s="31"/>
      <c r="W1" s="31"/>
      <c r="X1" s="31"/>
    </row>
    <row r="2" spans="1:29" x14ac:dyDescent="0.25">
      <c r="A2" s="6" t="s">
        <v>89</v>
      </c>
      <c r="B2" s="6" t="s">
        <v>9</v>
      </c>
      <c r="C2" s="6" t="s">
        <v>35</v>
      </c>
      <c r="D2" s="6" t="s">
        <v>36</v>
      </c>
      <c r="E2" s="6" t="s">
        <v>49</v>
      </c>
      <c r="F2" s="6" t="s">
        <v>5</v>
      </c>
      <c r="G2" s="6" t="s">
        <v>86</v>
      </c>
      <c r="H2" s="19" t="s">
        <v>87</v>
      </c>
      <c r="I2" s="19" t="s">
        <v>97</v>
      </c>
      <c r="J2" s="19" t="s">
        <v>91</v>
      </c>
      <c r="K2" s="19" t="s">
        <v>84</v>
      </c>
      <c r="L2" s="6" t="s">
        <v>0</v>
      </c>
      <c r="M2" s="6" t="s">
        <v>5</v>
      </c>
      <c r="O2" s="6" t="s">
        <v>46</v>
      </c>
      <c r="P2" s="6" t="s">
        <v>86</v>
      </c>
      <c r="Q2" s="6" t="s">
        <v>37</v>
      </c>
      <c r="R2" s="6" t="s">
        <v>40</v>
      </c>
      <c r="S2" s="6" t="s">
        <v>0</v>
      </c>
      <c r="T2" s="6" t="s">
        <v>5</v>
      </c>
      <c r="U2" s="6" t="s">
        <v>93</v>
      </c>
      <c r="V2" s="6" t="s">
        <v>94</v>
      </c>
      <c r="W2" s="6" t="s">
        <v>39</v>
      </c>
      <c r="X2" s="6" t="s">
        <v>79</v>
      </c>
      <c r="AC2" s="8" t="s">
        <v>84</v>
      </c>
    </row>
    <row r="3" spans="1:29" x14ac:dyDescent="0.25">
      <c r="A3" s="2">
        <v>1</v>
      </c>
      <c r="B3" s="11">
        <f>'Užnerio butai III'!B3</f>
        <v>45719</v>
      </c>
      <c r="C3" s="21" t="str">
        <f>'Užnerio butai III'!B2</f>
        <v>Užnerio butai III</v>
      </c>
      <c r="D3" s="2">
        <f>'Užnerio butai III'!B8</f>
        <v>12</v>
      </c>
      <c r="E3" s="2" t="str">
        <f>'Užnerio butai III'!B5</f>
        <v>C</v>
      </c>
      <c r="F3" s="14">
        <f>'Užnerio butai III'!B10</f>
        <v>0.105</v>
      </c>
      <c r="G3" s="4">
        <f>'Užnerio butai III'!B11</f>
        <v>100</v>
      </c>
      <c r="H3" s="11">
        <f>'Užnerio butai III'!B12</f>
        <v>46087</v>
      </c>
      <c r="I3" s="11">
        <f>'Užnerio butai III'!R3</f>
        <v>46091</v>
      </c>
      <c r="J3" s="10" t="str">
        <f ca="1">'Užnerio butai III'!B13</f>
        <v/>
      </c>
      <c r="K3" s="10" t="str">
        <f ca="1">'Užnerio butai III'!S3</f>
        <v/>
      </c>
      <c r="L3" s="4">
        <f>'Užnerio butai III'!N3</f>
        <v>100</v>
      </c>
      <c r="M3" s="4">
        <f>'Užnerio butai III'!P3</f>
        <v>10.77</v>
      </c>
      <c r="O3" s="4">
        <f>Pinigai!I2</f>
        <v>1030</v>
      </c>
      <c r="P3" s="4">
        <f>SUM(G3:G200)-S3</f>
        <v>1191.8300000000002</v>
      </c>
      <c r="Q3" s="4">
        <f>Pinigai!H2</f>
        <v>40</v>
      </c>
      <c r="R3" s="4">
        <f>U3-P3</f>
        <v>6.0099999999997635</v>
      </c>
      <c r="S3" s="4">
        <f>SUM(L3:L200)</f>
        <v>1377.57</v>
      </c>
      <c r="T3" s="4">
        <f>SUM(M3:M200)</f>
        <v>127.84</v>
      </c>
      <c r="U3" s="4">
        <f>O3+T3+Q3</f>
        <v>1197.8399999999999</v>
      </c>
      <c r="V3" s="4">
        <f>U3-O3</f>
        <v>167.83999999999992</v>
      </c>
      <c r="W3" s="14">
        <f>(U3-O3)/O3</f>
        <v>0.16295145631067953</v>
      </c>
      <c r="X3" s="14">
        <f ca="1">XIRR(Pinigai!K2:K200,Pinigai!A2:A200)</f>
        <v>0.12084302306175232</v>
      </c>
      <c r="AC3" s="4" t="str">
        <f ca="1">'Užnerio butai III'!AA2</f>
        <v/>
      </c>
    </row>
    <row r="4" spans="1:29" x14ac:dyDescent="0.25">
      <c r="A4" s="2">
        <v>2</v>
      </c>
      <c r="B4" s="11">
        <f>'Pušynas VII'!B3</f>
        <v>45721</v>
      </c>
      <c r="C4" s="21" t="str">
        <f>'Pušynas VII'!B2</f>
        <v>Pušynas VII</v>
      </c>
      <c r="D4" s="2">
        <f>'Pušynas VII'!B8</f>
        <v>11</v>
      </c>
      <c r="E4" s="2" t="str">
        <f>'Pušynas VII'!B5</f>
        <v>D</v>
      </c>
      <c r="F4" s="14">
        <f>'Pušynas VII'!B10</f>
        <v>0.115</v>
      </c>
      <c r="G4" s="4">
        <f>'Pušynas VII'!B11</f>
        <v>100</v>
      </c>
      <c r="H4" s="11">
        <f>'Pušynas VII'!B12</f>
        <v>46054</v>
      </c>
      <c r="I4" s="11">
        <f>'Pušynas VII'!R3</f>
        <v>46056</v>
      </c>
      <c r="J4" s="10" t="str">
        <f ca="1">'Pušynas VII'!B13</f>
        <v/>
      </c>
      <c r="K4" s="10" t="str">
        <f ca="1">'Pušynas VII'!S3</f>
        <v/>
      </c>
      <c r="L4" s="4">
        <f>'Pušynas VII'!N3</f>
        <v>100</v>
      </c>
      <c r="M4" s="4">
        <f>'Pušynas VII'!P3</f>
        <v>10.51</v>
      </c>
      <c r="AC4" s="4" t="str">
        <f ca="1">'Pušynas VII'!AA2</f>
        <v/>
      </c>
    </row>
    <row r="5" spans="1:29" x14ac:dyDescent="0.25">
      <c r="A5" s="2">
        <v>3</v>
      </c>
      <c r="B5" s="11">
        <f>'Sodziaus 7A'!B3</f>
        <v>45725</v>
      </c>
      <c r="C5" s="21" t="str">
        <f>'Sodziaus 7A'!B2</f>
        <v>Sodziaus 7A</v>
      </c>
      <c r="D5" s="2">
        <f>'Sodziaus 7A'!B8</f>
        <v>9</v>
      </c>
      <c r="E5" s="2" t="str">
        <f>'Sodziaus 7A'!B5</f>
        <v>C</v>
      </c>
      <c r="F5" s="14">
        <f>'Sodziaus 7A'!B10</f>
        <v>0.11</v>
      </c>
      <c r="G5" s="4">
        <f>'Sodziaus 7A'!B11</f>
        <v>100</v>
      </c>
      <c r="H5" s="11">
        <f>'Sodziaus 7A'!B12</f>
        <v>46005</v>
      </c>
      <c r="I5" s="11">
        <f>'Sodziaus 7A'!R3</f>
        <v>46049</v>
      </c>
      <c r="J5" s="10" t="str">
        <f ca="1">'Sodziaus 7A'!B13</f>
        <v/>
      </c>
      <c r="K5" s="10" t="str">
        <f ca="1">'Sodziaus 7A'!S3</f>
        <v/>
      </c>
      <c r="L5" s="4">
        <f>'Sodziaus 7A'!N3</f>
        <v>100</v>
      </c>
      <c r="M5" s="4">
        <f>'Sodziaus 7A'!P3</f>
        <v>11</v>
      </c>
      <c r="AC5" s="4" t="str">
        <f ca="1">'Sodziaus 7A'!AA2</f>
        <v/>
      </c>
    </row>
    <row r="6" spans="1:29" x14ac:dyDescent="0.25">
      <c r="A6" s="2">
        <v>4</v>
      </c>
      <c r="B6" s="11">
        <f>'Sodziaus 7A (1)'!B3</f>
        <v>45729</v>
      </c>
      <c r="C6" s="21" t="str">
        <f>'Sodziaus 7A (1)'!B2</f>
        <v>Sodziaus 7A</v>
      </c>
      <c r="D6" s="2">
        <f>'Sodziaus 7A (1)'!B8</f>
        <v>9</v>
      </c>
      <c r="E6" s="2" t="str">
        <f>'Sodziaus 7A (1)'!B5</f>
        <v>C</v>
      </c>
      <c r="F6" s="14">
        <f>'Sodziaus 7A (1)'!B10</f>
        <v>0.11</v>
      </c>
      <c r="G6" s="4">
        <f>'Sodziaus 7A (1)'!B11</f>
        <v>10</v>
      </c>
      <c r="H6" s="11">
        <f>'Sodziaus 7A (1)'!B12</f>
        <v>46005</v>
      </c>
      <c r="I6" s="11">
        <f>'Sodziaus 7A (1)'!R3</f>
        <v>46049</v>
      </c>
      <c r="J6" s="10" t="str">
        <f ca="1">'Sodziaus 7A (1)'!B13</f>
        <v/>
      </c>
      <c r="K6" s="10" t="str">
        <f ca="1">'Sodziaus 7A (1)'!S3</f>
        <v/>
      </c>
      <c r="L6" s="4">
        <f>'Sodziaus 7A (1)'!N3</f>
        <v>10</v>
      </c>
      <c r="M6" s="4">
        <f>'Sodziaus 7A (1)'!P3</f>
        <v>1.1000000000000001</v>
      </c>
      <c r="AC6" s="4" t="str">
        <f ca="1">'Sodziaus 7A (1)'!AA2</f>
        <v/>
      </c>
    </row>
    <row r="7" spans="1:29" x14ac:dyDescent="0.25">
      <c r="A7" s="2">
        <v>5</v>
      </c>
      <c r="B7" s="11">
        <f>'Kauno 36-232'!B3</f>
        <v>45743</v>
      </c>
      <c r="C7" s="21" t="str">
        <f>'Kauno 36-232'!B2</f>
        <v>Kauno 36-232</v>
      </c>
      <c r="D7" s="2">
        <f>'Kauno 36-232'!B8</f>
        <v>12</v>
      </c>
      <c r="E7" s="2" t="str">
        <f>'Kauno 36-232'!B5</f>
        <v>C</v>
      </c>
      <c r="F7" s="14">
        <f>'Kauno 36-232'!B10</f>
        <v>0.11</v>
      </c>
      <c r="G7" s="4">
        <f>'Kauno 36-232'!B11</f>
        <v>100</v>
      </c>
      <c r="H7" s="11">
        <f>'Kauno 36-232'!B12</f>
        <v>46112</v>
      </c>
      <c r="I7" s="11">
        <f>'Kauno 36-232'!R3</f>
        <v>46035</v>
      </c>
      <c r="J7" s="10" t="str">
        <f ca="1">'Kauno 36-232'!B13</f>
        <v/>
      </c>
      <c r="K7" s="10" t="str">
        <f ca="1">'Kauno 36-232'!S3</f>
        <v/>
      </c>
      <c r="L7" s="4">
        <f>'Kauno 36-232'!N3</f>
        <v>100</v>
      </c>
      <c r="M7" s="4">
        <f>'Kauno 36-232'!P3</f>
        <v>8.51</v>
      </c>
      <c r="AC7" s="4" t="str">
        <f ca="1">'Kauno 36-232'!AA2</f>
        <v/>
      </c>
    </row>
    <row r="8" spans="1:29" x14ac:dyDescent="0.25">
      <c r="A8" s="2">
        <v>6</v>
      </c>
      <c r="B8" s="11">
        <f>'Girinaičių 7'!B3</f>
        <v>45757</v>
      </c>
      <c r="C8" s="21" t="str">
        <f>'Girinaičių 7'!B2</f>
        <v>Girinaičių 7</v>
      </c>
      <c r="D8" s="2">
        <f>'Girinaičių 7'!B8</f>
        <v>6</v>
      </c>
      <c r="E8" s="2" t="str">
        <f>'Girinaičių 7'!B5</f>
        <v>B</v>
      </c>
      <c r="F8" s="14">
        <f>'Girinaičių 7'!B10</f>
        <v>0.105</v>
      </c>
      <c r="G8" s="4">
        <f>'Girinaičių 7'!B11</f>
        <v>100</v>
      </c>
      <c r="H8" s="11">
        <f>'Girinaičių 7'!B12</f>
        <v>45948</v>
      </c>
      <c r="I8" s="11">
        <f>'Girinaičių 7'!R3</f>
        <v>45911</v>
      </c>
      <c r="J8" s="10" t="str">
        <f ca="1">'Girinaičių 7'!B13</f>
        <v/>
      </c>
      <c r="K8" s="10" t="str">
        <f ca="1">'Girinaičių 7'!S3</f>
        <v/>
      </c>
      <c r="L8" s="4">
        <f>'Girinaičių 7'!N3</f>
        <v>100</v>
      </c>
      <c r="M8" s="4">
        <f>'Girinaičių 7'!P3</f>
        <v>4.41</v>
      </c>
      <c r="AC8" s="4" t="str">
        <f ca="1">'Girinaičių 7'!AA2</f>
        <v/>
      </c>
    </row>
    <row r="9" spans="1:29" x14ac:dyDescent="0.25">
      <c r="A9" s="2">
        <v>7</v>
      </c>
      <c r="B9" s="11">
        <f>'Piliarožių 10 VI'!B3</f>
        <v>45764</v>
      </c>
      <c r="C9" s="21" t="str">
        <f>'Piliarožių 10 VI'!B2</f>
        <v>Piliarožių 10 VI</v>
      </c>
      <c r="D9" s="2">
        <f>'Piliarožių 10 VI'!B8</f>
        <v>12</v>
      </c>
      <c r="E9" s="2" t="str">
        <f>'Piliarožių 10 VI'!B5</f>
        <v>C</v>
      </c>
      <c r="F9" s="14">
        <f>'Piliarožių 10 VI'!B10</f>
        <v>0.11</v>
      </c>
      <c r="G9" s="4">
        <f>'Piliarožių 10 VI'!B11</f>
        <v>10</v>
      </c>
      <c r="H9" s="11">
        <f>'Piliarožių 10 VI'!B12</f>
        <v>46136</v>
      </c>
      <c r="I9" s="11">
        <f>'Piliarožių 10 VI'!R3</f>
        <v>46105</v>
      </c>
      <c r="J9" s="10" t="str">
        <f ca="1">'Piliarožių 10 VI'!B13</f>
        <v/>
      </c>
      <c r="K9" s="10" t="str">
        <f ca="1">'Piliarožių 10 VI'!S3</f>
        <v/>
      </c>
      <c r="L9" s="4">
        <f>'Piliarožių 10 VI'!N3</f>
        <v>10</v>
      </c>
      <c r="M9" s="4">
        <f>'Piliarožių 10 VI'!P3</f>
        <v>0.94000000000000006</v>
      </c>
      <c r="AC9" s="4" t="str">
        <f ca="1">'Piliarožių 10 VI'!AA2</f>
        <v/>
      </c>
    </row>
    <row r="10" spans="1:29" x14ac:dyDescent="0.25">
      <c r="A10" s="2">
        <v>8</v>
      </c>
      <c r="B10" s="11">
        <f>'Girios 112 II'!B3</f>
        <v>45770</v>
      </c>
      <c r="C10" s="21" t="str">
        <f>'Girios 112 II'!B2</f>
        <v>Girios 112 II</v>
      </c>
      <c r="D10" s="2">
        <f>'Girios 112 II'!B8</f>
        <v>12</v>
      </c>
      <c r="E10" s="2" t="str">
        <f>'Girios 112 II'!B5</f>
        <v>C</v>
      </c>
      <c r="F10" s="14">
        <f>'Girios 112 II'!B10</f>
        <v>0.11</v>
      </c>
      <c r="G10" s="4">
        <f>'Girios 112 II'!B11</f>
        <v>100</v>
      </c>
      <c r="H10" s="11">
        <f>'Girios 112 II'!B12</f>
        <v>46140</v>
      </c>
      <c r="I10" s="11">
        <f>'Girios 112 II'!R3</f>
        <v>46073</v>
      </c>
      <c r="J10" s="10" t="str">
        <f ca="1">'Girios 112 II'!B13</f>
        <v/>
      </c>
      <c r="K10" s="10" t="str">
        <f ca="1">'Girios 112 II'!S3</f>
        <v/>
      </c>
      <c r="L10" s="4">
        <f>'Girios 112 II'!N3</f>
        <v>100</v>
      </c>
      <c r="M10" s="4">
        <f>'Girios 112 II'!P3</f>
        <v>9.39</v>
      </c>
      <c r="AC10" s="4" t="str">
        <f ca="1">'Girios 112 II'!AA2</f>
        <v/>
      </c>
    </row>
    <row r="11" spans="1:29" x14ac:dyDescent="0.25">
      <c r="A11" s="2">
        <v>9</v>
      </c>
      <c r="B11" s="11">
        <f>'Girinaičių 7 II'!B3</f>
        <v>45791</v>
      </c>
      <c r="C11" s="21" t="str">
        <f>'Girinaičių 7 II'!B2</f>
        <v>Girinaičių 7 II</v>
      </c>
      <c r="D11" s="2">
        <f>'Girinaičių 7 II'!B8</f>
        <v>6</v>
      </c>
      <c r="E11" s="2" t="str">
        <f>'Girinaičių 7 II'!B5</f>
        <v>B</v>
      </c>
      <c r="F11" s="14">
        <f>'Girinaičių 7 II'!B10</f>
        <v>0.105</v>
      </c>
      <c r="G11" s="4">
        <f>'Girinaičių 7 II'!B11</f>
        <v>100</v>
      </c>
      <c r="H11" s="11">
        <f>'Girinaičių 7 II'!B12</f>
        <v>45975</v>
      </c>
      <c r="I11" s="11">
        <f>'Girinaičių 7 II'!R3</f>
        <v>45912</v>
      </c>
      <c r="J11" s="10" t="str">
        <f ca="1">'Girinaičių 7 II'!B13</f>
        <v/>
      </c>
      <c r="K11" s="10" t="str">
        <f ca="1">'Girinaičių 7 II'!S3</f>
        <v/>
      </c>
      <c r="L11" s="4">
        <f>'Girinaičių 7 II'!N3</f>
        <v>100</v>
      </c>
      <c r="M11" s="4">
        <f>'Girinaičių 7 II'!P3</f>
        <v>3.41</v>
      </c>
      <c r="AC11" s="4" t="str">
        <f ca="1">'Girinaičių 7 II'!AA2</f>
        <v/>
      </c>
    </row>
    <row r="12" spans="1:29" x14ac:dyDescent="0.25">
      <c r="A12" s="2">
        <v>10</v>
      </c>
      <c r="B12" s="11">
        <f>'Sfintii Arhangheli 21'!B3</f>
        <v>45908</v>
      </c>
      <c r="C12" s="21" t="str">
        <f>'Sfintii Arhangheli 21'!B2</f>
        <v>Sfintii Arhangheli 21</v>
      </c>
      <c r="D12" s="2">
        <f>'Sfintii Arhangheli 21'!B8</f>
        <v>12</v>
      </c>
      <c r="E12" s="2" t="str">
        <f>'Sfintii Arhangheli 21'!B5</f>
        <v>B</v>
      </c>
      <c r="F12" s="14">
        <f>'Sfintii Arhangheli 21'!B10</f>
        <v>0.105</v>
      </c>
      <c r="G12" s="2">
        <f>'Sfintii Arhangheli 21'!B11</f>
        <v>123.24</v>
      </c>
      <c r="H12" s="11">
        <f>'Sfintii Arhangheli 21'!B12</f>
        <v>46274</v>
      </c>
      <c r="I12" s="11">
        <f>'Sfintii Arhangheli 21'!R3</f>
        <v>46267</v>
      </c>
      <c r="J12" s="10" t="str">
        <f ca="1">'Sfintii Arhangheli 21'!B13</f>
        <v/>
      </c>
      <c r="K12" s="10" t="str">
        <f ca="1">'Sfintii Arhangheli 21'!S3</f>
        <v/>
      </c>
      <c r="L12" s="4">
        <f>'Sfintii Arhangheli 21'!N3</f>
        <v>123.24</v>
      </c>
      <c r="M12" s="4">
        <f>'Sfintii Arhangheli 21'!P3</f>
        <v>12.740000000000002</v>
      </c>
      <c r="AC12" s="4" t="str">
        <f ca="1">'Sfintii Arhangheli 21'!AA2</f>
        <v/>
      </c>
    </row>
    <row r="13" spans="1:29" x14ac:dyDescent="0.25">
      <c r="A13" s="2">
        <v>11</v>
      </c>
      <c r="B13" s="11">
        <f>'Dvibutis Sodybų 12'!B3</f>
        <v>45912</v>
      </c>
      <c r="C13" s="21" t="str">
        <f>'Dvibutis Sodybų 12'!B2</f>
        <v>Dvibutis Sodybų 12</v>
      </c>
      <c r="D13" s="2">
        <f>'Dvibutis Sodybų 12'!B8</f>
        <v>6</v>
      </c>
      <c r="E13" s="2" t="str">
        <f>'Dvibutis Sodybų 12'!B5</f>
        <v>C</v>
      </c>
      <c r="F13" s="14">
        <f>'Dvibutis Sodybų 12'!B10</f>
        <v>0.09</v>
      </c>
      <c r="G13" s="4">
        <f>'Dvibutis Sodybų 12'!B11</f>
        <v>100</v>
      </c>
      <c r="H13" s="11">
        <f>'Dvibutis Sodybų 12'!B12</f>
        <v>46098</v>
      </c>
      <c r="I13" s="11">
        <f>'Dvibutis Sodybų 12'!R3</f>
        <v>46084</v>
      </c>
      <c r="J13" s="10" t="str">
        <f ca="1">'Dvibutis Sodybų 12'!B13</f>
        <v/>
      </c>
      <c r="K13" s="10" t="str">
        <f ca="1">'Dvibutis Sodybų 12'!S3</f>
        <v/>
      </c>
      <c r="L13" s="4">
        <f>'Dvibutis Sodybų 12'!N3</f>
        <v>100</v>
      </c>
      <c r="M13" s="4">
        <f>'Dvibutis Sodybų 12'!P3</f>
        <v>4.1500000000000004</v>
      </c>
      <c r="AC13" s="4" t="str">
        <f ca="1">'Dvibutis Sodybų 12'!AA2</f>
        <v/>
      </c>
    </row>
    <row r="14" spans="1:29" x14ac:dyDescent="0.25">
      <c r="A14" s="2">
        <v>12</v>
      </c>
      <c r="B14" s="11">
        <f>'Vienbutis Minsko 5A'!B3</f>
        <v>45915</v>
      </c>
      <c r="C14" s="21" t="str">
        <f>'Vienbutis Minsko 5A'!B2</f>
        <v>Vienbutis Minsko 5A</v>
      </c>
      <c r="D14" s="2">
        <f>'Vienbutis Minsko 5A'!B8</f>
        <v>12</v>
      </c>
      <c r="E14" s="2" t="str">
        <f>'Vienbutis Minsko 5A'!B5</f>
        <v>C</v>
      </c>
      <c r="F14" s="14">
        <f>'Vienbutis Minsko 5A'!B10</f>
        <v>0.09</v>
      </c>
      <c r="G14" s="4">
        <f>'Vienbutis Minsko 5A'!B11</f>
        <v>101.49</v>
      </c>
      <c r="H14" s="11">
        <f>'Vienbutis Minsko 5A'!B12</f>
        <v>46281</v>
      </c>
      <c r="I14" s="11" t="str">
        <f>'Vienbutis Minsko 5A'!R3</f>
        <v/>
      </c>
      <c r="J14" s="10">
        <f ca="1">'Vienbutis Minsko 5A'!B13</f>
        <v>-14</v>
      </c>
      <c r="K14" s="10">
        <f ca="1">'Vienbutis Minsko 5A'!S3</f>
        <v>14</v>
      </c>
      <c r="L14" s="4">
        <f>'Vienbutis Minsko 5A'!N3</f>
        <v>0</v>
      </c>
      <c r="M14" s="4">
        <f>'Vienbutis Minsko 5A'!P3</f>
        <v>7.2199999999999989</v>
      </c>
      <c r="AC14" s="4" t="str">
        <f ca="1">'Vienbutis Minsko 5A'!AA2</f>
        <v>+</v>
      </c>
    </row>
    <row r="15" spans="1:29" x14ac:dyDescent="0.25">
      <c r="A15" s="2">
        <v>13</v>
      </c>
      <c r="B15" s="11">
        <f>'Pagojo 1 II'!B3</f>
        <v>45950</v>
      </c>
      <c r="C15" s="21" t="str">
        <f>'Pagojo 1 II'!B2</f>
        <v>Pagojo 1 II</v>
      </c>
      <c r="D15" s="2">
        <f>'Pagojo 1 II'!B8</f>
        <v>9</v>
      </c>
      <c r="E15" s="2" t="str">
        <f>'Pagojo 1 II'!B5</f>
        <v>B</v>
      </c>
      <c r="F15" s="14">
        <f>'Pagojo 1 II'!B10</f>
        <v>0.08</v>
      </c>
      <c r="G15" s="4">
        <f>'Pagojo 1 II'!B11</f>
        <v>108.26</v>
      </c>
      <c r="H15" s="11">
        <f>'Pagojo 1 II'!B12</f>
        <v>46224</v>
      </c>
      <c r="I15" s="11">
        <f>'Pagojo 1 II'!R3</f>
        <v>46072</v>
      </c>
      <c r="J15" s="10" t="str">
        <f ca="1">'Pagojo 1 II'!B13</f>
        <v/>
      </c>
      <c r="K15" s="10" t="str">
        <f ca="1">'Pagojo 1 II'!S3</f>
        <v/>
      </c>
      <c r="L15" s="4">
        <f>'Pagojo 1 II'!N3</f>
        <v>108.26</v>
      </c>
      <c r="M15" s="4">
        <f>'Pagojo 1 II'!P3</f>
        <v>2.8600000000000003</v>
      </c>
      <c r="AC15" s="4" t="str">
        <f ca="1">'Pagojo 1 II'!AA2</f>
        <v/>
      </c>
    </row>
    <row r="16" spans="1:29" x14ac:dyDescent="0.25">
      <c r="A16" s="2">
        <v>14</v>
      </c>
      <c r="B16" s="11">
        <f>'Miškininkų 30 II'!B3</f>
        <v>45958</v>
      </c>
      <c r="C16" s="21" t="str">
        <f>'Miškininkų 30 II'!B2</f>
        <v>Miškininkų 30 II</v>
      </c>
      <c r="D16" s="2">
        <f>'Miškininkų 30 II'!B8</f>
        <v>12</v>
      </c>
      <c r="E16" s="2" t="str">
        <f>'Miškininkų 30 II'!B5</f>
        <v>C</v>
      </c>
      <c r="F16" s="14">
        <f>'Miškininkų 30 II'!B10</f>
        <v>0.09</v>
      </c>
      <c r="G16" s="4">
        <f>'Miškininkų 30 II'!B11</f>
        <v>10</v>
      </c>
      <c r="H16" s="11">
        <f>'Miškininkų 30 II'!B12</f>
        <v>46332</v>
      </c>
      <c r="I16" s="11" t="str">
        <f>'Miškininkų 30 II'!R3</f>
        <v/>
      </c>
      <c r="J16" s="10">
        <f ca="1">'Miškininkų 30 II'!B13</f>
        <v>37</v>
      </c>
      <c r="K16" s="10" t="str">
        <f ca="1">'Miškininkų 30 II'!S3</f>
        <v/>
      </c>
      <c r="L16" s="4">
        <f>'Miškininkų 30 II'!N3</f>
        <v>0</v>
      </c>
      <c r="M16" s="4">
        <f>'Miškininkų 30 II'!P3</f>
        <v>0.75</v>
      </c>
      <c r="AC16" s="4" t="str">
        <f ca="1">'Miškininkų 30 II'!AA2</f>
        <v/>
      </c>
    </row>
    <row r="17" spans="1:29" x14ac:dyDescent="0.25">
      <c r="A17" s="2">
        <v>15</v>
      </c>
      <c r="B17" s="11">
        <f>'Sūduvos 8-2'!B3</f>
        <v>46003</v>
      </c>
      <c r="C17" s="21" t="str">
        <f>'Sūduvos 8-2'!B2</f>
        <v>Sūduvos 8-2</v>
      </c>
      <c r="D17" s="2">
        <f>'Sūduvos 8-2'!B8</f>
        <v>12</v>
      </c>
      <c r="E17" s="2" t="str">
        <f>'Sūduvos 8-2'!B5</f>
        <v>C</v>
      </c>
      <c r="F17" s="14">
        <f>'Sūduvos 8-2'!B10</f>
        <v>9.5000000000000001E-2</v>
      </c>
      <c r="G17" s="4">
        <f>'Sūduvos 8-2'!B11</f>
        <v>106.06</v>
      </c>
      <c r="H17" s="11">
        <f>'Sūduvos 8-2'!B12</f>
        <v>46371</v>
      </c>
      <c r="I17" s="11" t="str">
        <f>'Sūduvos 8-2'!R3</f>
        <v/>
      </c>
      <c r="J17" s="10">
        <f ca="1">'Sūduvos 8-2'!B13</f>
        <v>76</v>
      </c>
      <c r="K17" s="10" t="str">
        <f ca="1">'Sūduvos 8-2'!S3</f>
        <v/>
      </c>
      <c r="L17" s="4">
        <f>'Sūduvos 8-2'!N3</f>
        <v>0</v>
      </c>
      <c r="M17" s="4">
        <f>'Sūduvos 8-2'!P3</f>
        <v>5.54</v>
      </c>
      <c r="AC17" s="4" t="str">
        <f ca="1">'Sūduvos 8-2'!AA2</f>
        <v/>
      </c>
    </row>
    <row r="18" spans="1:29" x14ac:dyDescent="0.25">
      <c r="A18" s="2">
        <v>16</v>
      </c>
      <c r="B18" s="11">
        <f>'Birelių namas II'!B3</f>
        <v>46010</v>
      </c>
      <c r="C18" s="21" t="str">
        <f>'Birelių namas II'!B2</f>
        <v>Birelių namas II</v>
      </c>
      <c r="D18" s="2">
        <f>'Birelių namas II'!B8</f>
        <v>12</v>
      </c>
      <c r="E18" s="2" t="str">
        <f>'Birelių namas II'!B5</f>
        <v>B</v>
      </c>
      <c r="F18" s="14">
        <f>'Birelių namas II'!B10</f>
        <v>8.2500000000000004E-2</v>
      </c>
      <c r="G18" s="4">
        <f>'Birelių namas II'!B11</f>
        <v>10</v>
      </c>
      <c r="H18" s="11">
        <f>'Birelių namas II'!B12</f>
        <v>46378</v>
      </c>
      <c r="I18" s="11" t="str">
        <f>'Birelių namas II'!R3</f>
        <v/>
      </c>
      <c r="J18" s="10">
        <f ca="1">'Birelių namas II'!B13</f>
        <v>83</v>
      </c>
      <c r="K18" s="10" t="str">
        <f ca="1">'Birelių namas II'!S3</f>
        <v/>
      </c>
      <c r="L18" s="4">
        <f>'Birelių namas II'!N3</f>
        <v>0</v>
      </c>
      <c r="M18" s="4">
        <f>'Birelių namas II'!P3</f>
        <v>0.65</v>
      </c>
      <c r="AC18" s="4" t="str">
        <f ca="1">'Birelių namas II'!AA2</f>
        <v/>
      </c>
    </row>
    <row r="19" spans="1:29" x14ac:dyDescent="0.25">
      <c r="A19" s="2">
        <v>17</v>
      </c>
      <c r="B19" s="11">
        <f>'Druskonio perlai VII'!B3</f>
        <v>46035</v>
      </c>
      <c r="C19" s="21" t="str">
        <f>'Druskonio perlai VII'!B2</f>
        <v>Druskonio perlai VII</v>
      </c>
      <c r="D19" s="2">
        <f>'Druskonio perlai VII'!B8</f>
        <v>12</v>
      </c>
      <c r="E19" s="2" t="str">
        <f>'Druskonio perlai VII'!B5</f>
        <v>C</v>
      </c>
      <c r="F19" s="14">
        <f>'Druskonio perlai VII'!B10</f>
        <v>9.5000000000000001E-2</v>
      </c>
      <c r="G19" s="4">
        <f>'Druskonio perlai VII'!B11</f>
        <v>118.77</v>
      </c>
      <c r="H19" s="11">
        <f>'Druskonio perlai VII'!B12</f>
        <v>46408</v>
      </c>
      <c r="I19" s="11">
        <f>'Druskonio perlai VII'!R3</f>
        <v>46086</v>
      </c>
      <c r="J19" s="10" t="str">
        <f ca="1">'Druskonio perlai VII'!B13</f>
        <v/>
      </c>
      <c r="K19" s="10" t="str">
        <f ca="1">'Druskonio perlai VII'!S3</f>
        <v/>
      </c>
      <c r="L19" s="4">
        <f>'Druskonio perlai VII'!N3</f>
        <v>118.77</v>
      </c>
      <c r="M19" s="4">
        <f>'Druskonio perlai VII'!P3</f>
        <v>3.35</v>
      </c>
      <c r="AC19" s="4" t="str">
        <f ca="1">'Druskonio perlai VII'!AA2</f>
        <v/>
      </c>
    </row>
    <row r="20" spans="1:29" x14ac:dyDescent="0.25">
      <c r="A20" s="2">
        <v>18</v>
      </c>
      <c r="B20" s="11">
        <f>'Vingio namai XIV'!B3</f>
        <v>46049</v>
      </c>
      <c r="C20" s="22" t="str">
        <f>'Vingio namai XIV'!B2</f>
        <v>Vingio namai XIV</v>
      </c>
      <c r="D20" s="2">
        <f>'Vingio namai XIV'!B8</f>
        <v>12</v>
      </c>
      <c r="E20" s="2" t="str">
        <f>'Vingio namai XIV'!B5</f>
        <v>C</v>
      </c>
      <c r="F20" s="14">
        <f>'Vingio namai XIV'!B10</f>
        <v>9.5000000000000001E-2</v>
      </c>
      <c r="G20" s="4">
        <f>'Vingio namai XIV'!B11</f>
        <v>123.63</v>
      </c>
      <c r="H20" s="11">
        <f>'Vingio namai XIV'!B12</f>
        <v>46420</v>
      </c>
      <c r="I20" s="11" t="str">
        <f>'Vingio namai XIV'!R3</f>
        <v/>
      </c>
      <c r="J20" s="10">
        <f ca="1">'Vingio namai XIV'!B13</f>
        <v>125</v>
      </c>
      <c r="K20" s="10" t="str">
        <f ca="1">'Vingio namai XIV'!S3</f>
        <v/>
      </c>
      <c r="L20" s="4">
        <f>'Vingio namai XIV'!N3</f>
        <v>0</v>
      </c>
      <c r="M20" s="4">
        <f>'Vingio namai XIV'!P3</f>
        <v>6.9499999999999993</v>
      </c>
      <c r="AC20" s="4" t="str">
        <f ca="1">'Vingio namai XIV'!AA2</f>
        <v/>
      </c>
    </row>
    <row r="21" spans="1:29" x14ac:dyDescent="0.25">
      <c r="A21" s="2">
        <v>19</v>
      </c>
      <c r="B21" s="11">
        <f>'Vanagupės 36A-204 II'!B3</f>
        <v>46056</v>
      </c>
      <c r="C21" s="22" t="str">
        <f>'Vanagupės 36A-204 II'!B2</f>
        <v>Vanagupės 36A-204 II</v>
      </c>
      <c r="D21" s="2">
        <f>'Vanagupės 36A-204 II'!B8</f>
        <v>9</v>
      </c>
      <c r="E21" s="2" t="str">
        <f>'Vanagupės 36A-204 II'!B5</f>
        <v>B</v>
      </c>
      <c r="F21" s="14">
        <f>'Vanagupės 36A-204 II'!B10</f>
        <v>8.5000000000000006E-2</v>
      </c>
      <c r="G21" s="4">
        <f>'Vanagupės 36A-204 II'!B11</f>
        <v>103.62</v>
      </c>
      <c r="H21" s="11">
        <f>'Vanagupės 36A-204 II'!B12</f>
        <v>46330</v>
      </c>
      <c r="I21" s="11">
        <f>'Vanagupės 36A-204 II'!R3</f>
        <v>46211</v>
      </c>
      <c r="J21" s="10" t="str">
        <f ca="1">'Vanagupės 36A-204 II'!B13</f>
        <v/>
      </c>
      <c r="K21" s="10" t="str">
        <f ca="1">'Vanagupės 36A-204 II'!S3</f>
        <v/>
      </c>
      <c r="L21" s="4">
        <f>'Vanagupės 36A-204 II'!N3</f>
        <v>103.62</v>
      </c>
      <c r="M21" s="4">
        <f>'Vanagupės 36A-204 II'!P3</f>
        <v>3.8000000000000003</v>
      </c>
      <c r="AC21" s="4" t="str">
        <f ca="1">'Vanagupės 36A-204 II'!AA2</f>
        <v/>
      </c>
    </row>
    <row r="22" spans="1:29" x14ac:dyDescent="0.25">
      <c r="A22" s="2">
        <v>20</v>
      </c>
      <c r="B22" s="11">
        <f>'Namas Panevėžyje'!B3</f>
        <v>46072</v>
      </c>
      <c r="C22" s="22" t="str">
        <f>'Namas Panevėžyje'!B2</f>
        <v>Namas Panevėžyje</v>
      </c>
      <c r="D22" s="2">
        <f>'Namas Panevėžyje'!B8</f>
        <v>9</v>
      </c>
      <c r="E22" s="2" t="str">
        <f>'Namas Panevėžyje'!B5</f>
        <v>B</v>
      </c>
      <c r="F22" s="14">
        <f>'Namas Panevėžyje'!B10</f>
        <v>8.5000000000000006E-2</v>
      </c>
      <c r="G22" s="4">
        <f>'Namas Panevėžyje'!B11</f>
        <v>157.15</v>
      </c>
      <c r="H22" s="11">
        <f>'Namas Panevėžyje'!B12</f>
        <v>46346</v>
      </c>
      <c r="I22" s="11" t="str">
        <f>'Namas Panevėžyje'!R3</f>
        <v/>
      </c>
      <c r="J22" s="10">
        <f ca="1">'Namas Panevėžyje'!B13</f>
        <v>51</v>
      </c>
      <c r="K22" s="10" t="str">
        <f ca="1">'Namas Panevėžyje'!S3</f>
        <v/>
      </c>
      <c r="L22" s="4">
        <f>'Namas Panevėžyje'!N3</f>
        <v>0</v>
      </c>
      <c r="M22" s="4">
        <f>'Namas Panevėžyje'!P3</f>
        <v>7.08</v>
      </c>
      <c r="AC22" s="4" t="str">
        <f ca="1">'Namas Panevėžyje'!AA2</f>
        <v/>
      </c>
    </row>
    <row r="23" spans="1:29" x14ac:dyDescent="0.25">
      <c r="A23" s="2">
        <v>21</v>
      </c>
      <c r="B23" s="11">
        <f>'Žemoji 52 XXIX“'!B3</f>
        <v>46073</v>
      </c>
      <c r="C23" s="22" t="str">
        <f>'Žemoji 52 XXIX“'!B2</f>
        <v>Žemoji 52 XXIX“</v>
      </c>
      <c r="D23" s="2">
        <f>'Žemoji 52 XXIX“'!B8</f>
        <v>5</v>
      </c>
      <c r="E23" s="2" t="str">
        <f>'Žemoji 52 XXIX“'!B5</f>
        <v>C</v>
      </c>
      <c r="F23" s="14">
        <f>'Žemoji 52 XXIX“'!B10</f>
        <v>9.5000000000000001E-2</v>
      </c>
      <c r="G23" s="4">
        <f>'Žemoji 52 XXIX“'!B11</f>
        <v>103.68</v>
      </c>
      <c r="H23" s="11">
        <f>'Žemoji 52 XXIX“'!B12</f>
        <v>46220</v>
      </c>
      <c r="I23" s="11">
        <f>'Žemoji 52 XXIX“'!R3</f>
        <v>46232</v>
      </c>
      <c r="J23" s="10" t="str">
        <f ca="1">'Žemoji 52 XXIX“'!B13</f>
        <v/>
      </c>
      <c r="K23" s="10" t="str">
        <f ca="1">'Žemoji 52 XXIX“'!S3</f>
        <v/>
      </c>
      <c r="L23" s="4">
        <f>'Žemoji 52 XXIX“'!N3</f>
        <v>103.68</v>
      </c>
      <c r="M23" s="4">
        <f>'Žemoji 52 XXIX“'!P3</f>
        <v>4.5199999999999996</v>
      </c>
      <c r="AC23" s="4" t="str">
        <f ca="1">'Žemoji 52 XXIX“'!AA2</f>
        <v/>
      </c>
    </row>
    <row r="24" spans="1:29" x14ac:dyDescent="0.25">
      <c r="A24" s="2">
        <v>22</v>
      </c>
      <c r="B24" s="11">
        <f>'Horizonto 2A XII'!B3</f>
        <v>46091</v>
      </c>
      <c r="C24" s="22" t="str">
        <f>'Horizonto 2A XII'!B2</f>
        <v>Horizonto 2A XII</v>
      </c>
      <c r="D24" s="2">
        <f>'Horizonto 2A XII'!B8</f>
        <v>9</v>
      </c>
      <c r="E24" s="2" t="str">
        <f>'Horizonto 2A XII'!B5</f>
        <v>C</v>
      </c>
      <c r="F24" s="14">
        <f>'Horizonto 2A XII'!B10</f>
        <v>9.5000000000000001E-2</v>
      </c>
      <c r="G24" s="4">
        <f>'Horizonto 2A XII'!B11</f>
        <v>100</v>
      </c>
      <c r="H24" s="11">
        <f>'Horizonto 2A XII'!B12</f>
        <v>46365</v>
      </c>
      <c r="I24" s="11" t="str">
        <f>'Horizonto 2A XII'!R3</f>
        <v/>
      </c>
      <c r="J24" s="10">
        <f ca="1">'Horizonto 2A XII'!B13</f>
        <v>70</v>
      </c>
      <c r="K24" s="10">
        <f ca="1">'Horizonto 2A XII'!S3</f>
        <v>92</v>
      </c>
      <c r="L24" s="4">
        <f>'Horizonto 2A XII'!N3</f>
        <v>0</v>
      </c>
      <c r="M24" s="4">
        <f>'Horizonto 2A XII'!P3</f>
        <v>0</v>
      </c>
      <c r="AC24" s="4" t="str">
        <f ca="1">'Horizonto 2A XII'!AA2</f>
        <v>+</v>
      </c>
    </row>
    <row r="25" spans="1:29" x14ac:dyDescent="0.25">
      <c r="A25" s="2">
        <v>23</v>
      </c>
      <c r="B25" s="11">
        <f>'Tautvilo kotedžai XIV'!B3</f>
        <v>46088</v>
      </c>
      <c r="C25" s="22" t="str">
        <f>'Tautvilo kotedžai XIV'!B2</f>
        <v>Tautvilo kotedžai XIV</v>
      </c>
      <c r="D25" s="2">
        <f>'Tautvilo kotedžai XIV'!B8</f>
        <v>16</v>
      </c>
      <c r="E25" s="2" t="str">
        <f>'Tautvilo kotedžai XIV'!B5</f>
        <v>C</v>
      </c>
      <c r="F25" s="14">
        <f>'Tautvilo kotedžai XIV'!B10</f>
        <v>0.1</v>
      </c>
      <c r="G25" s="4">
        <f>'Tautvilo kotedžai XIV'!B11</f>
        <v>100</v>
      </c>
      <c r="H25" s="11">
        <f>'Tautvilo kotedžai XIV'!B12</f>
        <v>46549</v>
      </c>
      <c r="I25" s="11" t="str">
        <f>'Tautvilo kotedžai XIV'!R3</f>
        <v/>
      </c>
      <c r="J25" s="10">
        <f ca="1">'Tautvilo kotedžai XIV'!B13</f>
        <v>254</v>
      </c>
      <c r="K25" s="10" t="str">
        <f ca="1">'Tautvilo kotedžai XIV'!S3</f>
        <v/>
      </c>
      <c r="L25" s="4">
        <f>'Tautvilo kotedžai XIV'!N3</f>
        <v>0</v>
      </c>
      <c r="M25" s="4">
        <f>'Tautvilo kotedžai XIV'!P3</f>
        <v>5.6400000000000006</v>
      </c>
      <c r="AC25" s="4" t="str">
        <f ca="1">'Tautvilo kotedžai XIV'!AA2</f>
        <v/>
      </c>
    </row>
    <row r="26" spans="1:29" x14ac:dyDescent="0.25">
      <c r="A26" s="2">
        <v>24</v>
      </c>
      <c r="B26" s="11">
        <f>'Kauno 36-118 II'!B3</f>
        <v>46095</v>
      </c>
      <c r="C26" s="22" t="str">
        <f>'Kauno 36-118 II'!B2</f>
        <v>Kauno 36-118 II</v>
      </c>
      <c r="D26" s="2">
        <f>'Kauno 36-118 II'!B8</f>
        <v>12</v>
      </c>
      <c r="E26" s="2" t="str">
        <f>'Kauno 36-118 II'!B5</f>
        <v>B</v>
      </c>
      <c r="F26" s="14">
        <f>'Kauno 36-118 II'!B10</f>
        <v>8.5000000000000006E-2</v>
      </c>
      <c r="G26" s="4">
        <f>'Kauno 36-118 II'!B11</f>
        <v>102.01</v>
      </c>
      <c r="H26" s="11">
        <f>'Kauno 36-118 II'!B12</f>
        <v>46462</v>
      </c>
      <c r="I26" s="11" t="str">
        <f>'Kauno 36-118 II'!R3</f>
        <v/>
      </c>
      <c r="J26" s="10">
        <f ca="1">'Kauno 36-118 II'!B13</f>
        <v>167</v>
      </c>
      <c r="K26" s="10" t="str">
        <f ca="1">'Kauno 36-118 II'!S3</f>
        <v/>
      </c>
      <c r="L26" s="4">
        <f>'Kauno 36-118 II'!N3</f>
        <v>0</v>
      </c>
      <c r="M26" s="4">
        <f>'Kauno 36-118 II'!P3</f>
        <v>2.5499999999999998</v>
      </c>
      <c r="AC26" s="4" t="str">
        <f ca="1">'Kauno 36-118 II'!AA2</f>
        <v/>
      </c>
    </row>
    <row r="27" spans="1:29" x14ac:dyDescent="0.25">
      <c r="A27" s="2">
        <v>25</v>
      </c>
      <c r="B27" s="11">
        <f>'Vakaro 3A K1 III'!B3</f>
        <v>46211</v>
      </c>
      <c r="C27" s="22" t="str">
        <f>'Vakaro 3A K1 III'!B2</f>
        <v>Vakaro 3A K1 III</v>
      </c>
      <c r="D27" s="2">
        <f>'Vakaro 3A K1 III'!B8</f>
        <v>12</v>
      </c>
      <c r="E27" s="2" t="str">
        <f>'Vakaro 3A K1 III'!B5</f>
        <v>C</v>
      </c>
      <c r="F27" s="14">
        <f>'Vakaro 3A K1 III'!B10</f>
        <v>9.2499999999999999E-2</v>
      </c>
      <c r="G27" s="4">
        <f>'Vakaro 3A K1 III'!B11</f>
        <v>142.38999999999999</v>
      </c>
      <c r="H27" s="11">
        <f>'Vakaro 3A K1 III'!B12</f>
        <v>46577</v>
      </c>
      <c r="I27" s="11" t="str">
        <f>'Vakaro 3A K1 III'!R3</f>
        <v/>
      </c>
      <c r="J27" s="10">
        <f ca="1">'Vakaro 3A K1 III'!B13</f>
        <v>282</v>
      </c>
      <c r="K27" s="10" t="str">
        <f ca="1">'Vakaro 3A K1 III'!S3</f>
        <v/>
      </c>
      <c r="L27" s="4">
        <f>'Vakaro 3A K1 III'!N3</f>
        <v>0</v>
      </c>
      <c r="M27" s="4">
        <f>'Vakaro 3A K1 III'!P3</f>
        <v>0</v>
      </c>
      <c r="AC27" s="4" t="str">
        <f ca="1">'Vakaro 3A K1 III'!AA2</f>
        <v/>
      </c>
    </row>
    <row r="28" spans="1:29" x14ac:dyDescent="0.25">
      <c r="A28" s="2">
        <v>26</v>
      </c>
      <c r="B28" s="11">
        <f>'Užnerio butai XV'!B3</f>
        <v>46232</v>
      </c>
      <c r="C28" s="22" t="str">
        <f>'Užnerio butai XV'!B2</f>
        <v>Užnerio butai XV</v>
      </c>
      <c r="D28" s="2">
        <f>'Užnerio butai XV'!B8</f>
        <v>12</v>
      </c>
      <c r="E28" s="2" t="str">
        <f>'Užnerio butai XV'!B5</f>
        <v>C</v>
      </c>
      <c r="F28" s="14">
        <f>'Užnerio butai XV'!B10</f>
        <v>9.5000000000000001E-2</v>
      </c>
      <c r="G28" s="4">
        <f>'Užnerio butai XV'!B11</f>
        <v>110.51</v>
      </c>
      <c r="H28" s="11">
        <f>'Užnerio butai XV'!B12</f>
        <v>46603</v>
      </c>
      <c r="I28" s="11" t="str">
        <f>'Užnerio butai XV'!R3</f>
        <v/>
      </c>
      <c r="J28" s="10">
        <f ca="1">'Užnerio butai XV'!B13</f>
        <v>308</v>
      </c>
      <c r="K28" s="10" t="str">
        <f ca="1">'Užnerio butai XV'!S3</f>
        <v/>
      </c>
      <c r="L28" s="4">
        <f>'Užnerio butai XV'!N3</f>
        <v>0</v>
      </c>
      <c r="M28" s="4">
        <f>'Užnerio butai XV'!P3</f>
        <v>0</v>
      </c>
      <c r="AC28" s="4" t="str">
        <f ca="1">'Užnerio butai XV'!AA2</f>
        <v/>
      </c>
    </row>
    <row r="29" spans="1:29" x14ac:dyDescent="0.25">
      <c r="A29" s="2">
        <v>27</v>
      </c>
      <c r="B29" s="11">
        <f>'Vienbutis Gilužiuose III'!B3</f>
        <v>46267</v>
      </c>
      <c r="C29" s="22" t="str">
        <f>'Vienbutis Gilužiuose III'!B2</f>
        <v>Vienbutis Gilužiuose III</v>
      </c>
      <c r="D29" s="2">
        <f>'Vienbutis Gilužiuose III'!B8</f>
        <v>12</v>
      </c>
      <c r="E29" s="2" t="str">
        <f>'Vienbutis Gilužiuose III'!B5</f>
        <v>C</v>
      </c>
      <c r="F29" s="14">
        <f>'Vienbutis Gilužiuose III'!B10</f>
        <v>9.5000000000000001E-2</v>
      </c>
      <c r="G29" s="4">
        <f>'Vienbutis Gilužiuose III'!B11</f>
        <v>128.59</v>
      </c>
      <c r="H29" s="11">
        <f>'Vienbutis Gilužiuose III'!B12</f>
        <v>46634</v>
      </c>
      <c r="I29" s="11" t="str">
        <f>'Užnerio butai XV'!R3</f>
        <v/>
      </c>
      <c r="J29" s="10">
        <f ca="1">'Vienbutis Gilužiuose III'!B13</f>
        <v>339</v>
      </c>
      <c r="K29" s="10" t="str">
        <f ca="1">'Vienbutis Gilužiuose III'!S3</f>
        <v/>
      </c>
      <c r="L29" s="4">
        <f>'Vienbutis Gilužiuose III'!N3</f>
        <v>0</v>
      </c>
      <c r="M29" s="4">
        <f>'Vienbutis Gilužiuose III'!P3</f>
        <v>0</v>
      </c>
      <c r="AC29" s="4" t="str">
        <f ca="1">'Vienbutis Gilužiuose III'!AA2</f>
        <v/>
      </c>
    </row>
  </sheetData>
  <mergeCells count="5">
    <mergeCell ref="A1:G1"/>
    <mergeCell ref="H1:M1"/>
    <mergeCell ref="O1:R1"/>
    <mergeCell ref="S1:T1"/>
    <mergeCell ref="U1:X1"/>
  </mergeCells>
  <conditionalFormatting sqref="A3:M29">
    <cfRule type="expression" dxfId="111" priority="16">
      <formula>AND($G3&gt;0,$G3=$L3)</formula>
    </cfRule>
    <cfRule type="expression" dxfId="110" priority="17">
      <formula>$AC3="+"</formula>
    </cfRule>
  </conditionalFormatting>
  <conditionalFormatting sqref="AC28">
    <cfRule type="expression" dxfId="109" priority="1">
      <formula>AND($G28&gt;0,$G28=$L28)</formula>
    </cfRule>
    <cfRule type="expression" dxfId="108" priority="2">
      <formula>$AC28="+"</formula>
    </cfRule>
  </conditionalFormatting>
  <hyperlinks>
    <hyperlink ref="C3" location="'Užnerio butai III'!A1" display="'Užnerio butai III'!A1" xr:uid="{647A0E14-1EB0-4EB3-AAF6-7E122A956976}"/>
    <hyperlink ref="C4" location="'Pušynas VII'!A1" display="'Pušynas VII'!A1" xr:uid="{36621D93-D808-497C-807D-9244821E01D2}"/>
    <hyperlink ref="C5" location="'Sodziaus 7A'!A1" display="'Sodziaus 7A'!A1" xr:uid="{4FE40122-3999-43E1-A7C0-2B1EDD5FF0FD}"/>
    <hyperlink ref="C6" location="'Sodziaus 7A (1)'!A1" display="'Sodziaus 7A (1)'!A1" xr:uid="{2BC1E3A9-244A-4E1A-95F7-0CD971E48E54}"/>
    <hyperlink ref="C7" location="'Kauno 36-232'!A1" display="'Kauno 36-232'!A1" xr:uid="{E45A9FEC-1C60-4705-8F48-D1C949BE7954}"/>
    <hyperlink ref="C8" location="'Girinaičių 7'!A1" display="'Girinaičių 7'!A1" xr:uid="{D43E71B9-97AC-41D0-9C88-AEC6DA9A6340}"/>
    <hyperlink ref="C9" location="'Piliarožių 10 VI'!A1" display="'Piliarožių 10 VI'!A1" xr:uid="{E451F2C6-4AE7-4B48-A423-297B6F241CE8}"/>
    <hyperlink ref="C10" location="'Girios 112 II'!A1" display="'Girios 112 II'!A1" xr:uid="{21F5D613-EDD7-4A04-8416-AAC343C113AC}"/>
    <hyperlink ref="C11" location="'Girinaičių 7 II'!A1" display="'Girinaičių 7 II'!A1" xr:uid="{CC2B7935-2598-44EF-B050-90D2CD13F1B9}"/>
    <hyperlink ref="C12" location="'Sfintii Arhangheli 21'!A1" display="'Sfintii Arhangheli 21'!A1" xr:uid="{F27D53A1-B8F7-412F-8B07-6B3756931CF1}"/>
    <hyperlink ref="C13" location="'Dvibutis Sodybų 12'!A1" display="'Dvibutis Sodybų 12'!A1" xr:uid="{F287C270-06C2-48AE-8C23-C8354BEF875C}"/>
    <hyperlink ref="C14" location="'Vienbutis Minsko 5A'!A1" display="'Vienbutis Minsko 5A'!A1" xr:uid="{49E3F34C-A2B4-428A-8BD4-2320842471FA}"/>
    <hyperlink ref="C15" location="'Pagojo 1 II'!A1" display="'Pagojo 1 II'!A1" xr:uid="{9936AC14-A06D-450B-9ABF-7E2221F1AF57}"/>
    <hyperlink ref="C16" location="'Miškininkų 30 II'!A1" display="'Miškininkų 30 II'!A1" xr:uid="{3B6FF54B-5733-4D94-A43D-51E0F8170312}"/>
    <hyperlink ref="C17" location="'Sūduvos 8-2'!A1" display="'Sūduvos 8-2'!A1" xr:uid="{E3B74878-839A-4EF6-9096-C4AACDC03C4D}"/>
    <hyperlink ref="C18" location="'Birelių namas II'!A1" display="'Birelių namas II'!A1" xr:uid="{8D463ED9-57F4-4E7D-8AAD-6174E2509DB7}"/>
    <hyperlink ref="C19" location="'Druskonio perlai VII'!A1" display="'Druskonio perlai VII'!A1" xr:uid="{6709AE37-B035-41A4-81C5-9DBD3A2C5EE0}"/>
    <hyperlink ref="C20" location="'Vingio namai XIV'!A1" display="'Vingio namai XIV'!A1" xr:uid="{6ED4C641-9B78-43AE-8A90-B959712311D5}"/>
    <hyperlink ref="C21" location="'Vanagupės 36A-204 II'!A1" display="'Vanagupės 36A-204 II'!A1" xr:uid="{3296A745-57FF-40A4-8673-5D19DE8AAFFF}"/>
    <hyperlink ref="C22" location="'Namas Panevėžyje'!A1" display="'Namas Panevėžyje'!A1" xr:uid="{7731EFC1-0CA7-457B-99DF-2F28411A37DD}"/>
    <hyperlink ref="C23" location="'Žemoji 52 XXIX“'!A1" display="'Žemoji 52 XXIX“'!A1" xr:uid="{C188F3C5-1A71-4AB3-8CCA-AEDA0D1DA459}"/>
    <hyperlink ref="C24" location="'Horizonto 2A XII'!A1" display="'Horizonto 2A XII'!A1" xr:uid="{4380264E-C1CB-472F-A29A-074F064A36A3}"/>
    <hyperlink ref="C25" location="'Tautvilo kotedžai XIV'!A1" display="'Tautvilo kotedžai XIV'!A1" xr:uid="{82832844-E13C-4822-8606-3FEDED876C80}"/>
    <hyperlink ref="C26" location="'Kauno 36-118 II'!A1" display="'Kauno 36-118 II'!A1" xr:uid="{75F7657E-0901-4A74-80BC-7EA18729A2C1}"/>
    <hyperlink ref="C27" location="'Vakaro 3A K1 III'!A1" display="'Vakaro 3A K1 III'!A1" xr:uid="{89BFE9E6-796F-48DC-A364-A05791FA2A1D}"/>
    <hyperlink ref="C28" location="'Vakaro 3A K1 III'!A1" display="'Vakaro 3A K1 III'!A1" xr:uid="{4C8CFE6A-8D07-4CE1-93FF-AD4D69ED5247}"/>
    <hyperlink ref="C29" location="'Vakaro 3A K1 III'!A1" display="'Vakaro 3A K1 III'!A1" xr:uid="{78039671-4A3B-408A-9891-7794AE5C4A4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0"/>
  <sheetViews>
    <sheetView workbookViewId="0">
      <selection activeCell="J16" sqref="J16"/>
    </sheetView>
  </sheetViews>
  <sheetFormatPr defaultRowHeight="15" x14ac:dyDescent="0.25"/>
  <cols>
    <col min="1" max="1" width="15.7109375" style="12" customWidth="1"/>
    <col min="2" max="4" width="10.7109375" customWidth="1"/>
    <col min="6" max="9" width="10.7109375" customWidth="1"/>
  </cols>
  <sheetData>
    <row r="1" spans="1:12" x14ac:dyDescent="0.25">
      <c r="A1" s="17" t="s">
        <v>9</v>
      </c>
      <c r="B1" s="8" t="s">
        <v>46</v>
      </c>
      <c r="C1" s="8" t="s">
        <v>47</v>
      </c>
      <c r="D1" s="8" t="s">
        <v>41</v>
      </c>
      <c r="E1" s="23"/>
      <c r="F1" s="8" t="s">
        <v>46</v>
      </c>
      <c r="G1" s="8" t="s">
        <v>47</v>
      </c>
      <c r="H1" s="8" t="s">
        <v>41</v>
      </c>
      <c r="I1" s="8" t="s">
        <v>48</v>
      </c>
      <c r="K1" s="8" t="s">
        <v>79</v>
      </c>
      <c r="L1" s="14">
        <f ca="1">XIRR(Pinigai!K2:K200,Pinigai!A2:A200)</f>
        <v>0.12084302306175232</v>
      </c>
    </row>
    <row r="2" spans="1:12" x14ac:dyDescent="0.25">
      <c r="A2" s="11">
        <v>45719</v>
      </c>
      <c r="B2" s="4">
        <v>200</v>
      </c>
      <c r="C2" s="4">
        <v>0</v>
      </c>
      <c r="D2" s="4">
        <v>0</v>
      </c>
      <c r="F2" s="4">
        <f>SUM(B2:B39)</f>
        <v>1030</v>
      </c>
      <c r="G2" s="4">
        <f>SUM(C2:C39)</f>
        <v>0</v>
      </c>
      <c r="H2" s="4">
        <f>SUM(D2:D39)</f>
        <v>40</v>
      </c>
      <c r="I2" s="4">
        <f>F2-G2</f>
        <v>1030</v>
      </c>
      <c r="K2" s="4">
        <f>B2*-1</f>
        <v>-200</v>
      </c>
    </row>
    <row r="3" spans="1:12" x14ac:dyDescent="0.25">
      <c r="A3" s="11">
        <v>45725</v>
      </c>
      <c r="B3" s="4">
        <v>100</v>
      </c>
      <c r="C3" s="4">
        <v>0</v>
      </c>
      <c r="D3" s="4">
        <v>0</v>
      </c>
      <c r="K3" s="4">
        <f t="shared" ref="K3:K17" si="0">B3*-1</f>
        <v>-100</v>
      </c>
    </row>
    <row r="4" spans="1:12" x14ac:dyDescent="0.25">
      <c r="A4" s="11">
        <v>45729</v>
      </c>
      <c r="B4" s="4">
        <v>0</v>
      </c>
      <c r="C4" s="4">
        <v>0</v>
      </c>
      <c r="D4" s="4">
        <v>10</v>
      </c>
      <c r="K4" s="4">
        <f t="shared" si="0"/>
        <v>0</v>
      </c>
    </row>
    <row r="5" spans="1:12" x14ac:dyDescent="0.25">
      <c r="A5" s="11">
        <v>45743</v>
      </c>
      <c r="B5" s="4">
        <v>100</v>
      </c>
      <c r="C5" s="4">
        <v>0</v>
      </c>
      <c r="D5" s="4">
        <v>0</v>
      </c>
      <c r="K5" s="4">
        <f t="shared" si="0"/>
        <v>-100</v>
      </c>
    </row>
    <row r="6" spans="1:12" x14ac:dyDescent="0.25">
      <c r="A6" s="11">
        <v>45757</v>
      </c>
      <c r="B6" s="4">
        <v>100</v>
      </c>
      <c r="C6" s="4">
        <v>0</v>
      </c>
      <c r="D6" s="4">
        <v>0</v>
      </c>
      <c r="K6" s="4">
        <f t="shared" si="0"/>
        <v>-100</v>
      </c>
    </row>
    <row r="7" spans="1:12" x14ac:dyDescent="0.25">
      <c r="A7" s="11">
        <v>45764</v>
      </c>
      <c r="B7" s="4">
        <v>0</v>
      </c>
      <c r="C7" s="4">
        <v>0</v>
      </c>
      <c r="D7" s="4">
        <v>10</v>
      </c>
      <c r="K7" s="4">
        <f t="shared" si="0"/>
        <v>0</v>
      </c>
    </row>
    <row r="8" spans="1:12" x14ac:dyDescent="0.25">
      <c r="A8" s="11">
        <v>45770</v>
      </c>
      <c r="B8" s="4">
        <v>100</v>
      </c>
      <c r="C8" s="4">
        <v>0</v>
      </c>
      <c r="D8" s="4">
        <v>0</v>
      </c>
      <c r="K8" s="4">
        <f t="shared" si="0"/>
        <v>-100</v>
      </c>
    </row>
    <row r="9" spans="1:12" x14ac:dyDescent="0.25">
      <c r="A9" s="11">
        <v>45791</v>
      </c>
      <c r="B9" s="4">
        <v>100</v>
      </c>
      <c r="C9" s="4">
        <v>0</v>
      </c>
      <c r="D9" s="4">
        <v>0</v>
      </c>
      <c r="K9" s="4">
        <f t="shared" si="0"/>
        <v>-100</v>
      </c>
    </row>
    <row r="10" spans="1:12" x14ac:dyDescent="0.25">
      <c r="A10" s="11">
        <v>45908</v>
      </c>
      <c r="B10" s="4">
        <v>100</v>
      </c>
      <c r="C10" s="4">
        <v>0</v>
      </c>
      <c r="D10" s="4">
        <v>0</v>
      </c>
      <c r="K10" s="4">
        <f t="shared" si="0"/>
        <v>-100</v>
      </c>
    </row>
    <row r="11" spans="1:12" x14ac:dyDescent="0.25">
      <c r="A11" s="11">
        <v>45919</v>
      </c>
      <c r="B11" s="4">
        <v>100</v>
      </c>
      <c r="C11" s="4">
        <v>0</v>
      </c>
      <c r="D11" s="4">
        <v>0</v>
      </c>
      <c r="K11" s="4">
        <f t="shared" si="0"/>
        <v>-100</v>
      </c>
    </row>
    <row r="12" spans="1:12" x14ac:dyDescent="0.25">
      <c r="A12" s="11">
        <v>45957</v>
      </c>
      <c r="B12" s="4">
        <v>0</v>
      </c>
      <c r="C12" s="4">
        <v>0</v>
      </c>
      <c r="D12" s="4">
        <v>10</v>
      </c>
      <c r="K12" s="4">
        <f t="shared" si="0"/>
        <v>0</v>
      </c>
    </row>
    <row r="13" spans="1:12" x14ac:dyDescent="0.25">
      <c r="A13" s="11">
        <v>46002</v>
      </c>
      <c r="B13" s="4">
        <v>100</v>
      </c>
      <c r="C13" s="4">
        <v>0</v>
      </c>
      <c r="D13" s="4">
        <v>0</v>
      </c>
      <c r="K13" s="4">
        <f t="shared" si="0"/>
        <v>-100</v>
      </c>
    </row>
    <row r="14" spans="1:12" x14ac:dyDescent="0.25">
      <c r="A14" s="11">
        <v>46010</v>
      </c>
      <c r="B14" s="4">
        <v>0</v>
      </c>
      <c r="C14" s="4">
        <v>0</v>
      </c>
      <c r="D14" s="4">
        <v>10</v>
      </c>
      <c r="K14" s="4">
        <f t="shared" si="0"/>
        <v>0</v>
      </c>
    </row>
    <row r="15" spans="1:12" x14ac:dyDescent="0.25">
      <c r="A15" s="11">
        <v>46095</v>
      </c>
      <c r="B15" s="4">
        <v>30</v>
      </c>
      <c r="C15" s="4">
        <v>0</v>
      </c>
      <c r="D15" s="4">
        <v>0</v>
      </c>
      <c r="K15" s="4">
        <f t="shared" si="0"/>
        <v>-30</v>
      </c>
    </row>
    <row r="16" spans="1:12" x14ac:dyDescent="0.25">
      <c r="K16" s="4">
        <f t="shared" si="0"/>
        <v>0</v>
      </c>
    </row>
    <row r="17" spans="11:11" x14ac:dyDescent="0.25">
      <c r="K17" s="4">
        <f t="shared" si="0"/>
        <v>0</v>
      </c>
    </row>
    <row r="200" spans="1:11" x14ac:dyDescent="0.25">
      <c r="A200" s="12">
        <f ca="1">TODAY()</f>
        <v>46295</v>
      </c>
      <c r="K200" s="24">
        <f>Overview!U3</f>
        <v>1197.8399999999999</v>
      </c>
    </row>
  </sheetData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403A-A6E9-4CD3-8B0F-3660A657E5EF}">
  <dimension ref="A1:AA42"/>
  <sheetViews>
    <sheetView workbookViewId="0">
      <selection activeCell="D22" sqref="D22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103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102</v>
      </c>
      <c r="D2" s="11">
        <v>46387</v>
      </c>
      <c r="E2" s="4">
        <v>0</v>
      </c>
      <c r="F2" s="4">
        <v>4</v>
      </c>
      <c r="G2" s="4"/>
      <c r="H2" s="4"/>
      <c r="I2" s="4"/>
      <c r="J2" s="11"/>
      <c r="K2" s="10" t="str">
        <f>IF(J2&gt;0,J2-D2,"")</f>
        <v/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B4</f>
        <v>46269</v>
      </c>
      <c r="Z2" s="4">
        <f>B11*-1</f>
        <v>-128.59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46267</v>
      </c>
      <c r="D3" s="11">
        <v>46477</v>
      </c>
      <c r="E3" s="4">
        <v>0</v>
      </c>
      <c r="F3" s="4">
        <v>3.05</v>
      </c>
      <c r="G3" s="4"/>
      <c r="H3" s="4"/>
      <c r="I3" s="4"/>
      <c r="J3" s="11"/>
      <c r="K3" s="10" t="str">
        <f t="shared" ref="K3:K41" si="0">IF(J3&gt;0,J3-D3,"")</f>
        <v/>
      </c>
      <c r="M3" s="4">
        <f>B11</f>
        <v>128.59</v>
      </c>
      <c r="N3" s="4">
        <f>G42</f>
        <v>0</v>
      </c>
      <c r="O3" s="4">
        <f>F42</f>
        <v>12.27</v>
      </c>
      <c r="P3" s="4">
        <f>H42+I42</f>
        <v>0</v>
      </c>
      <c r="Q3" s="14" t="str">
        <f>IF(M3=N3,XIRR(Z2:Z14,Y2:Y14),"")</f>
        <v/>
      </c>
      <c r="R3" s="11" t="str">
        <f>IF(M3=N3,B14,"")</f>
        <v/>
      </c>
      <c r="S3" s="2" t="str">
        <f ca="1">IF(COUNTIFS(D:D,"&lt;"&amp;TODAY(),J:J,"")=0,"",TODAY()-_xlfn.MINIFS(D:D,D:D,"&lt;"&amp;TODAY(),J:J,""))</f>
        <v/>
      </c>
      <c r="Y3" s="11">
        <f>J2</f>
        <v>0</v>
      </c>
      <c r="Z3" s="4">
        <f>G2+H2+I2</f>
        <v>0</v>
      </c>
    </row>
    <row r="4" spans="1:27" x14ac:dyDescent="0.25">
      <c r="A4" s="7" t="s">
        <v>11</v>
      </c>
      <c r="B4" s="11">
        <v>46269</v>
      </c>
      <c r="D4" s="11">
        <v>46568</v>
      </c>
      <c r="E4" s="4">
        <v>0</v>
      </c>
      <c r="F4" s="4">
        <v>3.05</v>
      </c>
      <c r="G4" s="4"/>
      <c r="H4" s="4"/>
      <c r="I4" s="4"/>
      <c r="J4" s="11"/>
      <c r="K4" s="10" t="str">
        <f t="shared" si="0"/>
        <v/>
      </c>
      <c r="Y4" s="11">
        <f t="shared" ref="Y4:Y14" si="1">J3</f>
        <v>0</v>
      </c>
      <c r="Z4" s="4">
        <f t="shared" ref="Z4:Z14" si="2">G3+H3+I3</f>
        <v>0</v>
      </c>
    </row>
    <row r="5" spans="1:27" x14ac:dyDescent="0.25">
      <c r="A5" s="7" t="s">
        <v>2</v>
      </c>
      <c r="B5" s="2" t="s">
        <v>15</v>
      </c>
      <c r="D5" s="11">
        <v>46634</v>
      </c>
      <c r="E5" s="4">
        <v>128.59</v>
      </c>
      <c r="F5" s="4">
        <v>2.17</v>
      </c>
      <c r="G5" s="4"/>
      <c r="H5" s="4"/>
      <c r="I5" s="4"/>
      <c r="J5" s="11"/>
      <c r="K5" s="10" t="str">
        <f t="shared" si="0"/>
        <v/>
      </c>
      <c r="Y5" s="11">
        <f t="shared" si="1"/>
        <v>0</v>
      </c>
      <c r="Z5" s="4">
        <f t="shared" si="2"/>
        <v>0</v>
      </c>
    </row>
    <row r="6" spans="1:27" x14ac:dyDescent="0.25">
      <c r="A6" s="7" t="s">
        <v>12</v>
      </c>
      <c r="B6" s="3">
        <v>0.7</v>
      </c>
      <c r="D6" s="11"/>
      <c r="E6" s="4"/>
      <c r="F6" s="4"/>
      <c r="G6" s="4"/>
      <c r="H6" s="4"/>
      <c r="I6" s="4"/>
      <c r="J6" s="11"/>
      <c r="K6" s="10" t="str">
        <f t="shared" si="0"/>
        <v/>
      </c>
      <c r="Y6" s="11">
        <f t="shared" si="1"/>
        <v>0</v>
      </c>
      <c r="Z6" s="4">
        <f t="shared" si="2"/>
        <v>0</v>
      </c>
    </row>
    <row r="7" spans="1:27" x14ac:dyDescent="0.25">
      <c r="A7" s="7" t="s">
        <v>13</v>
      </c>
      <c r="B7" s="3">
        <v>0.8</v>
      </c>
      <c r="D7" s="11"/>
      <c r="E7" s="4"/>
      <c r="F7" s="4"/>
      <c r="G7" s="2"/>
      <c r="H7" s="4"/>
      <c r="I7" s="4"/>
      <c r="J7" s="11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12</v>
      </c>
      <c r="D8" s="11"/>
      <c r="E8" s="4"/>
      <c r="F8" s="15"/>
      <c r="G8" s="15"/>
      <c r="H8" s="15"/>
      <c r="I8" s="15"/>
      <c r="J8" s="11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4"/>
      <c r="F9" s="15"/>
      <c r="G9" s="15"/>
      <c r="H9" s="15"/>
      <c r="I9" s="15"/>
      <c r="J9" s="11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14">
        <v>9.5000000000000001E-2</v>
      </c>
      <c r="D10" s="11"/>
      <c r="E10" s="4"/>
      <c r="F10" s="15"/>
      <c r="G10" s="15"/>
      <c r="H10" s="15"/>
      <c r="I10" s="15"/>
      <c r="J10" s="11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4">
        <v>128.59</v>
      </c>
      <c r="D11" s="11"/>
      <c r="E11" s="4"/>
      <c r="F11" s="15"/>
      <c r="G11" s="15"/>
      <c r="H11" s="15"/>
      <c r="I11" s="15"/>
      <c r="J11" s="11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11">
        <v>46634</v>
      </c>
      <c r="D12" s="11"/>
      <c r="E12" s="4"/>
      <c r="F12" s="15"/>
      <c r="G12" s="15"/>
      <c r="H12" s="15"/>
      <c r="I12" s="15"/>
      <c r="J12" s="11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>
        <f ca="1">IF(B11&lt;&gt;N3,(TODAY()-B12)*-1,"")</f>
        <v>339</v>
      </c>
      <c r="D13" s="11"/>
      <c r="E13" s="4"/>
      <c r="F13" s="15"/>
      <c r="G13" s="15"/>
      <c r="H13" s="15"/>
      <c r="I13" s="15"/>
      <c r="J13" s="11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11"/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 t="str">
        <f>IF(M3=N3,B14-B12,"")</f>
        <v/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</row>
    <row r="17" spans="4:11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</row>
    <row r="18" spans="4:11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</row>
    <row r="19" spans="4:11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</row>
    <row r="20" spans="4:11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</row>
    <row r="21" spans="4:11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</row>
    <row r="22" spans="4:11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</row>
    <row r="23" spans="4:11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</row>
    <row r="24" spans="4:11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</row>
    <row r="25" spans="4:11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</row>
    <row r="26" spans="4:11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</row>
    <row r="27" spans="4:11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</row>
    <row r="28" spans="4:11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</row>
    <row r="29" spans="4:11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</row>
    <row r="30" spans="4:11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</row>
    <row r="31" spans="4:11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</row>
    <row r="32" spans="4:11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</row>
    <row r="33" spans="4:11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</row>
    <row r="34" spans="4:11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</row>
    <row r="35" spans="4:11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</row>
    <row r="36" spans="4:11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</row>
    <row r="37" spans="4:11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</row>
    <row r="38" spans="4:11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</row>
    <row r="39" spans="4:11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</row>
    <row r="40" spans="4:11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</row>
    <row r="41" spans="4:11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</row>
    <row r="42" spans="4:11" x14ac:dyDescent="0.25">
      <c r="D42" s="8" t="s">
        <v>10</v>
      </c>
      <c r="E42" s="4">
        <f>SUM(E2:E41)</f>
        <v>128.59</v>
      </c>
      <c r="F42" s="4">
        <f t="shared" ref="F42:I42" si="3">SUM(F2:F41)</f>
        <v>12.27</v>
      </c>
      <c r="G42" s="4">
        <f t="shared" si="3"/>
        <v>0</v>
      </c>
      <c r="H42" s="4">
        <f t="shared" si="3"/>
        <v>0</v>
      </c>
      <c r="I42" s="4">
        <f t="shared" si="3"/>
        <v>0</v>
      </c>
      <c r="J42" s="2"/>
      <c r="K42" s="2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107" priority="3">
      <formula>$M$3=$N$3</formula>
    </cfRule>
    <cfRule type="expression" dxfId="106" priority="4">
      <formula>$AA$2="+"</formula>
    </cfRule>
  </conditionalFormatting>
  <conditionalFormatting sqref="S3">
    <cfRule type="expression" dxfId="105" priority="1">
      <formula>$AA$2="+"</formula>
    </cfRule>
  </conditionalFormatting>
  <conditionalFormatting sqref="AA2">
    <cfRule type="expression" dxfId="104" priority="2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0671-14D9-4590-9CB7-560703BB8637}">
  <dimension ref="A1:AA42"/>
  <sheetViews>
    <sheetView workbookViewId="0">
      <selection activeCell="G14" sqref="G14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100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99</v>
      </c>
      <c r="D2" s="11">
        <v>46329</v>
      </c>
      <c r="E2" s="4">
        <v>0</v>
      </c>
      <c r="F2" s="4">
        <v>2.74</v>
      </c>
      <c r="G2" s="4"/>
      <c r="H2" s="4"/>
      <c r="I2" s="4"/>
      <c r="J2" s="11"/>
      <c r="K2" s="10" t="str">
        <f>IF(J2&gt;0,J2-D2,"")</f>
        <v/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B4</f>
        <v>46238</v>
      </c>
      <c r="Z2" s="4">
        <f>B11*-1</f>
        <v>-110.51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46232</v>
      </c>
      <c r="D3" s="11">
        <v>46419</v>
      </c>
      <c r="E3" s="4">
        <v>0</v>
      </c>
      <c r="F3" s="4">
        <v>2.57</v>
      </c>
      <c r="G3" s="4"/>
      <c r="H3" s="4"/>
      <c r="I3" s="4"/>
      <c r="J3" s="11"/>
      <c r="K3" s="10" t="str">
        <f t="shared" ref="K3:K41" si="0">IF(J3&gt;0,J3-D3,"")</f>
        <v/>
      </c>
      <c r="M3" s="4">
        <f>B11</f>
        <v>110.51</v>
      </c>
      <c r="N3" s="4">
        <f>G42</f>
        <v>0</v>
      </c>
      <c r="O3" s="4">
        <f>F42</f>
        <v>10.65</v>
      </c>
      <c r="P3" s="4">
        <f>H42+I42</f>
        <v>0</v>
      </c>
      <c r="Q3" s="14" t="str">
        <f>IF(M3=N3,XIRR(Z2:Z14,Y2:Y14),"")</f>
        <v/>
      </c>
      <c r="R3" s="11" t="str">
        <f>IF(M3=N3,B14,"")</f>
        <v/>
      </c>
      <c r="S3" s="2" t="str">
        <f ca="1">IF(COUNTIFS(D:D,"&lt;"&amp;TODAY(),J:J,"")=0,"",TODAY()-_xlfn.MINIFS(D:D,D:D,"&lt;"&amp;TODAY(),J:J,""))</f>
        <v/>
      </c>
      <c r="Y3" s="11">
        <f>J2</f>
        <v>0</v>
      </c>
      <c r="Z3" s="4">
        <f>G2+H2+I2</f>
        <v>0</v>
      </c>
    </row>
    <row r="4" spans="1:27" x14ac:dyDescent="0.25">
      <c r="A4" s="7" t="s">
        <v>11</v>
      </c>
      <c r="B4" s="11">
        <v>46238</v>
      </c>
      <c r="D4" s="11">
        <v>46507</v>
      </c>
      <c r="E4" s="4">
        <v>0</v>
      </c>
      <c r="F4" s="4">
        <v>2.6</v>
      </c>
      <c r="G4" s="4"/>
      <c r="H4" s="4"/>
      <c r="I4" s="4"/>
      <c r="J4" s="11"/>
      <c r="K4" s="10" t="str">
        <f t="shared" si="0"/>
        <v/>
      </c>
      <c r="Y4" s="11">
        <f t="shared" ref="Y4:Y14" si="1">J3</f>
        <v>0</v>
      </c>
      <c r="Z4" s="4">
        <f t="shared" ref="Z4:Z14" si="2">G3+H3+I3</f>
        <v>0</v>
      </c>
    </row>
    <row r="5" spans="1:27" x14ac:dyDescent="0.25">
      <c r="A5" s="7" t="s">
        <v>2</v>
      </c>
      <c r="B5" s="2" t="s">
        <v>15</v>
      </c>
      <c r="D5" s="11">
        <v>46603</v>
      </c>
      <c r="E5" s="4">
        <v>110.51</v>
      </c>
      <c r="F5" s="4">
        <v>2.74</v>
      </c>
      <c r="G5" s="4"/>
      <c r="H5" s="4"/>
      <c r="I5" s="4"/>
      <c r="J5" s="11"/>
      <c r="K5" s="10" t="str">
        <f t="shared" si="0"/>
        <v/>
      </c>
      <c r="Y5" s="11">
        <f t="shared" si="1"/>
        <v>0</v>
      </c>
      <c r="Z5" s="4">
        <f t="shared" si="2"/>
        <v>0</v>
      </c>
    </row>
    <row r="6" spans="1:27" x14ac:dyDescent="0.25">
      <c r="A6" s="7" t="s">
        <v>12</v>
      </c>
      <c r="B6" s="3">
        <v>0.7</v>
      </c>
      <c r="D6" s="11"/>
      <c r="E6" s="4"/>
      <c r="F6" s="4"/>
      <c r="G6" s="4"/>
      <c r="H6" s="4"/>
      <c r="I6" s="4"/>
      <c r="J6" s="11"/>
      <c r="K6" s="10" t="str">
        <f t="shared" si="0"/>
        <v/>
      </c>
      <c r="Y6" s="11">
        <f t="shared" si="1"/>
        <v>0</v>
      </c>
      <c r="Z6" s="4">
        <f t="shared" si="2"/>
        <v>0</v>
      </c>
    </row>
    <row r="7" spans="1:27" x14ac:dyDescent="0.25">
      <c r="A7" s="7" t="s">
        <v>13</v>
      </c>
      <c r="B7" s="3">
        <v>0.75</v>
      </c>
      <c r="D7" s="11"/>
      <c r="E7" s="4"/>
      <c r="F7" s="4"/>
      <c r="G7" s="2"/>
      <c r="H7" s="4"/>
      <c r="I7" s="4"/>
      <c r="J7" s="11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12</v>
      </c>
      <c r="D8" s="11"/>
      <c r="E8" s="4"/>
      <c r="F8" s="15"/>
      <c r="G8" s="15"/>
      <c r="H8" s="15"/>
      <c r="I8" s="15"/>
      <c r="J8" s="11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4"/>
      <c r="F9" s="15"/>
      <c r="G9" s="15"/>
      <c r="H9" s="15"/>
      <c r="I9" s="15"/>
      <c r="J9" s="11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14">
        <v>9.5000000000000001E-2</v>
      </c>
      <c r="D10" s="11"/>
      <c r="E10" s="4"/>
      <c r="F10" s="15"/>
      <c r="G10" s="15"/>
      <c r="H10" s="15"/>
      <c r="I10" s="15"/>
      <c r="J10" s="11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4">
        <v>110.51</v>
      </c>
      <c r="D11" s="11"/>
      <c r="E11" s="4"/>
      <c r="F11" s="15"/>
      <c r="G11" s="15"/>
      <c r="H11" s="15"/>
      <c r="I11" s="15"/>
      <c r="J11" s="11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11">
        <v>46603</v>
      </c>
      <c r="D12" s="11"/>
      <c r="E12" s="4"/>
      <c r="F12" s="15"/>
      <c r="G12" s="15"/>
      <c r="H12" s="15"/>
      <c r="I12" s="15"/>
      <c r="J12" s="11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>
        <f ca="1">IF(B11&lt;&gt;N3,(TODAY()-B12)*-1,"")</f>
        <v>308</v>
      </c>
      <c r="D13" s="11"/>
      <c r="E13" s="4"/>
      <c r="F13" s="15"/>
      <c r="G13" s="15"/>
      <c r="H13" s="15"/>
      <c r="I13" s="15"/>
      <c r="J13" s="11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11"/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 t="str">
        <f>IF(M3=N3,B14-B12,"")</f>
        <v/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</row>
    <row r="17" spans="4:11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</row>
    <row r="18" spans="4:11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</row>
    <row r="19" spans="4:11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</row>
    <row r="20" spans="4:11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</row>
    <row r="21" spans="4:11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</row>
    <row r="22" spans="4:11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</row>
    <row r="23" spans="4:11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</row>
    <row r="24" spans="4:11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</row>
    <row r="25" spans="4:11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</row>
    <row r="26" spans="4:11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</row>
    <row r="27" spans="4:11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</row>
    <row r="28" spans="4:11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</row>
    <row r="29" spans="4:11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</row>
    <row r="30" spans="4:11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</row>
    <row r="31" spans="4:11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</row>
    <row r="32" spans="4:11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</row>
    <row r="33" spans="4:11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</row>
    <row r="34" spans="4:11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</row>
    <row r="35" spans="4:11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</row>
    <row r="36" spans="4:11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</row>
    <row r="37" spans="4:11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</row>
    <row r="38" spans="4:11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</row>
    <row r="39" spans="4:11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</row>
    <row r="40" spans="4:11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</row>
    <row r="41" spans="4:11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</row>
    <row r="42" spans="4:11" x14ac:dyDescent="0.25">
      <c r="D42" s="8" t="s">
        <v>10</v>
      </c>
      <c r="E42" s="4">
        <f>SUM(E2:E41)</f>
        <v>110.51</v>
      </c>
      <c r="F42" s="4">
        <f t="shared" ref="F42:I42" si="3">SUM(F2:F41)</f>
        <v>10.65</v>
      </c>
      <c r="G42" s="4">
        <f t="shared" si="3"/>
        <v>0</v>
      </c>
      <c r="H42" s="4">
        <f t="shared" si="3"/>
        <v>0</v>
      </c>
      <c r="I42" s="4">
        <f t="shared" si="3"/>
        <v>0</v>
      </c>
      <c r="J42" s="2"/>
      <c r="K42" s="2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103" priority="3">
      <formula>$M$3=$N$3</formula>
    </cfRule>
    <cfRule type="expression" dxfId="102" priority="4">
      <formula>$AA$2="+"</formula>
    </cfRule>
  </conditionalFormatting>
  <conditionalFormatting sqref="S3">
    <cfRule type="expression" dxfId="101" priority="1">
      <formula>$AA$2="+"</formula>
    </cfRule>
  </conditionalFormatting>
  <conditionalFormatting sqref="AA2">
    <cfRule type="expression" dxfId="100" priority="2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DFE8-4730-46B9-AA04-8B9A813ABE1E}">
  <dimension ref="A1:AA42"/>
  <sheetViews>
    <sheetView workbookViewId="0">
      <selection activeCell="B5" sqref="B5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96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95</v>
      </c>
      <c r="D2" s="11">
        <v>46329</v>
      </c>
      <c r="E2" s="4">
        <v>0</v>
      </c>
      <c r="F2" s="4">
        <v>4.21</v>
      </c>
      <c r="G2" s="4"/>
      <c r="H2" s="4"/>
      <c r="I2" s="4"/>
      <c r="J2" s="11"/>
      <c r="K2" s="10" t="str">
        <f>IF(J2&gt;0,J2-D2,"")</f>
        <v/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B4</f>
        <v>46212</v>
      </c>
      <c r="Z2" s="4">
        <f>B11*-1</f>
        <v>-142.38999999999999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46211</v>
      </c>
      <c r="D3" s="11">
        <v>46419</v>
      </c>
      <c r="E3" s="4">
        <v>0</v>
      </c>
      <c r="F3" s="4">
        <v>3.22</v>
      </c>
      <c r="G3" s="4"/>
      <c r="H3" s="4"/>
      <c r="I3" s="4"/>
      <c r="J3" s="11"/>
      <c r="K3" s="10" t="str">
        <f t="shared" ref="K3:K41" si="0">IF(J3&gt;0,J3-D3,"")</f>
        <v/>
      </c>
      <c r="M3" s="4">
        <f>B11</f>
        <v>142.38999999999999</v>
      </c>
      <c r="N3" s="4">
        <f>G42</f>
        <v>0</v>
      </c>
      <c r="O3" s="4">
        <f>F42</f>
        <v>13.209999999999999</v>
      </c>
      <c r="P3" s="4">
        <f>H42+I42</f>
        <v>0</v>
      </c>
      <c r="Q3" s="14" t="str">
        <f>IF(M3=N3,XIRR(Z2:Z14,Y2:Y14),"")</f>
        <v/>
      </c>
      <c r="R3" s="11" t="str">
        <f>IF(M3=N3,B14,"")</f>
        <v/>
      </c>
      <c r="S3" s="2" t="str">
        <f ca="1">IF(COUNTIFS(D:D,"&lt;"&amp;TODAY(),J:J,"")=0,"",TODAY()-_xlfn.MINIFS(D:D,D:D,"&lt;"&amp;TODAY(),J:J,""))</f>
        <v/>
      </c>
      <c r="Y3" s="11">
        <f>J2</f>
        <v>0</v>
      </c>
      <c r="Z3" s="4">
        <f>G2+H2+I2</f>
        <v>0</v>
      </c>
    </row>
    <row r="4" spans="1:27" x14ac:dyDescent="0.25">
      <c r="A4" s="7" t="s">
        <v>11</v>
      </c>
      <c r="B4" s="11">
        <v>46212</v>
      </c>
      <c r="D4" s="11">
        <v>46507</v>
      </c>
      <c r="E4" s="4">
        <v>0</v>
      </c>
      <c r="F4" s="4">
        <v>3.26</v>
      </c>
      <c r="G4" s="4"/>
      <c r="H4" s="4"/>
      <c r="I4" s="4"/>
      <c r="J4" s="11"/>
      <c r="K4" s="10" t="str">
        <f t="shared" si="0"/>
        <v/>
      </c>
      <c r="Y4" s="11">
        <f t="shared" ref="Y4:Y14" si="1">J3</f>
        <v>0</v>
      </c>
      <c r="Z4" s="4">
        <f t="shared" ref="Z4:Z14" si="2">G3+H3+I3</f>
        <v>0</v>
      </c>
    </row>
    <row r="5" spans="1:27" x14ac:dyDescent="0.25">
      <c r="A5" s="7" t="s">
        <v>2</v>
      </c>
      <c r="B5" s="2" t="s">
        <v>15</v>
      </c>
      <c r="D5" s="11">
        <v>46577</v>
      </c>
      <c r="E5" s="4">
        <v>142.38999999999999</v>
      </c>
      <c r="F5" s="4">
        <v>2.52</v>
      </c>
      <c r="G5" s="4"/>
      <c r="H5" s="4"/>
      <c r="I5" s="4"/>
      <c r="J5" s="11"/>
      <c r="K5" s="10" t="str">
        <f t="shared" si="0"/>
        <v/>
      </c>
      <c r="Y5" s="11">
        <f t="shared" si="1"/>
        <v>0</v>
      </c>
      <c r="Z5" s="4">
        <f t="shared" si="2"/>
        <v>0</v>
      </c>
    </row>
    <row r="6" spans="1:27" x14ac:dyDescent="0.25">
      <c r="A6" s="7" t="s">
        <v>12</v>
      </c>
      <c r="B6" s="3">
        <v>0.7</v>
      </c>
      <c r="D6" s="11"/>
      <c r="E6" s="4"/>
      <c r="F6" s="4"/>
      <c r="G6" s="4"/>
      <c r="H6" s="4"/>
      <c r="I6" s="4"/>
      <c r="J6" s="11"/>
      <c r="K6" s="10" t="str">
        <f t="shared" si="0"/>
        <v/>
      </c>
      <c r="Y6" s="11">
        <f t="shared" si="1"/>
        <v>0</v>
      </c>
      <c r="Z6" s="4">
        <f t="shared" si="2"/>
        <v>0</v>
      </c>
    </row>
    <row r="7" spans="1:27" x14ac:dyDescent="0.25">
      <c r="A7" s="7" t="s">
        <v>13</v>
      </c>
      <c r="B7" s="3">
        <v>0.7</v>
      </c>
      <c r="D7" s="11"/>
      <c r="E7" s="2"/>
      <c r="F7" s="4"/>
      <c r="G7" s="2"/>
      <c r="H7" s="4"/>
      <c r="I7" s="4"/>
      <c r="J7" s="11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12</v>
      </c>
      <c r="D8" s="11"/>
      <c r="E8" s="15"/>
      <c r="F8" s="15"/>
      <c r="G8" s="15"/>
      <c r="H8" s="15"/>
      <c r="I8" s="15"/>
      <c r="J8" s="11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1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14">
        <v>9.2499999999999999E-2</v>
      </c>
      <c r="D10" s="11"/>
      <c r="E10" s="15"/>
      <c r="F10" s="15"/>
      <c r="G10" s="15"/>
      <c r="H10" s="15"/>
      <c r="I10" s="15"/>
      <c r="J10" s="11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4">
        <v>142.38999999999999</v>
      </c>
      <c r="D11" s="11"/>
      <c r="E11" s="15"/>
      <c r="F11" s="15"/>
      <c r="G11" s="15"/>
      <c r="H11" s="15"/>
      <c r="I11" s="15"/>
      <c r="J11" s="11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11">
        <v>46577</v>
      </c>
      <c r="D12" s="11"/>
      <c r="E12" s="15"/>
      <c r="F12" s="15"/>
      <c r="G12" s="15"/>
      <c r="H12" s="15"/>
      <c r="I12" s="15"/>
      <c r="J12" s="11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>
        <f ca="1">IF(B11&lt;&gt;N3,(TODAY()-B12)*-1,"")</f>
        <v>282</v>
      </c>
      <c r="D13" s="11"/>
      <c r="E13" s="15"/>
      <c r="F13" s="15"/>
      <c r="G13" s="15"/>
      <c r="H13" s="15"/>
      <c r="I13" s="15"/>
      <c r="J13" s="11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11"/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 t="str">
        <f>IF(M3=N3,B14-B12,"")</f>
        <v/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</row>
    <row r="17" spans="4:11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</row>
    <row r="18" spans="4:11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</row>
    <row r="19" spans="4:11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</row>
    <row r="20" spans="4:11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</row>
    <row r="21" spans="4:11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</row>
    <row r="22" spans="4:11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</row>
    <row r="23" spans="4:11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</row>
    <row r="24" spans="4:11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</row>
    <row r="25" spans="4:11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</row>
    <row r="26" spans="4:11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</row>
    <row r="27" spans="4:11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</row>
    <row r="28" spans="4:11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</row>
    <row r="29" spans="4:11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</row>
    <row r="30" spans="4:11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</row>
    <row r="31" spans="4:11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</row>
    <row r="32" spans="4:11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</row>
    <row r="33" spans="4:11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</row>
    <row r="34" spans="4:11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</row>
    <row r="35" spans="4:11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</row>
    <row r="36" spans="4:11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</row>
    <row r="37" spans="4:11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</row>
    <row r="38" spans="4:11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</row>
    <row r="39" spans="4:11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</row>
    <row r="40" spans="4:11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</row>
    <row r="41" spans="4:11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</row>
    <row r="42" spans="4:11" x14ac:dyDescent="0.25">
      <c r="D42" s="8" t="s">
        <v>10</v>
      </c>
      <c r="E42" s="4">
        <f>SUM(E2:E41)</f>
        <v>142.38999999999999</v>
      </c>
      <c r="F42" s="4">
        <f t="shared" ref="F42:I42" si="3">SUM(F2:F41)</f>
        <v>13.209999999999999</v>
      </c>
      <c r="G42" s="4">
        <f t="shared" si="3"/>
        <v>0</v>
      </c>
      <c r="H42" s="4">
        <f t="shared" si="3"/>
        <v>0</v>
      </c>
      <c r="I42" s="4">
        <f t="shared" si="3"/>
        <v>0</v>
      </c>
      <c r="J42" s="2"/>
      <c r="K42" s="2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99" priority="5">
      <formula>$M$3=$N$3</formula>
    </cfRule>
    <cfRule type="expression" dxfId="98" priority="6">
      <formula>$AA$2="+"</formula>
    </cfRule>
  </conditionalFormatting>
  <conditionalFormatting sqref="S3">
    <cfRule type="expression" dxfId="97" priority="1">
      <formula>$AA$2="+"</formula>
    </cfRule>
  </conditionalFormatting>
  <conditionalFormatting sqref="AA2">
    <cfRule type="expression" dxfId="96" priority="2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2"/>
  <sheetViews>
    <sheetView workbookViewId="0">
      <selection activeCell="A11" sqref="A1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83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82</v>
      </c>
      <c r="D2" s="11">
        <v>46203</v>
      </c>
      <c r="E2" s="4">
        <v>0</v>
      </c>
      <c r="F2" s="4">
        <v>2.5499999999999998</v>
      </c>
      <c r="G2" s="4">
        <v>0</v>
      </c>
      <c r="H2" s="4">
        <v>2.5499999999999998</v>
      </c>
      <c r="I2" s="4">
        <v>0</v>
      </c>
      <c r="J2" s="11">
        <v>46213</v>
      </c>
      <c r="K2" s="10">
        <f>IF(J2&gt;0,J2-D2,"")</f>
        <v>10</v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B4</f>
        <v>46097</v>
      </c>
      <c r="Z2" s="4">
        <f>B11*-1</f>
        <v>-102.01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46095</v>
      </c>
      <c r="D3" s="11">
        <v>46295</v>
      </c>
      <c r="E3" s="4">
        <v>0</v>
      </c>
      <c r="F3" s="4">
        <v>2.17</v>
      </c>
      <c r="G3" s="4"/>
      <c r="H3" s="4"/>
      <c r="I3" s="4"/>
      <c r="J3" s="11"/>
      <c r="K3" s="10" t="str">
        <f t="shared" ref="K3:K41" si="0">IF(J3&gt;0,J3-D3,"")</f>
        <v/>
      </c>
      <c r="M3" s="4">
        <f>B11</f>
        <v>102.01</v>
      </c>
      <c r="N3" s="4">
        <f>G42</f>
        <v>0</v>
      </c>
      <c r="O3" s="4">
        <f>F42</f>
        <v>8.7199999999999989</v>
      </c>
      <c r="P3" s="4">
        <f>H42+I42</f>
        <v>2.5499999999999998</v>
      </c>
      <c r="Q3" s="14" t="str">
        <f>IF(M3=N3,XIRR(Z2:Z14,Y2:Y14),"")</f>
        <v/>
      </c>
      <c r="R3" s="11" t="str">
        <f>IF(M3=N3,B14,"")</f>
        <v/>
      </c>
      <c r="S3" s="2" t="str">
        <f ca="1">IF(COUNTIFS(D:D,"&lt;"&amp;TODAY(),J:J,"")=0,"",TODAY()-_xlfn.MINIFS(D:D,D:D,"&lt;"&amp;TODAY(),J:J,""))</f>
        <v/>
      </c>
      <c r="Y3" s="11">
        <f>J2</f>
        <v>46213</v>
      </c>
      <c r="Z3" s="4">
        <f>G2+H2+I2</f>
        <v>2.5499999999999998</v>
      </c>
    </row>
    <row r="4" spans="1:27" x14ac:dyDescent="0.25">
      <c r="A4" s="7" t="s">
        <v>11</v>
      </c>
      <c r="B4" s="11">
        <v>46097</v>
      </c>
      <c r="D4" s="11">
        <v>46387</v>
      </c>
      <c r="E4" s="4">
        <v>0</v>
      </c>
      <c r="F4" s="4">
        <v>2.17</v>
      </c>
      <c r="G4" s="4"/>
      <c r="H4" s="4"/>
      <c r="I4" s="4"/>
      <c r="J4" s="11"/>
      <c r="K4" s="10" t="str">
        <f t="shared" si="0"/>
        <v/>
      </c>
      <c r="Y4" s="11">
        <f t="shared" ref="Y4:Y14" si="1">J3</f>
        <v>0</v>
      </c>
      <c r="Z4" s="4">
        <f t="shared" ref="Z4:Z14" si="2">G3+H3+I3</f>
        <v>0</v>
      </c>
    </row>
    <row r="5" spans="1:27" x14ac:dyDescent="0.25">
      <c r="A5" s="7" t="s">
        <v>2</v>
      </c>
      <c r="B5" s="2" t="s">
        <v>28</v>
      </c>
      <c r="D5" s="11">
        <v>46462</v>
      </c>
      <c r="E5" s="4">
        <v>102.01</v>
      </c>
      <c r="F5" s="4">
        <v>1.83</v>
      </c>
      <c r="G5" s="4"/>
      <c r="H5" s="4"/>
      <c r="I5" s="4"/>
      <c r="J5" s="11"/>
      <c r="K5" s="10" t="str">
        <f t="shared" si="0"/>
        <v/>
      </c>
      <c r="Y5" s="11">
        <f t="shared" si="1"/>
        <v>0</v>
      </c>
      <c r="Z5" s="4">
        <f t="shared" si="2"/>
        <v>0</v>
      </c>
    </row>
    <row r="6" spans="1:27" x14ac:dyDescent="0.25">
      <c r="A6" s="7" t="s">
        <v>12</v>
      </c>
      <c r="B6" s="3">
        <v>0.73</v>
      </c>
      <c r="D6" s="11"/>
      <c r="E6" s="4"/>
      <c r="F6" s="4"/>
      <c r="G6" s="4"/>
      <c r="H6" s="4"/>
      <c r="I6" s="4"/>
      <c r="J6" s="11"/>
      <c r="K6" s="10" t="str">
        <f t="shared" si="0"/>
        <v/>
      </c>
      <c r="Y6" s="11">
        <f t="shared" si="1"/>
        <v>0</v>
      </c>
      <c r="Z6" s="4">
        <f t="shared" si="2"/>
        <v>0</v>
      </c>
    </row>
    <row r="7" spans="1:27" x14ac:dyDescent="0.25">
      <c r="A7" s="7" t="s">
        <v>13</v>
      </c>
      <c r="B7" s="3">
        <v>0.75</v>
      </c>
      <c r="D7" s="11"/>
      <c r="E7" s="2"/>
      <c r="F7" s="4"/>
      <c r="G7" s="2"/>
      <c r="H7" s="4"/>
      <c r="I7" s="4"/>
      <c r="J7" s="11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12</v>
      </c>
      <c r="D8" s="11"/>
      <c r="E8" s="15"/>
      <c r="F8" s="15"/>
      <c r="G8" s="15"/>
      <c r="H8" s="15"/>
      <c r="I8" s="15"/>
      <c r="J8" s="11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1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14">
        <v>8.5000000000000006E-2</v>
      </c>
      <c r="D10" s="11"/>
      <c r="E10" s="15"/>
      <c r="F10" s="15"/>
      <c r="G10" s="15"/>
      <c r="H10" s="15"/>
      <c r="I10" s="15"/>
      <c r="J10" s="11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4">
        <v>102.01</v>
      </c>
      <c r="D11" s="11"/>
      <c r="E11" s="15"/>
      <c r="F11" s="15"/>
      <c r="G11" s="15"/>
      <c r="H11" s="15"/>
      <c r="I11" s="15"/>
      <c r="J11" s="11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11">
        <v>46462</v>
      </c>
      <c r="D12" s="11"/>
      <c r="E12" s="15"/>
      <c r="F12" s="15"/>
      <c r="G12" s="15"/>
      <c r="H12" s="15"/>
      <c r="I12" s="15"/>
      <c r="J12" s="11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>
        <f ca="1">IF(B11&lt;&gt;N3,(TODAY()-B12)*-1,"")</f>
        <v>167</v>
      </c>
      <c r="D13" s="11"/>
      <c r="E13" s="15"/>
      <c r="F13" s="15"/>
      <c r="G13" s="15"/>
      <c r="H13" s="15"/>
      <c r="I13" s="15"/>
      <c r="J13" s="11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11"/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 t="str">
        <f>IF(M3=N3,B14-B12,"")</f>
        <v/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</row>
    <row r="17" spans="4:11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</row>
    <row r="18" spans="4:11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</row>
    <row r="19" spans="4:11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</row>
    <row r="20" spans="4:11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</row>
    <row r="21" spans="4:11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</row>
    <row r="22" spans="4:11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</row>
    <row r="23" spans="4:11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</row>
    <row r="24" spans="4:11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</row>
    <row r="25" spans="4:11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</row>
    <row r="26" spans="4:11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</row>
    <row r="27" spans="4:11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</row>
    <row r="28" spans="4:11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</row>
    <row r="29" spans="4:11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</row>
    <row r="30" spans="4:11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</row>
    <row r="31" spans="4:11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</row>
    <row r="32" spans="4:11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</row>
    <row r="33" spans="4:11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</row>
    <row r="34" spans="4:11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</row>
    <row r="35" spans="4:11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</row>
    <row r="36" spans="4:11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</row>
    <row r="37" spans="4:11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</row>
    <row r="38" spans="4:11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</row>
    <row r="39" spans="4:11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</row>
    <row r="40" spans="4:11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</row>
    <row r="41" spans="4:11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</row>
    <row r="42" spans="4:11" x14ac:dyDescent="0.25">
      <c r="D42" s="8" t="s">
        <v>10</v>
      </c>
      <c r="E42" s="4">
        <f>SUM(E2:E41)</f>
        <v>102.01</v>
      </c>
      <c r="F42" s="4">
        <f t="shared" ref="F42:I42" si="3">SUM(F2:F41)</f>
        <v>8.7199999999999989</v>
      </c>
      <c r="G42" s="4">
        <f t="shared" si="3"/>
        <v>0</v>
      </c>
      <c r="H42" s="4">
        <f t="shared" si="3"/>
        <v>2.5499999999999998</v>
      </c>
      <c r="I42" s="4">
        <f t="shared" si="3"/>
        <v>0</v>
      </c>
      <c r="J42" s="2"/>
      <c r="K42" s="2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95" priority="6">
      <formula>$M$3=$N$3</formula>
    </cfRule>
    <cfRule type="expression" dxfId="94" priority="7">
      <formula>$AA$2="+"</formula>
    </cfRule>
  </conditionalFormatting>
  <conditionalFormatting sqref="S3">
    <cfRule type="expression" dxfId="93" priority="1">
      <formula>$AA$2="+"</formula>
    </cfRule>
  </conditionalFormatting>
  <conditionalFormatting sqref="AA2">
    <cfRule type="expression" dxfId="92" priority="2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2"/>
  <sheetViews>
    <sheetView workbookViewId="0">
      <selection activeCell="K3" sqref="K3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74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73</v>
      </c>
      <c r="D2" s="11">
        <v>46203</v>
      </c>
      <c r="E2" s="4">
        <v>0</v>
      </c>
      <c r="F2" s="4">
        <v>3.14</v>
      </c>
      <c r="G2" s="4">
        <v>0</v>
      </c>
      <c r="H2" s="4">
        <v>3.14</v>
      </c>
      <c r="I2" s="4">
        <v>0</v>
      </c>
      <c r="J2" s="11">
        <v>46203</v>
      </c>
      <c r="K2" s="10">
        <f>IF(J2&gt;0,J2-D2,"")</f>
        <v>0</v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B4</f>
        <v>46092</v>
      </c>
      <c r="Z2" s="4">
        <f>B11*-1</f>
        <v>-100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46088</v>
      </c>
      <c r="D3" s="11">
        <v>46295</v>
      </c>
      <c r="E3" s="4">
        <v>0</v>
      </c>
      <c r="F3" s="4">
        <v>2.5</v>
      </c>
      <c r="G3" s="4">
        <v>0</v>
      </c>
      <c r="H3" s="4">
        <v>2.5</v>
      </c>
      <c r="I3" s="4">
        <v>0</v>
      </c>
      <c r="J3" s="11">
        <v>46295</v>
      </c>
      <c r="K3" s="10">
        <f t="shared" ref="K3:K41" si="0">IF(J3&gt;0,J3-D3,"")</f>
        <v>0</v>
      </c>
      <c r="M3" s="4">
        <f>B11</f>
        <v>100</v>
      </c>
      <c r="N3" s="4">
        <f>G42</f>
        <v>0</v>
      </c>
      <c r="O3" s="4">
        <f>F42</f>
        <v>12.610000000000001</v>
      </c>
      <c r="P3" s="4">
        <f>H42+I42</f>
        <v>5.6400000000000006</v>
      </c>
      <c r="Q3" s="14" t="str">
        <f>IF(M3=N3,XIRR(Z2:Z14,Y2:Y14),"")</f>
        <v/>
      </c>
      <c r="R3" s="11" t="str">
        <f>IF(M3=N3,B14,"")</f>
        <v/>
      </c>
      <c r="S3" s="2" t="str">
        <f ca="1">IF(COUNTIFS(D:D,"&lt;"&amp;TODAY(),J:J,"")=0,"",TODAY()-_xlfn.MINIFS(D:D,D:D,"&lt;"&amp;TODAY(),J:J,""))</f>
        <v/>
      </c>
      <c r="Y3" s="11">
        <f>J2</f>
        <v>46203</v>
      </c>
      <c r="Z3" s="4">
        <f>G2+H2+I2</f>
        <v>3.14</v>
      </c>
    </row>
    <row r="4" spans="1:27" x14ac:dyDescent="0.25">
      <c r="A4" s="7" t="s">
        <v>11</v>
      </c>
      <c r="B4" s="11">
        <v>46092</v>
      </c>
      <c r="D4" s="11">
        <v>46387</v>
      </c>
      <c r="E4" s="4">
        <v>0</v>
      </c>
      <c r="F4" s="4">
        <v>2.5</v>
      </c>
      <c r="G4" s="4"/>
      <c r="H4" s="4"/>
      <c r="I4" s="4"/>
      <c r="J4" s="11"/>
      <c r="K4" s="10" t="str">
        <f t="shared" si="0"/>
        <v/>
      </c>
      <c r="Y4" s="11">
        <f t="shared" ref="Y4:Y14" si="1">J3</f>
        <v>46295</v>
      </c>
      <c r="Z4" s="4">
        <f t="shared" ref="Z4:Z14" si="2">G3+H3+I3</f>
        <v>2.5</v>
      </c>
    </row>
    <row r="5" spans="1:27" x14ac:dyDescent="0.25">
      <c r="A5" s="7" t="s">
        <v>2</v>
      </c>
      <c r="B5" s="2" t="s">
        <v>15</v>
      </c>
      <c r="D5" s="11">
        <v>46477</v>
      </c>
      <c r="E5" s="4">
        <v>0</v>
      </c>
      <c r="F5" s="4">
        <v>2.5</v>
      </c>
      <c r="G5" s="4"/>
      <c r="H5" s="4"/>
      <c r="I5" s="4"/>
      <c r="J5" s="11"/>
      <c r="K5" s="10" t="str">
        <f t="shared" si="0"/>
        <v/>
      </c>
      <c r="Y5" s="11">
        <f t="shared" si="1"/>
        <v>0</v>
      </c>
      <c r="Z5" s="4">
        <f t="shared" si="2"/>
        <v>0</v>
      </c>
    </row>
    <row r="6" spans="1:27" x14ac:dyDescent="0.25">
      <c r="A6" s="7" t="s">
        <v>12</v>
      </c>
      <c r="B6" s="3">
        <v>0.6</v>
      </c>
      <c r="D6" s="11">
        <v>46549</v>
      </c>
      <c r="E6" s="4">
        <v>100</v>
      </c>
      <c r="F6" s="4">
        <v>1.97</v>
      </c>
      <c r="G6" s="4"/>
      <c r="H6" s="4"/>
      <c r="I6" s="4"/>
      <c r="J6" s="11"/>
      <c r="K6" s="10" t="str">
        <f t="shared" si="0"/>
        <v/>
      </c>
      <c r="Y6" s="11">
        <f t="shared" si="1"/>
        <v>0</v>
      </c>
      <c r="Z6" s="4">
        <f t="shared" si="2"/>
        <v>0</v>
      </c>
    </row>
    <row r="7" spans="1:27" x14ac:dyDescent="0.25">
      <c r="A7" s="7" t="s">
        <v>13</v>
      </c>
      <c r="B7" s="3">
        <v>0.75</v>
      </c>
      <c r="D7" s="11"/>
      <c r="E7" s="2"/>
      <c r="F7" s="4"/>
      <c r="G7" s="2"/>
      <c r="H7" s="4"/>
      <c r="I7" s="4"/>
      <c r="J7" s="11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16</v>
      </c>
      <c r="D8" s="11"/>
      <c r="E8" s="15"/>
      <c r="F8" s="15"/>
      <c r="G8" s="15"/>
      <c r="H8" s="15"/>
      <c r="I8" s="15"/>
      <c r="J8" s="11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1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14">
        <v>0.1</v>
      </c>
      <c r="D10" s="11"/>
      <c r="E10" s="15"/>
      <c r="F10" s="15"/>
      <c r="G10" s="15"/>
      <c r="H10" s="15"/>
      <c r="I10" s="15"/>
      <c r="J10" s="11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4">
        <v>100</v>
      </c>
      <c r="D11" s="11"/>
      <c r="E11" s="15"/>
      <c r="F11" s="15"/>
      <c r="G11" s="15"/>
      <c r="H11" s="15"/>
      <c r="I11" s="15"/>
      <c r="J11" s="11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20">
        <v>46549</v>
      </c>
      <c r="D12" s="11"/>
      <c r="E12" s="15"/>
      <c r="F12" s="15"/>
      <c r="G12" s="15"/>
      <c r="H12" s="15"/>
      <c r="I12" s="15"/>
      <c r="J12" s="11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>
        <f ca="1">IF(B11&lt;&gt;N3,(TODAY()-B12)*-1,"")</f>
        <v>254</v>
      </c>
      <c r="D13" s="11"/>
      <c r="E13" s="15"/>
      <c r="F13" s="15"/>
      <c r="G13" s="15"/>
      <c r="H13" s="15"/>
      <c r="I13" s="15"/>
      <c r="J13" s="11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11"/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 t="str">
        <f>IF(M3=N3,B14-B12,"")</f>
        <v/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</row>
    <row r="17" spans="4:11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</row>
    <row r="18" spans="4:11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</row>
    <row r="19" spans="4:11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</row>
    <row r="20" spans="4:11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</row>
    <row r="21" spans="4:11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</row>
    <row r="22" spans="4:11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</row>
    <row r="23" spans="4:11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</row>
    <row r="24" spans="4:11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</row>
    <row r="25" spans="4:11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</row>
    <row r="26" spans="4:11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</row>
    <row r="27" spans="4:11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</row>
    <row r="28" spans="4:11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</row>
    <row r="29" spans="4:11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</row>
    <row r="30" spans="4:11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</row>
    <row r="31" spans="4:11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</row>
    <row r="32" spans="4:11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</row>
    <row r="33" spans="4:11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</row>
    <row r="34" spans="4:11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</row>
    <row r="35" spans="4:11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</row>
    <row r="36" spans="4:11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</row>
    <row r="37" spans="4:11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</row>
    <row r="38" spans="4:11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</row>
    <row r="39" spans="4:11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</row>
    <row r="40" spans="4:11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</row>
    <row r="41" spans="4:11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</row>
    <row r="42" spans="4:11" x14ac:dyDescent="0.25">
      <c r="D42" s="8" t="s">
        <v>10</v>
      </c>
      <c r="E42" s="4">
        <f>SUM(E2:E41)</f>
        <v>100</v>
      </c>
      <c r="F42" s="4">
        <f t="shared" ref="F42:I42" si="3">SUM(F2:F41)</f>
        <v>12.610000000000001</v>
      </c>
      <c r="G42" s="4">
        <f t="shared" si="3"/>
        <v>0</v>
      </c>
      <c r="H42" s="4">
        <f t="shared" si="3"/>
        <v>5.6400000000000006</v>
      </c>
      <c r="I42" s="4">
        <f t="shared" si="3"/>
        <v>0</v>
      </c>
      <c r="J42" s="2"/>
      <c r="K42" s="2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91" priority="4">
      <formula>$M$3=$N$3</formula>
    </cfRule>
    <cfRule type="expression" dxfId="90" priority="5">
      <formula>$AA$2="+"</formula>
    </cfRule>
  </conditionalFormatting>
  <conditionalFormatting sqref="S3">
    <cfRule type="expression" dxfId="89" priority="1">
      <formula>$AA$2="+"</formula>
    </cfRule>
  </conditionalFormatting>
  <conditionalFormatting sqref="AA2">
    <cfRule type="expression" dxfId="88" priority="2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81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80</v>
      </c>
      <c r="D2" s="11">
        <v>46203</v>
      </c>
      <c r="E2" s="4">
        <v>0</v>
      </c>
      <c r="F2" s="4">
        <v>2.9</v>
      </c>
      <c r="G2" s="4"/>
      <c r="H2" s="4"/>
      <c r="I2" s="4"/>
      <c r="J2" s="11"/>
      <c r="K2" s="10" t="str">
        <f>IF(J2&gt;0,J2-D2,"")</f>
        <v/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B4</f>
        <v>46091</v>
      </c>
      <c r="Z2" s="4">
        <f>B11*-1</f>
        <v>-100</v>
      </c>
      <c r="AA2" s="2" t="str">
        <f ca="1">IF(COUNTIFS(D:D,"&lt;"&amp;TODAY(),J:J,"")&gt;0,"+","")</f>
        <v>+</v>
      </c>
    </row>
    <row r="3" spans="1:27" x14ac:dyDescent="0.25">
      <c r="A3" s="7" t="s">
        <v>7</v>
      </c>
      <c r="B3" s="11">
        <v>46091</v>
      </c>
      <c r="D3" s="11">
        <v>46295</v>
      </c>
      <c r="E3" s="4">
        <v>0</v>
      </c>
      <c r="F3" s="4">
        <v>2.38</v>
      </c>
      <c r="G3" s="4"/>
      <c r="H3" s="4"/>
      <c r="I3" s="4"/>
      <c r="J3" s="11"/>
      <c r="K3" s="10" t="str">
        <f t="shared" ref="K3:K41" si="0">IF(J3&gt;0,J3-D3,"")</f>
        <v/>
      </c>
      <c r="M3" s="4">
        <f>B11</f>
        <v>100</v>
      </c>
      <c r="N3" s="4">
        <f>G42</f>
        <v>0</v>
      </c>
      <c r="O3" s="4">
        <f>F42</f>
        <v>7.1</v>
      </c>
      <c r="P3" s="4">
        <f>H42+I42</f>
        <v>0</v>
      </c>
      <c r="Q3" s="14" t="str">
        <f>IF(M3=N3,XIRR(Z2:Z14,Y2:Y14),"")</f>
        <v/>
      </c>
      <c r="R3" s="11" t="str">
        <f>IF(M3=N3,B14,"")</f>
        <v/>
      </c>
      <c r="S3" s="2">
        <f ca="1">IF(COUNTIFS(D:D,"&lt;"&amp;TODAY(),J:J,"")=0,"",TODAY()-_xlfn.MINIFS(D:D,D:D,"&lt;"&amp;TODAY(),J:J,""))</f>
        <v>92</v>
      </c>
      <c r="Y3" s="11">
        <f>J2</f>
        <v>0</v>
      </c>
      <c r="Z3" s="4">
        <f>G2+H2+I2</f>
        <v>0</v>
      </c>
    </row>
    <row r="4" spans="1:27" x14ac:dyDescent="0.25">
      <c r="A4" s="7" t="s">
        <v>11</v>
      </c>
      <c r="B4" s="11">
        <v>46091</v>
      </c>
      <c r="D4" s="11">
        <v>46365</v>
      </c>
      <c r="E4" s="4">
        <v>100</v>
      </c>
      <c r="F4" s="4">
        <v>1.82</v>
      </c>
      <c r="G4" s="4"/>
      <c r="H4" s="4"/>
      <c r="I4" s="4"/>
      <c r="J4" s="20"/>
      <c r="K4" s="10" t="str">
        <f t="shared" si="0"/>
        <v/>
      </c>
      <c r="Y4" s="11">
        <f t="shared" ref="Y4:Y14" si="1">J3</f>
        <v>0</v>
      </c>
      <c r="Z4" s="4">
        <f t="shared" ref="Z4:Z14" si="2">G3+H3+I3</f>
        <v>0</v>
      </c>
    </row>
    <row r="5" spans="1:27" x14ac:dyDescent="0.25">
      <c r="A5" s="7" t="s">
        <v>2</v>
      </c>
      <c r="B5" s="2" t="s">
        <v>15</v>
      </c>
      <c r="D5" s="11"/>
      <c r="E5" s="4"/>
      <c r="F5" s="4"/>
      <c r="G5" s="4"/>
      <c r="H5" s="4"/>
      <c r="I5" s="4"/>
      <c r="J5" s="11"/>
      <c r="K5" s="10" t="str">
        <f t="shared" si="0"/>
        <v/>
      </c>
      <c r="Y5" s="11">
        <f t="shared" si="1"/>
        <v>0</v>
      </c>
      <c r="Z5" s="4">
        <f t="shared" si="2"/>
        <v>0</v>
      </c>
    </row>
    <row r="6" spans="1:27" x14ac:dyDescent="0.25">
      <c r="A6" s="7" t="s">
        <v>12</v>
      </c>
      <c r="B6" s="3">
        <v>0.7</v>
      </c>
      <c r="D6" s="11"/>
      <c r="E6" s="4"/>
      <c r="F6" s="4"/>
      <c r="G6" s="4"/>
      <c r="H6" s="4"/>
      <c r="I6" s="4"/>
      <c r="J6" s="11"/>
      <c r="K6" s="10" t="str">
        <f t="shared" si="0"/>
        <v/>
      </c>
      <c r="Y6" s="11">
        <f t="shared" si="1"/>
        <v>0</v>
      </c>
      <c r="Z6" s="4">
        <f t="shared" si="2"/>
        <v>0</v>
      </c>
    </row>
    <row r="7" spans="1:27" x14ac:dyDescent="0.25">
      <c r="A7" s="7" t="s">
        <v>13</v>
      </c>
      <c r="B7" s="3">
        <v>0.7</v>
      </c>
      <c r="D7" s="11"/>
      <c r="E7" s="2"/>
      <c r="F7" s="4"/>
      <c r="G7" s="2"/>
      <c r="H7" s="4"/>
      <c r="I7" s="4"/>
      <c r="J7" s="11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9</v>
      </c>
      <c r="D8" s="11"/>
      <c r="E8" s="15"/>
      <c r="F8" s="15"/>
      <c r="G8" s="15"/>
      <c r="H8" s="15"/>
      <c r="I8" s="15"/>
      <c r="J8" s="11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1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14">
        <v>9.5000000000000001E-2</v>
      </c>
      <c r="D10" s="11"/>
      <c r="E10" s="15"/>
      <c r="F10" s="15"/>
      <c r="G10" s="15"/>
      <c r="H10" s="15"/>
      <c r="I10" s="15"/>
      <c r="J10" s="11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4">
        <v>100</v>
      </c>
      <c r="D11" s="11"/>
      <c r="E11" s="15"/>
      <c r="F11" s="15"/>
      <c r="G11" s="15"/>
      <c r="H11" s="15"/>
      <c r="I11" s="15"/>
      <c r="J11" s="11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20">
        <v>46365</v>
      </c>
      <c r="D12" s="11"/>
      <c r="E12" s="15"/>
      <c r="F12" s="15"/>
      <c r="G12" s="15"/>
      <c r="H12" s="15"/>
      <c r="I12" s="15"/>
      <c r="J12" s="11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>
        <f ca="1">IF(B11&lt;&gt;N3,(TODAY()-B12)*-1,"")</f>
        <v>70</v>
      </c>
      <c r="D13" s="11"/>
      <c r="E13" s="15"/>
      <c r="F13" s="15"/>
      <c r="G13" s="15"/>
      <c r="H13" s="15"/>
      <c r="I13" s="15"/>
      <c r="J13" s="11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15"/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 t="str">
        <f>IF(M3=N3,B14-B12,"")</f>
        <v/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</row>
    <row r="17" spans="4:11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</row>
    <row r="18" spans="4:11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</row>
    <row r="19" spans="4:11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</row>
    <row r="20" spans="4:11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</row>
    <row r="21" spans="4:11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</row>
    <row r="22" spans="4:11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</row>
    <row r="23" spans="4:11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</row>
    <row r="24" spans="4:11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</row>
    <row r="25" spans="4:11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</row>
    <row r="26" spans="4:11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</row>
    <row r="27" spans="4:11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</row>
    <row r="28" spans="4:11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</row>
    <row r="29" spans="4:11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</row>
    <row r="30" spans="4:11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</row>
    <row r="31" spans="4:11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</row>
    <row r="32" spans="4:11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</row>
    <row r="33" spans="4:11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</row>
    <row r="34" spans="4:11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</row>
    <row r="35" spans="4:11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</row>
    <row r="36" spans="4:11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</row>
    <row r="37" spans="4:11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</row>
    <row r="38" spans="4:11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</row>
    <row r="39" spans="4:11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</row>
    <row r="40" spans="4:11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</row>
    <row r="41" spans="4:11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</row>
    <row r="42" spans="4:11" x14ac:dyDescent="0.25">
      <c r="D42" s="8" t="s">
        <v>10</v>
      </c>
      <c r="E42" s="4">
        <f>SUM(E2:E41)</f>
        <v>100</v>
      </c>
      <c r="F42" s="4">
        <f t="shared" ref="F42:I42" si="3">SUM(F2:F41)</f>
        <v>7.1</v>
      </c>
      <c r="G42" s="4">
        <f t="shared" si="3"/>
        <v>0</v>
      </c>
      <c r="H42" s="4">
        <f t="shared" si="3"/>
        <v>0</v>
      </c>
      <c r="I42" s="4">
        <f t="shared" si="3"/>
        <v>0</v>
      </c>
      <c r="J42" s="2"/>
      <c r="K42" s="2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87" priority="4">
      <formula>$M$3=$N$3</formula>
    </cfRule>
    <cfRule type="expression" dxfId="86" priority="5">
      <formula>$AA$2="+"</formula>
    </cfRule>
  </conditionalFormatting>
  <conditionalFormatting sqref="S3">
    <cfRule type="expression" dxfId="85" priority="1">
      <formula>$AA$2="+"</formula>
    </cfRule>
  </conditionalFormatting>
  <conditionalFormatting sqref="AA2">
    <cfRule type="expression" dxfId="84" priority="2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A42"/>
  <sheetViews>
    <sheetView workbookViewId="0">
      <selection activeCell="P14" sqref="P14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72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71</v>
      </c>
      <c r="D2" s="11">
        <v>46174</v>
      </c>
      <c r="E2" s="4">
        <v>0</v>
      </c>
      <c r="F2" s="4">
        <v>2.76</v>
      </c>
      <c r="G2" s="4">
        <v>0</v>
      </c>
      <c r="H2" s="4">
        <v>2.76</v>
      </c>
      <c r="I2" s="4">
        <v>0</v>
      </c>
      <c r="J2" s="11">
        <v>46174</v>
      </c>
      <c r="K2" s="10">
        <f>IF(J2&gt;0,J2-D2,"")</f>
        <v>0</v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B4</f>
        <v>46073</v>
      </c>
      <c r="Z2" s="4">
        <f>B11*-1</f>
        <v>-103.68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46073</v>
      </c>
      <c r="D3" s="11">
        <v>46220</v>
      </c>
      <c r="E3" s="4">
        <v>103.68</v>
      </c>
      <c r="F3" s="4">
        <v>1.26</v>
      </c>
      <c r="G3" s="4">
        <v>103.68</v>
      </c>
      <c r="H3" s="4">
        <v>1.26</v>
      </c>
      <c r="I3" s="4">
        <v>0.5</v>
      </c>
      <c r="J3" s="11">
        <v>46232</v>
      </c>
      <c r="K3" s="10">
        <f t="shared" ref="K3:K41" si="0">IF(J3&gt;0,J3-D3,"")</f>
        <v>12</v>
      </c>
      <c r="M3" s="4">
        <f>B11</f>
        <v>103.68</v>
      </c>
      <c r="N3" s="4">
        <f>G42</f>
        <v>103.68</v>
      </c>
      <c r="O3" s="4">
        <f>F42</f>
        <v>4.0199999999999996</v>
      </c>
      <c r="P3" s="4">
        <f>H42+I42</f>
        <v>4.5199999999999996</v>
      </c>
      <c r="Q3" s="14">
        <f>IF(M3=N3,XIRR(Z2:Z14,Y2:Y14),"")</f>
        <v>0.1039396107196808</v>
      </c>
      <c r="R3" s="11">
        <f>IF(M3=N3,B14,"")</f>
        <v>46232</v>
      </c>
      <c r="S3" s="2" t="str">
        <f ca="1">IF(COUNTIFS(D:D,"&lt;"&amp;TODAY(),J:J,"")=0,"",TODAY()-_xlfn.MINIFS(D:D,D:D,"&lt;"&amp;TODAY(),J:J,""))</f>
        <v/>
      </c>
      <c r="Y3" s="11">
        <f>J2</f>
        <v>46174</v>
      </c>
      <c r="Z3" s="4">
        <f>G2+H2+I2</f>
        <v>2.76</v>
      </c>
    </row>
    <row r="4" spans="1:27" x14ac:dyDescent="0.25">
      <c r="A4" s="7" t="s">
        <v>11</v>
      </c>
      <c r="B4" s="11">
        <v>46073</v>
      </c>
      <c r="D4" s="11"/>
      <c r="E4" s="4"/>
      <c r="F4" s="4"/>
      <c r="G4" s="4"/>
      <c r="H4" s="4"/>
      <c r="I4" s="4"/>
      <c r="J4" s="20"/>
      <c r="K4" s="10" t="str">
        <f t="shared" si="0"/>
        <v/>
      </c>
      <c r="Y4" s="11">
        <f t="shared" ref="Y4:Y14" si="1">J3</f>
        <v>46232</v>
      </c>
      <c r="Z4" s="4">
        <f t="shared" ref="Z4:Z14" si="2">G3+H3+I3</f>
        <v>105.44000000000001</v>
      </c>
    </row>
    <row r="5" spans="1:27" x14ac:dyDescent="0.25">
      <c r="A5" s="7" t="s">
        <v>2</v>
      </c>
      <c r="B5" s="2" t="s">
        <v>15</v>
      </c>
      <c r="D5" s="11"/>
      <c r="E5" s="4"/>
      <c r="F5" s="4"/>
      <c r="G5" s="4"/>
      <c r="H5" s="4"/>
      <c r="I5" s="4"/>
      <c r="J5" s="11"/>
      <c r="K5" s="10" t="str">
        <f t="shared" si="0"/>
        <v/>
      </c>
      <c r="Y5" s="11">
        <f t="shared" si="1"/>
        <v>0</v>
      </c>
      <c r="Z5" s="4">
        <f t="shared" si="2"/>
        <v>0</v>
      </c>
    </row>
    <row r="6" spans="1:27" x14ac:dyDescent="0.25">
      <c r="A6" s="7" t="s">
        <v>12</v>
      </c>
      <c r="B6" s="3">
        <v>0.71</v>
      </c>
      <c r="D6" s="11"/>
      <c r="E6" s="4"/>
      <c r="F6" s="4"/>
      <c r="G6" s="4"/>
      <c r="H6" s="4"/>
      <c r="I6" s="4"/>
      <c r="J6" s="11"/>
      <c r="K6" s="10" t="str">
        <f t="shared" si="0"/>
        <v/>
      </c>
      <c r="Y6" s="11">
        <f t="shared" si="1"/>
        <v>0</v>
      </c>
      <c r="Z6" s="4">
        <f t="shared" si="2"/>
        <v>0</v>
      </c>
    </row>
    <row r="7" spans="1:27" x14ac:dyDescent="0.25">
      <c r="A7" s="7" t="s">
        <v>13</v>
      </c>
      <c r="B7" s="3">
        <v>0.8</v>
      </c>
      <c r="D7" s="11"/>
      <c r="E7" s="2"/>
      <c r="F7" s="4"/>
      <c r="G7" s="2"/>
      <c r="H7" s="4"/>
      <c r="I7" s="4"/>
      <c r="J7" s="11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5</v>
      </c>
      <c r="D8" s="11"/>
      <c r="E8" s="15"/>
      <c r="F8" s="15"/>
      <c r="G8" s="15"/>
      <c r="H8" s="15"/>
      <c r="I8" s="15"/>
      <c r="J8" s="11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1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14">
        <v>9.5000000000000001E-2</v>
      </c>
      <c r="D10" s="11"/>
      <c r="E10" s="15"/>
      <c r="F10" s="15"/>
      <c r="G10" s="15"/>
      <c r="H10" s="15"/>
      <c r="I10" s="15"/>
      <c r="J10" s="11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4">
        <v>103.68</v>
      </c>
      <c r="D11" s="11"/>
      <c r="E11" s="15"/>
      <c r="F11" s="15"/>
      <c r="G11" s="15"/>
      <c r="H11" s="15"/>
      <c r="I11" s="15"/>
      <c r="J11" s="11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11">
        <v>46220</v>
      </c>
      <c r="D12" s="11"/>
      <c r="E12" s="15"/>
      <c r="F12" s="15"/>
      <c r="G12" s="15"/>
      <c r="H12" s="15"/>
      <c r="I12" s="15"/>
      <c r="J12" s="11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 t="str">
        <f ca="1">IF(B11&lt;&gt;N3,(TODAY()-B12)*-1,"")</f>
        <v/>
      </c>
      <c r="D13" s="11"/>
      <c r="E13" s="15"/>
      <c r="F13" s="15"/>
      <c r="G13" s="15"/>
      <c r="H13" s="15"/>
      <c r="I13" s="15"/>
      <c r="J13" s="11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11">
        <v>46232</v>
      </c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>
        <f>IF(M3=N3,B14-B12,"")</f>
        <v>12</v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</row>
    <row r="17" spans="4:11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</row>
    <row r="18" spans="4:11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</row>
    <row r="19" spans="4:11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</row>
    <row r="20" spans="4:11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</row>
    <row r="21" spans="4:11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</row>
    <row r="22" spans="4:11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</row>
    <row r="23" spans="4:11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</row>
    <row r="24" spans="4:11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</row>
    <row r="25" spans="4:11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</row>
    <row r="26" spans="4:11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</row>
    <row r="27" spans="4:11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</row>
    <row r="28" spans="4:11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</row>
    <row r="29" spans="4:11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</row>
    <row r="30" spans="4:11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</row>
    <row r="31" spans="4:11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</row>
    <row r="32" spans="4:11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</row>
    <row r="33" spans="4:11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</row>
    <row r="34" spans="4:11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</row>
    <row r="35" spans="4:11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</row>
    <row r="36" spans="4:11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</row>
    <row r="37" spans="4:11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</row>
    <row r="38" spans="4:11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</row>
    <row r="39" spans="4:11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</row>
    <row r="40" spans="4:11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</row>
    <row r="41" spans="4:11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</row>
    <row r="42" spans="4:11" x14ac:dyDescent="0.25">
      <c r="D42" s="8" t="s">
        <v>10</v>
      </c>
      <c r="E42" s="4">
        <f>SUM(E2:E41)</f>
        <v>103.68</v>
      </c>
      <c r="F42" s="4">
        <f t="shared" ref="F42:I42" si="3">SUM(F2:F41)</f>
        <v>4.0199999999999996</v>
      </c>
      <c r="G42" s="4">
        <f t="shared" si="3"/>
        <v>103.68</v>
      </c>
      <c r="H42" s="4">
        <f t="shared" si="3"/>
        <v>4.0199999999999996</v>
      </c>
      <c r="I42" s="4">
        <f t="shared" si="3"/>
        <v>0.5</v>
      </c>
      <c r="J42" s="2"/>
      <c r="K42" s="2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83" priority="4">
      <formula>$M$3=$N$3</formula>
    </cfRule>
    <cfRule type="expression" dxfId="82" priority="5">
      <formula>$AA$2="+"</formula>
    </cfRule>
  </conditionalFormatting>
  <conditionalFormatting sqref="S3">
    <cfRule type="expression" dxfId="81" priority="1">
      <formula>$AA$2="+"</formula>
    </cfRule>
  </conditionalFormatting>
  <conditionalFormatting sqref="AA2">
    <cfRule type="expression" dxfId="80" priority="2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42"/>
  <sheetViews>
    <sheetView workbookViewId="0">
      <selection activeCell="M9" sqref="M9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69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70</v>
      </c>
      <c r="D2" s="11">
        <v>46174</v>
      </c>
      <c r="E2" s="4">
        <v>0</v>
      </c>
      <c r="F2" s="4">
        <v>3.78</v>
      </c>
      <c r="G2" s="4">
        <v>0</v>
      </c>
      <c r="H2" s="4">
        <v>3.78</v>
      </c>
      <c r="I2" s="4">
        <v>0</v>
      </c>
      <c r="J2" s="11">
        <v>46174</v>
      </c>
      <c r="K2" s="10">
        <f>IF(J2&gt;0,J2-D2,"")</f>
        <v>0</v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B4</f>
        <v>46073</v>
      </c>
      <c r="Z2" s="4">
        <f>B11*-1</f>
        <v>-157.15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46072</v>
      </c>
      <c r="D3" s="11">
        <v>46265</v>
      </c>
      <c r="E3" s="4">
        <v>0</v>
      </c>
      <c r="F3" s="4">
        <v>3.3</v>
      </c>
      <c r="G3" s="4">
        <v>0</v>
      </c>
      <c r="H3" s="4">
        <v>3.3</v>
      </c>
      <c r="I3" s="4">
        <v>0</v>
      </c>
      <c r="J3" s="11">
        <v>46268</v>
      </c>
      <c r="K3" s="10">
        <f t="shared" ref="K3:K41" si="0">IF(J3&gt;0,J3-D3,"")</f>
        <v>3</v>
      </c>
      <c r="M3" s="4">
        <f>B11</f>
        <v>157.15</v>
      </c>
      <c r="N3" s="4">
        <f>G42</f>
        <v>0</v>
      </c>
      <c r="O3" s="4">
        <f>F42</f>
        <v>10.050000000000001</v>
      </c>
      <c r="P3" s="4">
        <f>H42+I42</f>
        <v>7.08</v>
      </c>
      <c r="Q3" s="14" t="str">
        <f>IF(M3=N3,XIRR(Z2:Z14,Y2:Y14),"")</f>
        <v/>
      </c>
      <c r="R3" s="11" t="str">
        <f>IF(M3=N3,B14,"")</f>
        <v/>
      </c>
      <c r="S3" s="2" t="str">
        <f ca="1">IF(COUNTIFS(D:D,"&lt;"&amp;TODAY(),J:J,"")=0,"",TODAY()-_xlfn.MINIFS(D:D,D:D,"&lt;"&amp;TODAY(),J:J,""))</f>
        <v/>
      </c>
      <c r="Y3" s="11">
        <f>J2</f>
        <v>46174</v>
      </c>
      <c r="Z3" s="4">
        <f>G2+H2+I2</f>
        <v>3.78</v>
      </c>
    </row>
    <row r="4" spans="1:27" x14ac:dyDescent="0.25">
      <c r="A4" s="7" t="s">
        <v>11</v>
      </c>
      <c r="B4" s="11">
        <v>46073</v>
      </c>
      <c r="D4" s="11">
        <v>46346</v>
      </c>
      <c r="E4" s="4">
        <v>157.15</v>
      </c>
      <c r="F4" s="4">
        <v>2.97</v>
      </c>
      <c r="G4" s="4"/>
      <c r="H4" s="4"/>
      <c r="I4" s="4"/>
      <c r="J4" s="20"/>
      <c r="K4" s="10" t="str">
        <f t="shared" si="0"/>
        <v/>
      </c>
      <c r="Y4" s="11">
        <f t="shared" ref="Y4:Y14" si="1">J3</f>
        <v>46268</v>
      </c>
      <c r="Z4" s="4">
        <f t="shared" ref="Z4:Z14" si="2">G3+H3+I3</f>
        <v>3.3</v>
      </c>
    </row>
    <row r="5" spans="1:27" x14ac:dyDescent="0.25">
      <c r="A5" s="7" t="s">
        <v>2</v>
      </c>
      <c r="B5" s="2" t="s">
        <v>28</v>
      </c>
      <c r="D5" s="11"/>
      <c r="E5" s="4"/>
      <c r="F5" s="4"/>
      <c r="G5" s="4"/>
      <c r="H5" s="4"/>
      <c r="I5" s="4"/>
      <c r="J5" s="11"/>
      <c r="K5" s="10" t="str">
        <f t="shared" si="0"/>
        <v/>
      </c>
      <c r="Y5" s="11">
        <f t="shared" si="1"/>
        <v>0</v>
      </c>
      <c r="Z5" s="4">
        <f t="shared" si="2"/>
        <v>0</v>
      </c>
    </row>
    <row r="6" spans="1:27" x14ac:dyDescent="0.25">
      <c r="A6" s="7" t="s">
        <v>12</v>
      </c>
      <c r="B6" s="3">
        <v>0.24</v>
      </c>
      <c r="D6" s="11"/>
      <c r="E6" s="4"/>
      <c r="F6" s="4"/>
      <c r="G6" s="4"/>
      <c r="H6" s="4"/>
      <c r="I6" s="4"/>
      <c r="J6" s="11"/>
      <c r="K6" s="10" t="str">
        <f t="shared" si="0"/>
        <v/>
      </c>
      <c r="Y6" s="11">
        <f t="shared" si="1"/>
        <v>0</v>
      </c>
      <c r="Z6" s="4">
        <f t="shared" si="2"/>
        <v>0</v>
      </c>
    </row>
    <row r="7" spans="1:27" x14ac:dyDescent="0.25">
      <c r="A7" s="7" t="s">
        <v>13</v>
      </c>
      <c r="B7" s="3">
        <v>0.59</v>
      </c>
      <c r="D7" s="11"/>
      <c r="E7" s="2"/>
      <c r="F7" s="4"/>
      <c r="G7" s="2"/>
      <c r="H7" s="4"/>
      <c r="I7" s="4"/>
      <c r="J7" s="11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9</v>
      </c>
      <c r="D8" s="11"/>
      <c r="E8" s="15"/>
      <c r="F8" s="15"/>
      <c r="G8" s="15"/>
      <c r="H8" s="15"/>
      <c r="I8" s="15"/>
      <c r="J8" s="11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1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14">
        <v>8.5000000000000006E-2</v>
      </c>
      <c r="D10" s="11"/>
      <c r="E10" s="15"/>
      <c r="F10" s="15"/>
      <c r="G10" s="15"/>
      <c r="H10" s="15"/>
      <c r="I10" s="15"/>
      <c r="J10" s="11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4">
        <v>157.15</v>
      </c>
      <c r="D11" s="11"/>
      <c r="E11" s="15"/>
      <c r="F11" s="15"/>
      <c r="G11" s="15"/>
      <c r="H11" s="15"/>
      <c r="I11" s="15"/>
      <c r="J11" s="11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20">
        <v>46346</v>
      </c>
      <c r="D12" s="11"/>
      <c r="E12" s="15"/>
      <c r="F12" s="15"/>
      <c r="G12" s="15"/>
      <c r="H12" s="15"/>
      <c r="I12" s="15"/>
      <c r="J12" s="11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>
        <f ca="1">IF(B11&lt;&gt;N3,(TODAY()-B12)*-1,"")</f>
        <v>51</v>
      </c>
      <c r="D13" s="11"/>
      <c r="E13" s="15"/>
      <c r="F13" s="15"/>
      <c r="G13" s="15"/>
      <c r="H13" s="15"/>
      <c r="I13" s="15"/>
      <c r="J13" s="11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15"/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 t="str">
        <f>IF(M3=N3,B14-B12,"")</f>
        <v/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</row>
    <row r="17" spans="4:11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</row>
    <row r="18" spans="4:11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</row>
    <row r="19" spans="4:11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</row>
    <row r="20" spans="4:11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</row>
    <row r="21" spans="4:11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</row>
    <row r="22" spans="4:11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</row>
    <row r="23" spans="4:11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</row>
    <row r="24" spans="4:11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</row>
    <row r="25" spans="4:11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</row>
    <row r="26" spans="4:11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</row>
    <row r="27" spans="4:11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</row>
    <row r="28" spans="4:11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</row>
    <row r="29" spans="4:11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</row>
    <row r="30" spans="4:11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</row>
    <row r="31" spans="4:11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</row>
    <row r="32" spans="4:11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</row>
    <row r="33" spans="4:11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</row>
    <row r="34" spans="4:11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</row>
    <row r="35" spans="4:11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</row>
    <row r="36" spans="4:11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</row>
    <row r="37" spans="4:11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</row>
    <row r="38" spans="4:11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</row>
    <row r="39" spans="4:11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</row>
    <row r="40" spans="4:11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</row>
    <row r="41" spans="4:11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</row>
    <row r="42" spans="4:11" x14ac:dyDescent="0.25">
      <c r="D42" s="8" t="s">
        <v>10</v>
      </c>
      <c r="E42" s="4">
        <f>SUM(E2:E41)</f>
        <v>157.15</v>
      </c>
      <c r="F42" s="4">
        <f t="shared" ref="F42:I42" si="3">SUM(F2:F41)</f>
        <v>10.050000000000001</v>
      </c>
      <c r="G42" s="4">
        <f t="shared" si="3"/>
        <v>0</v>
      </c>
      <c r="H42" s="4">
        <f t="shared" si="3"/>
        <v>7.08</v>
      </c>
      <c r="I42" s="4">
        <f t="shared" si="3"/>
        <v>0</v>
      </c>
      <c r="J42" s="2"/>
      <c r="K42" s="2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79" priority="4">
      <formula>$M$3=$N$3</formula>
    </cfRule>
    <cfRule type="expression" dxfId="78" priority="5">
      <formula>$AA$2="+"</formula>
    </cfRule>
  </conditionalFormatting>
  <conditionalFormatting sqref="S3">
    <cfRule type="expression" dxfId="77" priority="1">
      <formula>$AA$2="+"</formula>
    </cfRule>
  </conditionalFormatting>
  <conditionalFormatting sqref="AA2">
    <cfRule type="expression" dxfId="76" priority="2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A42"/>
  <sheetViews>
    <sheetView workbookViewId="0">
      <selection activeCell="M13" sqref="M13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68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67</v>
      </c>
      <c r="D2" s="11">
        <v>46174</v>
      </c>
      <c r="E2" s="4">
        <v>0</v>
      </c>
      <c r="F2" s="4">
        <v>2.89</v>
      </c>
      <c r="G2" s="4">
        <v>0</v>
      </c>
      <c r="H2" s="4">
        <v>2.89</v>
      </c>
      <c r="I2" s="4">
        <v>0</v>
      </c>
      <c r="J2" s="11">
        <v>46174</v>
      </c>
      <c r="K2" s="10">
        <f>IF(J2&gt;0,J2-D2,"")</f>
        <v>0</v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B4</f>
        <v>46057</v>
      </c>
      <c r="Z2" s="4">
        <f>B11*-1</f>
        <v>-103.62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46056</v>
      </c>
      <c r="D3" s="11">
        <v>46265</v>
      </c>
      <c r="E3" s="4">
        <v>0</v>
      </c>
      <c r="F3" s="4">
        <v>2.1800000000000002</v>
      </c>
      <c r="G3" s="4">
        <v>0</v>
      </c>
      <c r="H3" s="4">
        <v>0</v>
      </c>
      <c r="I3" s="4">
        <v>0</v>
      </c>
      <c r="J3" s="11">
        <v>46211</v>
      </c>
      <c r="K3" s="10">
        <f t="shared" ref="K3:K41" si="0">IF(J3&gt;0,J3-D3,"")</f>
        <v>-54</v>
      </c>
      <c r="M3" s="4">
        <f>B11</f>
        <v>103.62</v>
      </c>
      <c r="N3" s="4">
        <f>G42</f>
        <v>103.62</v>
      </c>
      <c r="O3" s="4">
        <f>F42</f>
        <v>6.6400000000000006</v>
      </c>
      <c r="P3" s="4">
        <f>H42+I42</f>
        <v>3.8000000000000003</v>
      </c>
      <c r="Q3" s="14">
        <f>IF(M3=N3,XIRR(Z2:Z14,Y2:Y14),"")</f>
        <v>8.9719572663307198E-2</v>
      </c>
      <c r="R3" s="11">
        <f>IF(M3=N3,B14,"")</f>
        <v>46211</v>
      </c>
      <c r="S3" s="2" t="str">
        <f ca="1">IF(COUNTIFS(D:D,"&lt;"&amp;TODAY(),J:J,"")=0,"",TODAY()-_xlfn.MINIFS(D:D,D:D,"&lt;"&amp;TODAY(),J:J,""))</f>
        <v/>
      </c>
      <c r="Y3" s="11">
        <f>J2</f>
        <v>46174</v>
      </c>
      <c r="Z3" s="4">
        <f>G2+H2+I2</f>
        <v>2.89</v>
      </c>
    </row>
    <row r="4" spans="1:27" x14ac:dyDescent="0.25">
      <c r="A4" s="7" t="s">
        <v>11</v>
      </c>
      <c r="B4" s="11">
        <v>46057</v>
      </c>
      <c r="D4" s="11">
        <v>46330</v>
      </c>
      <c r="E4" s="4">
        <v>103.62</v>
      </c>
      <c r="F4" s="4">
        <v>1.57</v>
      </c>
      <c r="G4" s="4">
        <v>103.62</v>
      </c>
      <c r="H4" s="4">
        <v>0.91</v>
      </c>
      <c r="I4" s="4">
        <v>0</v>
      </c>
      <c r="J4" s="11">
        <v>46211</v>
      </c>
      <c r="K4" s="10">
        <f t="shared" si="0"/>
        <v>-119</v>
      </c>
      <c r="Y4" s="11">
        <f t="shared" ref="Y4:Y14" si="1">J3</f>
        <v>46211</v>
      </c>
      <c r="Z4" s="4">
        <f t="shared" ref="Z4:Z14" si="2">G3+H3+I3</f>
        <v>0</v>
      </c>
    </row>
    <row r="5" spans="1:27" x14ac:dyDescent="0.25">
      <c r="A5" s="7" t="s">
        <v>2</v>
      </c>
      <c r="B5" s="2" t="s">
        <v>28</v>
      </c>
      <c r="D5" s="11"/>
      <c r="E5" s="4"/>
      <c r="F5" s="4"/>
      <c r="G5" s="4"/>
      <c r="H5" s="4"/>
      <c r="I5" s="4"/>
      <c r="J5" s="11"/>
      <c r="K5" s="10" t="str">
        <f t="shared" si="0"/>
        <v/>
      </c>
      <c r="Y5" s="11">
        <f t="shared" si="1"/>
        <v>46211</v>
      </c>
      <c r="Z5" s="4">
        <f t="shared" si="2"/>
        <v>104.53</v>
      </c>
    </row>
    <row r="6" spans="1:27" x14ac:dyDescent="0.25">
      <c r="A6" s="7" t="s">
        <v>12</v>
      </c>
      <c r="B6" s="3">
        <v>0.41</v>
      </c>
      <c r="D6" s="11"/>
      <c r="E6" s="4"/>
      <c r="F6" s="4"/>
      <c r="G6" s="4"/>
      <c r="H6" s="4"/>
      <c r="I6" s="4"/>
      <c r="J6" s="11"/>
      <c r="K6" s="10" t="str">
        <f t="shared" si="0"/>
        <v/>
      </c>
      <c r="Y6" s="11">
        <f t="shared" si="1"/>
        <v>0</v>
      </c>
      <c r="Z6" s="4">
        <f t="shared" si="2"/>
        <v>0</v>
      </c>
    </row>
    <row r="7" spans="1:27" x14ac:dyDescent="0.25">
      <c r="A7" s="7" t="s">
        <v>13</v>
      </c>
      <c r="B7" s="3">
        <v>0.65</v>
      </c>
      <c r="D7" s="11"/>
      <c r="E7" s="2"/>
      <c r="F7" s="4"/>
      <c r="G7" s="2"/>
      <c r="H7" s="4"/>
      <c r="I7" s="4"/>
      <c r="J7" s="11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9</v>
      </c>
      <c r="D8" s="11"/>
      <c r="E8" s="15"/>
      <c r="F8" s="15"/>
      <c r="G8" s="15"/>
      <c r="H8" s="15"/>
      <c r="I8" s="15"/>
      <c r="J8" s="11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1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14">
        <v>8.5000000000000006E-2</v>
      </c>
      <c r="D10" s="11"/>
      <c r="E10" s="15"/>
      <c r="F10" s="15"/>
      <c r="G10" s="15"/>
      <c r="H10" s="15"/>
      <c r="I10" s="15"/>
      <c r="J10" s="11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4">
        <v>103.62</v>
      </c>
      <c r="D11" s="11"/>
      <c r="E11" s="15"/>
      <c r="F11" s="15"/>
      <c r="G11" s="15"/>
      <c r="H11" s="15"/>
      <c r="I11" s="15"/>
      <c r="J11" s="11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20">
        <v>46330</v>
      </c>
      <c r="D12" s="11"/>
      <c r="E12" s="15"/>
      <c r="F12" s="15"/>
      <c r="G12" s="15"/>
      <c r="H12" s="15"/>
      <c r="I12" s="15"/>
      <c r="J12" s="11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 t="str">
        <f ca="1">IF(B11&lt;&gt;N3,(TODAY()-B12)*-1,"")</f>
        <v/>
      </c>
      <c r="D13" s="11"/>
      <c r="E13" s="15"/>
      <c r="F13" s="15"/>
      <c r="G13" s="15"/>
      <c r="H13" s="15"/>
      <c r="I13" s="15"/>
      <c r="J13" s="11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11">
        <v>46211</v>
      </c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>
        <f>IF(M3=N3,B14-B12,"")</f>
        <v>-119</v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</row>
    <row r="17" spans="4:11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</row>
    <row r="18" spans="4:11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</row>
    <row r="19" spans="4:11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</row>
    <row r="20" spans="4:11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</row>
    <row r="21" spans="4:11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</row>
    <row r="22" spans="4:11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</row>
    <row r="23" spans="4:11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</row>
    <row r="24" spans="4:11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</row>
    <row r="25" spans="4:11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</row>
    <row r="26" spans="4:11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</row>
    <row r="27" spans="4:11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</row>
    <row r="28" spans="4:11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</row>
    <row r="29" spans="4:11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</row>
    <row r="30" spans="4:11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</row>
    <row r="31" spans="4:11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</row>
    <row r="32" spans="4:11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</row>
    <row r="33" spans="4:11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</row>
    <row r="34" spans="4:11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</row>
    <row r="35" spans="4:11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</row>
    <row r="36" spans="4:11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</row>
    <row r="37" spans="4:11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</row>
    <row r="38" spans="4:11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</row>
    <row r="39" spans="4:11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</row>
    <row r="40" spans="4:11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</row>
    <row r="41" spans="4:11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</row>
    <row r="42" spans="4:11" x14ac:dyDescent="0.25">
      <c r="D42" s="8" t="s">
        <v>10</v>
      </c>
      <c r="E42" s="4">
        <f>SUM(E2:E41)</f>
        <v>103.62</v>
      </c>
      <c r="F42" s="4">
        <f t="shared" ref="F42:I42" si="3">SUM(F2:F41)</f>
        <v>6.6400000000000006</v>
      </c>
      <c r="G42" s="4">
        <f t="shared" si="3"/>
        <v>103.62</v>
      </c>
      <c r="H42" s="4">
        <f t="shared" si="3"/>
        <v>3.8000000000000003</v>
      </c>
      <c r="I42" s="4">
        <f t="shared" si="3"/>
        <v>0</v>
      </c>
      <c r="J42" s="2"/>
      <c r="K42" s="2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75" priority="4">
      <formula>$M$3=$N$3</formula>
    </cfRule>
    <cfRule type="expression" dxfId="74" priority="5">
      <formula>$AA$2="+"</formula>
    </cfRule>
  </conditionalFormatting>
  <conditionalFormatting sqref="S3">
    <cfRule type="expression" dxfId="73" priority="1">
      <formula>$AA$2="+"</formula>
    </cfRule>
  </conditionalFormatting>
  <conditionalFormatting sqref="AA2">
    <cfRule type="expression" dxfId="72" priority="2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42"/>
  <sheetViews>
    <sheetView workbookViewId="0">
      <selection activeCell="J4" sqref="J4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65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66</v>
      </c>
      <c r="D2" s="11">
        <v>46174</v>
      </c>
      <c r="E2" s="4">
        <v>0</v>
      </c>
      <c r="F2" s="4">
        <v>4.05</v>
      </c>
      <c r="G2" s="4">
        <v>0</v>
      </c>
      <c r="H2" s="4">
        <v>4.05</v>
      </c>
      <c r="I2" s="4">
        <v>0</v>
      </c>
      <c r="J2" s="11">
        <v>46174</v>
      </c>
      <c r="K2" s="10">
        <f>IF(J2&gt;0,J2-D2,"")</f>
        <v>0</v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B4</f>
        <v>46055</v>
      </c>
      <c r="Z2" s="4">
        <f>B11*-1</f>
        <v>-123.63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46049</v>
      </c>
      <c r="D3" s="11">
        <v>46265</v>
      </c>
      <c r="E3" s="4">
        <v>0</v>
      </c>
      <c r="F3" s="4">
        <v>2.9</v>
      </c>
      <c r="G3" s="4">
        <v>0</v>
      </c>
      <c r="H3" s="4">
        <v>2.9</v>
      </c>
      <c r="I3" s="4">
        <v>0</v>
      </c>
      <c r="J3" s="11">
        <v>46267</v>
      </c>
      <c r="K3" s="10">
        <f t="shared" ref="K3:K41" si="0">IF(J3&gt;0,J3-D3,"")</f>
        <v>2</v>
      </c>
      <c r="M3" s="4">
        <f>B11</f>
        <v>123.63</v>
      </c>
      <c r="N3" s="4">
        <f>G42</f>
        <v>0</v>
      </c>
      <c r="O3" s="4">
        <f>F42</f>
        <v>11.909999999999998</v>
      </c>
      <c r="P3" s="4">
        <f>H42+I42</f>
        <v>6.9499999999999993</v>
      </c>
      <c r="Q3" s="14" t="str">
        <f>IF(M3=N3,XIRR(Z2:Z14,Y2:Y14),"")</f>
        <v/>
      </c>
      <c r="R3" s="11" t="str">
        <f>IF(M3=N3,B14,"")</f>
        <v/>
      </c>
      <c r="S3" s="2" t="str">
        <f ca="1">IF(COUNTIFS(D:D,"&lt;"&amp;TODAY(),J:J,"")=0,"",TODAY()-_xlfn.MINIFS(D:D,D:D,"&lt;"&amp;TODAY(),J:J,""))</f>
        <v/>
      </c>
      <c r="Y3" s="11">
        <f>J2</f>
        <v>46174</v>
      </c>
      <c r="Z3" s="4">
        <f>G2+H2+I2</f>
        <v>4.05</v>
      </c>
    </row>
    <row r="4" spans="1:27" x14ac:dyDescent="0.25">
      <c r="A4" s="7" t="s">
        <v>11</v>
      </c>
      <c r="B4" s="11">
        <v>46055</v>
      </c>
      <c r="D4" s="11">
        <v>46356</v>
      </c>
      <c r="E4" s="4">
        <v>0</v>
      </c>
      <c r="F4" s="4">
        <v>2.94</v>
      </c>
      <c r="G4" s="4"/>
      <c r="H4" s="4"/>
      <c r="I4" s="4"/>
      <c r="J4" s="11"/>
      <c r="K4" s="10" t="str">
        <f t="shared" si="0"/>
        <v/>
      </c>
      <c r="Y4" s="11">
        <f t="shared" ref="Y4:Y14" si="1">J3</f>
        <v>46267</v>
      </c>
      <c r="Z4" s="4">
        <f t="shared" ref="Z4:Z14" si="2">G3+H3+I3</f>
        <v>2.9</v>
      </c>
    </row>
    <row r="5" spans="1:27" x14ac:dyDescent="0.25">
      <c r="A5" s="7" t="s">
        <v>2</v>
      </c>
      <c r="B5" s="2" t="s">
        <v>15</v>
      </c>
      <c r="D5" s="11">
        <v>46420</v>
      </c>
      <c r="E5" s="4">
        <v>123.63</v>
      </c>
      <c r="F5" s="4">
        <v>2.02</v>
      </c>
      <c r="G5" s="4"/>
      <c r="H5" s="4"/>
      <c r="I5" s="4"/>
      <c r="J5" s="11"/>
      <c r="K5" s="10" t="str">
        <f t="shared" si="0"/>
        <v/>
      </c>
      <c r="Y5" s="11">
        <f t="shared" si="1"/>
        <v>0</v>
      </c>
      <c r="Z5" s="4">
        <f t="shared" si="2"/>
        <v>0</v>
      </c>
    </row>
    <row r="6" spans="1:27" x14ac:dyDescent="0.25">
      <c r="A6" s="7" t="s">
        <v>12</v>
      </c>
      <c r="B6" s="3">
        <v>0.62</v>
      </c>
      <c r="D6" s="11"/>
      <c r="E6" s="4"/>
      <c r="F6" s="4"/>
      <c r="G6" s="4"/>
      <c r="H6" s="4"/>
      <c r="I6" s="4"/>
      <c r="J6" s="11"/>
      <c r="K6" s="10" t="str">
        <f t="shared" si="0"/>
        <v/>
      </c>
      <c r="Y6" s="11">
        <f t="shared" si="1"/>
        <v>0</v>
      </c>
      <c r="Z6" s="4">
        <f t="shared" si="2"/>
        <v>0</v>
      </c>
    </row>
    <row r="7" spans="1:27" x14ac:dyDescent="0.25">
      <c r="A7" s="7" t="s">
        <v>13</v>
      </c>
      <c r="B7" s="3">
        <v>0.8</v>
      </c>
      <c r="D7" s="11"/>
      <c r="E7" s="2"/>
      <c r="F7" s="4"/>
      <c r="G7" s="2"/>
      <c r="H7" s="4"/>
      <c r="I7" s="4"/>
      <c r="J7" s="11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12</v>
      </c>
      <c r="D8" s="11"/>
      <c r="E8" s="15"/>
      <c r="F8" s="15"/>
      <c r="G8" s="15"/>
      <c r="H8" s="15"/>
      <c r="I8" s="15"/>
      <c r="J8" s="11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1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14">
        <v>9.5000000000000001E-2</v>
      </c>
      <c r="D10" s="11"/>
      <c r="E10" s="15"/>
      <c r="F10" s="15"/>
      <c r="G10" s="15"/>
      <c r="H10" s="15"/>
      <c r="I10" s="15"/>
      <c r="J10" s="11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4">
        <v>123.63</v>
      </c>
      <c r="D11" s="11"/>
      <c r="E11" s="15"/>
      <c r="F11" s="15"/>
      <c r="G11" s="15"/>
      <c r="H11" s="15"/>
      <c r="I11" s="15"/>
      <c r="J11" s="11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20">
        <v>46420</v>
      </c>
      <c r="D12" s="11"/>
      <c r="E12" s="15"/>
      <c r="F12" s="15"/>
      <c r="G12" s="15"/>
      <c r="H12" s="15"/>
      <c r="I12" s="15"/>
      <c r="J12" s="11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>
        <f ca="1">IF(B11&lt;&gt;N3,(TODAY()-B12)*-1,"")</f>
        <v>125</v>
      </c>
      <c r="D13" s="11"/>
      <c r="E13" s="15"/>
      <c r="F13" s="15"/>
      <c r="G13" s="15"/>
      <c r="H13" s="15"/>
      <c r="I13" s="15"/>
      <c r="J13" s="11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15"/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 t="str">
        <f>IF(M3=N3,B14-B12,"")</f>
        <v/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</row>
    <row r="17" spans="4:11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</row>
    <row r="18" spans="4:11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</row>
    <row r="19" spans="4:11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</row>
    <row r="20" spans="4:11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</row>
    <row r="21" spans="4:11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</row>
    <row r="22" spans="4:11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</row>
    <row r="23" spans="4:11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</row>
    <row r="24" spans="4:11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</row>
    <row r="25" spans="4:11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</row>
    <row r="26" spans="4:11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</row>
    <row r="27" spans="4:11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</row>
    <row r="28" spans="4:11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</row>
    <row r="29" spans="4:11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</row>
    <row r="30" spans="4:11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</row>
    <row r="31" spans="4:11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</row>
    <row r="32" spans="4:11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</row>
    <row r="33" spans="4:11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</row>
    <row r="34" spans="4:11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</row>
    <row r="35" spans="4:11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</row>
    <row r="36" spans="4:11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</row>
    <row r="37" spans="4:11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</row>
    <row r="38" spans="4:11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</row>
    <row r="39" spans="4:11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</row>
    <row r="40" spans="4:11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</row>
    <row r="41" spans="4:11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</row>
    <row r="42" spans="4:11" x14ac:dyDescent="0.25">
      <c r="D42" s="8" t="s">
        <v>10</v>
      </c>
      <c r="E42" s="4">
        <f>SUM(E2:E41)</f>
        <v>123.63</v>
      </c>
      <c r="F42" s="4">
        <f t="shared" ref="F42:I42" si="3">SUM(F2:F41)</f>
        <v>11.909999999999998</v>
      </c>
      <c r="G42" s="4">
        <f t="shared" si="3"/>
        <v>0</v>
      </c>
      <c r="H42" s="4">
        <f t="shared" si="3"/>
        <v>6.9499999999999993</v>
      </c>
      <c r="I42" s="4">
        <f t="shared" si="3"/>
        <v>0</v>
      </c>
      <c r="J42" s="2"/>
      <c r="K42" s="2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71" priority="6">
      <formula>$M$3=$N$3</formula>
    </cfRule>
    <cfRule type="expression" dxfId="70" priority="7">
      <formula>$AA$2="+"</formula>
    </cfRule>
  </conditionalFormatting>
  <conditionalFormatting sqref="S3">
    <cfRule type="expression" dxfId="69" priority="1">
      <formula>$AA$2="+"</formula>
    </cfRule>
  </conditionalFormatting>
  <conditionalFormatting sqref="AA2">
    <cfRule type="expression" dxfId="68" priority="2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A42"/>
  <sheetViews>
    <sheetView workbookViewId="0">
      <selection activeCell="A11" sqref="A1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64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63</v>
      </c>
      <c r="D2" s="11">
        <v>46142</v>
      </c>
      <c r="E2" s="4">
        <v>0</v>
      </c>
      <c r="F2" s="4">
        <v>3.35</v>
      </c>
      <c r="G2" s="4">
        <v>0</v>
      </c>
      <c r="H2" s="4">
        <v>3.35</v>
      </c>
      <c r="I2" s="4">
        <v>0</v>
      </c>
      <c r="J2" s="11">
        <v>46086</v>
      </c>
      <c r="K2" s="10">
        <f>IF(J2&gt;0,J2-D2,"")</f>
        <v>-56</v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B4</f>
        <v>46043</v>
      </c>
      <c r="Z2" s="4">
        <f>B11*-1</f>
        <v>-118.77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46035</v>
      </c>
      <c r="D3" s="11">
        <v>46234</v>
      </c>
      <c r="E3" s="4">
        <v>0</v>
      </c>
      <c r="F3" s="4">
        <v>2.82</v>
      </c>
      <c r="G3" s="4">
        <v>0</v>
      </c>
      <c r="H3" s="4">
        <v>0</v>
      </c>
      <c r="I3" s="4">
        <v>0</v>
      </c>
      <c r="J3" s="11">
        <v>46086</v>
      </c>
      <c r="K3" s="10">
        <f t="shared" ref="K3:K41" si="0">IF(J3&gt;0,J3-D3,"")</f>
        <v>-148</v>
      </c>
      <c r="M3" s="4">
        <f>B11</f>
        <v>118.77</v>
      </c>
      <c r="N3" s="4">
        <f>G42</f>
        <v>118.77</v>
      </c>
      <c r="O3" s="4">
        <f>F42</f>
        <v>11.52</v>
      </c>
      <c r="P3" s="4">
        <f>H42+I42</f>
        <v>3.35</v>
      </c>
      <c r="Q3" s="14">
        <f>IF(M3=N3,XIRR(Z2:Z14,Y2:Y14),"")</f>
        <v>0.26630950570106515</v>
      </c>
      <c r="R3" s="11">
        <f>IF(M3=N3,B14,"")</f>
        <v>46086</v>
      </c>
      <c r="S3" s="2" t="str">
        <f ca="1">IF(COUNTIFS(D:D,"&lt;"&amp;TODAY(),J:J,"")=0,"",TODAY()-_xlfn.MINIFS(D:D,D:D,"&lt;"&amp;TODAY(),J:J,""))</f>
        <v/>
      </c>
      <c r="Y3" s="11">
        <f>J2</f>
        <v>46086</v>
      </c>
      <c r="Z3" s="4">
        <f>G2+H2+I2</f>
        <v>3.35</v>
      </c>
    </row>
    <row r="4" spans="1:27" x14ac:dyDescent="0.25">
      <c r="A4" s="7" t="s">
        <v>11</v>
      </c>
      <c r="B4" s="11">
        <v>46043</v>
      </c>
      <c r="D4" s="11">
        <v>46329</v>
      </c>
      <c r="E4" s="4">
        <v>0</v>
      </c>
      <c r="F4" s="4">
        <v>2.91</v>
      </c>
      <c r="G4" s="4">
        <v>0</v>
      </c>
      <c r="H4" s="4">
        <v>0</v>
      </c>
      <c r="I4" s="4">
        <v>0</v>
      </c>
      <c r="J4" s="11">
        <v>46086</v>
      </c>
      <c r="K4" s="10">
        <f t="shared" si="0"/>
        <v>-243</v>
      </c>
      <c r="Y4" s="11">
        <f t="shared" ref="Y4:Y14" si="1">J3</f>
        <v>46086</v>
      </c>
      <c r="Z4" s="4">
        <f t="shared" ref="Z4:Z14" si="2">G3+H3+I3</f>
        <v>0</v>
      </c>
    </row>
    <row r="5" spans="1:27" x14ac:dyDescent="0.25">
      <c r="A5" s="7" t="s">
        <v>2</v>
      </c>
      <c r="B5" s="2" t="s">
        <v>15</v>
      </c>
      <c r="D5" s="11">
        <v>46408</v>
      </c>
      <c r="E5" s="4">
        <v>118.77</v>
      </c>
      <c r="F5" s="4">
        <v>2.44</v>
      </c>
      <c r="G5" s="4">
        <v>118.77</v>
      </c>
      <c r="H5" s="4">
        <v>0</v>
      </c>
      <c r="I5" s="4">
        <v>0</v>
      </c>
      <c r="J5" s="11">
        <v>46086</v>
      </c>
      <c r="K5" s="10">
        <f t="shared" si="0"/>
        <v>-322</v>
      </c>
      <c r="Y5" s="11">
        <f t="shared" si="1"/>
        <v>46086</v>
      </c>
      <c r="Z5" s="4">
        <f t="shared" si="2"/>
        <v>0</v>
      </c>
    </row>
    <row r="6" spans="1:27" x14ac:dyDescent="0.25">
      <c r="A6" s="7" t="s">
        <v>12</v>
      </c>
      <c r="B6" s="3">
        <v>0.32</v>
      </c>
      <c r="D6" s="11"/>
      <c r="E6" s="4"/>
      <c r="F6" s="4"/>
      <c r="G6" s="4"/>
      <c r="H6" s="4"/>
      <c r="I6" s="4"/>
      <c r="J6" s="11"/>
      <c r="K6" s="10" t="str">
        <f t="shared" si="0"/>
        <v/>
      </c>
      <c r="Y6" s="11">
        <f t="shared" si="1"/>
        <v>46086</v>
      </c>
      <c r="Z6" s="4">
        <f t="shared" si="2"/>
        <v>118.77</v>
      </c>
    </row>
    <row r="7" spans="1:27" x14ac:dyDescent="0.25">
      <c r="A7" s="7" t="s">
        <v>13</v>
      </c>
      <c r="B7" s="3">
        <v>0.7</v>
      </c>
      <c r="D7" s="11"/>
      <c r="E7" s="2"/>
      <c r="F7" s="4"/>
      <c r="G7" s="2"/>
      <c r="H7" s="4"/>
      <c r="I7" s="4"/>
      <c r="J7" s="11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12</v>
      </c>
      <c r="D8" s="11"/>
      <c r="E8" s="15"/>
      <c r="F8" s="15"/>
      <c r="G8" s="15"/>
      <c r="H8" s="15"/>
      <c r="I8" s="15"/>
      <c r="J8" s="11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1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14">
        <v>9.5000000000000001E-2</v>
      </c>
      <c r="D10" s="11"/>
      <c r="E10" s="15"/>
      <c r="F10" s="15"/>
      <c r="G10" s="15"/>
      <c r="H10" s="15"/>
      <c r="I10" s="15"/>
      <c r="J10" s="11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4">
        <v>118.77</v>
      </c>
      <c r="D11" s="11"/>
      <c r="E11" s="15"/>
      <c r="F11" s="15"/>
      <c r="G11" s="15"/>
      <c r="H11" s="15"/>
      <c r="I11" s="15"/>
      <c r="J11" s="11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20">
        <v>46408</v>
      </c>
      <c r="D12" s="11"/>
      <c r="E12" s="15"/>
      <c r="F12" s="15"/>
      <c r="G12" s="15"/>
      <c r="H12" s="15"/>
      <c r="I12" s="15"/>
      <c r="J12" s="18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 t="str">
        <f ca="1">IF(B11&lt;&gt;N3,(TODAY()-B12)*-1,"")</f>
        <v/>
      </c>
      <c r="D13" s="11"/>
      <c r="E13" s="15"/>
      <c r="F13" s="15"/>
      <c r="G13" s="15"/>
      <c r="H13" s="15"/>
      <c r="I13" s="15"/>
      <c r="J13" s="18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20">
        <v>46086</v>
      </c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>
        <f>IF(M3=N3,B14-B12,"")</f>
        <v>-322</v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</row>
    <row r="17" spans="4:11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</row>
    <row r="18" spans="4:11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</row>
    <row r="19" spans="4:11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</row>
    <row r="20" spans="4:11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</row>
    <row r="21" spans="4:11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</row>
    <row r="22" spans="4:11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</row>
    <row r="23" spans="4:11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</row>
    <row r="24" spans="4:11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</row>
    <row r="25" spans="4:11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</row>
    <row r="26" spans="4:11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</row>
    <row r="27" spans="4:11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</row>
    <row r="28" spans="4:11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</row>
    <row r="29" spans="4:11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</row>
    <row r="30" spans="4:11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</row>
    <row r="31" spans="4:11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</row>
    <row r="32" spans="4:11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</row>
    <row r="33" spans="4:11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</row>
    <row r="34" spans="4:11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</row>
    <row r="35" spans="4:11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</row>
    <row r="36" spans="4:11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</row>
    <row r="37" spans="4:11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</row>
    <row r="38" spans="4:11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</row>
    <row r="39" spans="4:11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</row>
    <row r="40" spans="4:11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</row>
    <row r="41" spans="4:11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</row>
    <row r="42" spans="4:11" x14ac:dyDescent="0.25">
      <c r="D42" s="8" t="s">
        <v>10</v>
      </c>
      <c r="E42" s="4">
        <f>SUM(E2:E41)</f>
        <v>118.77</v>
      </c>
      <c r="F42" s="4">
        <f t="shared" ref="F42:I42" si="3">SUM(F2:F41)</f>
        <v>11.52</v>
      </c>
      <c r="G42" s="4">
        <f t="shared" si="3"/>
        <v>118.77</v>
      </c>
      <c r="H42" s="4">
        <f t="shared" si="3"/>
        <v>3.35</v>
      </c>
      <c r="I42" s="4">
        <f t="shared" si="3"/>
        <v>0</v>
      </c>
      <c r="J42" s="2"/>
      <c r="K42" s="2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67" priority="4">
      <formula>$M$3=$N$3</formula>
    </cfRule>
    <cfRule type="expression" dxfId="66" priority="5">
      <formula>$AA$2="+"</formula>
    </cfRule>
  </conditionalFormatting>
  <conditionalFormatting sqref="S3">
    <cfRule type="expression" dxfId="65" priority="1">
      <formula>$AA$2="+"</formula>
    </cfRule>
  </conditionalFormatting>
  <conditionalFormatting sqref="AA2">
    <cfRule type="expression" dxfId="64" priority="2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42"/>
  <sheetViews>
    <sheetView workbookViewId="0">
      <selection activeCell="J5" sqref="J5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61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60</v>
      </c>
      <c r="D2" s="11">
        <v>46112</v>
      </c>
      <c r="E2" s="4">
        <v>0</v>
      </c>
      <c r="F2" s="4">
        <v>0.23</v>
      </c>
      <c r="G2" s="4">
        <v>0</v>
      </c>
      <c r="H2" s="4">
        <v>0.23</v>
      </c>
      <c r="I2" s="4">
        <v>0</v>
      </c>
      <c r="J2" s="11">
        <v>46112</v>
      </c>
      <c r="K2" s="10">
        <f>IF(J2&gt;0,J2-D2,"")</f>
        <v>0</v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B4</f>
        <v>46013</v>
      </c>
      <c r="Z2" s="4">
        <f>B11*-1</f>
        <v>-10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46010</v>
      </c>
      <c r="D3" s="11">
        <v>46203</v>
      </c>
      <c r="E3" s="4">
        <v>0</v>
      </c>
      <c r="F3" s="4">
        <v>0.21</v>
      </c>
      <c r="G3" s="4">
        <v>0</v>
      </c>
      <c r="H3" s="4">
        <v>0.21</v>
      </c>
      <c r="I3" s="4">
        <v>0</v>
      </c>
      <c r="J3" s="11">
        <v>46203</v>
      </c>
      <c r="K3" s="10">
        <f t="shared" ref="K3:K41" si="0">IF(J3&gt;0,J3-D3,"")</f>
        <v>0</v>
      </c>
      <c r="M3" s="4">
        <f>B11</f>
        <v>10</v>
      </c>
      <c r="N3" s="4">
        <f>G42</f>
        <v>0</v>
      </c>
      <c r="O3" s="4">
        <f>F42</f>
        <v>0.84000000000000008</v>
      </c>
      <c r="P3" s="4">
        <f>H42+I42</f>
        <v>0.65</v>
      </c>
      <c r="Q3" s="14" t="str">
        <f>IF(M3=N3,XIRR(Z2:Z14,Y2:Y14),"")</f>
        <v/>
      </c>
      <c r="R3" s="11" t="str">
        <f>IF(M3=N3,B14,"")</f>
        <v/>
      </c>
      <c r="S3" s="2" t="str">
        <f ca="1">IF(COUNTIFS(D:D,"&lt;"&amp;TODAY(),J:J,"")=0,"",TODAY()-_xlfn.MINIFS(D:D,D:D,"&lt;"&amp;TODAY(),J:J,""))</f>
        <v/>
      </c>
      <c r="Y3" s="11">
        <f>J2</f>
        <v>46112</v>
      </c>
      <c r="Z3" s="4">
        <f>G2+H2+I2</f>
        <v>0.23</v>
      </c>
    </row>
    <row r="4" spans="1:27" x14ac:dyDescent="0.25">
      <c r="A4" s="7" t="s">
        <v>11</v>
      </c>
      <c r="B4" s="11">
        <v>46013</v>
      </c>
      <c r="D4" s="11">
        <v>46295</v>
      </c>
      <c r="E4" s="4">
        <v>0</v>
      </c>
      <c r="F4" s="4">
        <v>0.21</v>
      </c>
      <c r="G4" s="4">
        <v>0</v>
      </c>
      <c r="H4" s="4">
        <v>0.21</v>
      </c>
      <c r="I4" s="4">
        <v>0</v>
      </c>
      <c r="J4" s="11">
        <v>46295</v>
      </c>
      <c r="K4" s="10">
        <f t="shared" si="0"/>
        <v>0</v>
      </c>
      <c r="Y4" s="11">
        <f t="shared" ref="Y4:Y14" si="1">J3</f>
        <v>46203</v>
      </c>
      <c r="Z4" s="4">
        <f t="shared" ref="Z4:Z14" si="2">G3+H3+I3</f>
        <v>0.21</v>
      </c>
    </row>
    <row r="5" spans="1:27" x14ac:dyDescent="0.25">
      <c r="A5" s="7" t="s">
        <v>2</v>
      </c>
      <c r="B5" s="2" t="s">
        <v>28</v>
      </c>
      <c r="D5" s="11">
        <v>46378</v>
      </c>
      <c r="E5" s="4">
        <v>10</v>
      </c>
      <c r="F5" s="4">
        <v>0.19</v>
      </c>
      <c r="G5" s="4"/>
      <c r="H5" s="4"/>
      <c r="I5" s="4"/>
      <c r="J5" s="11"/>
      <c r="K5" s="10" t="str">
        <f t="shared" si="0"/>
        <v/>
      </c>
      <c r="Y5" s="11">
        <f t="shared" si="1"/>
        <v>46295</v>
      </c>
      <c r="Z5" s="4">
        <f t="shared" si="2"/>
        <v>0.21</v>
      </c>
    </row>
    <row r="6" spans="1:27" x14ac:dyDescent="0.25">
      <c r="A6" s="7" t="s">
        <v>12</v>
      </c>
      <c r="B6" s="3">
        <v>0.49</v>
      </c>
      <c r="D6" s="11"/>
      <c r="E6" s="4"/>
      <c r="F6" s="4"/>
      <c r="G6" s="4"/>
      <c r="H6" s="4"/>
      <c r="I6" s="4"/>
      <c r="J6" s="11"/>
      <c r="K6" s="10" t="str">
        <f t="shared" si="0"/>
        <v/>
      </c>
      <c r="Y6" s="11">
        <f t="shared" si="1"/>
        <v>0</v>
      </c>
      <c r="Z6" s="4">
        <f t="shared" si="2"/>
        <v>0</v>
      </c>
    </row>
    <row r="7" spans="1:27" x14ac:dyDescent="0.25">
      <c r="A7" s="7" t="s">
        <v>13</v>
      </c>
      <c r="B7" s="3">
        <v>0.7</v>
      </c>
      <c r="D7" s="11"/>
      <c r="E7" s="2"/>
      <c r="F7" s="4"/>
      <c r="G7" s="2"/>
      <c r="H7" s="4"/>
      <c r="I7" s="4"/>
      <c r="J7" s="11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12</v>
      </c>
      <c r="D8" s="11"/>
      <c r="E8" s="15"/>
      <c r="F8" s="15"/>
      <c r="G8" s="15"/>
      <c r="H8" s="15"/>
      <c r="I8" s="15"/>
      <c r="J8" s="11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1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14">
        <v>8.2500000000000004E-2</v>
      </c>
      <c r="D10" s="11"/>
      <c r="E10" s="15"/>
      <c r="F10" s="15"/>
      <c r="G10" s="15"/>
      <c r="H10" s="15"/>
      <c r="I10" s="15"/>
      <c r="J10" s="11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4">
        <v>10</v>
      </c>
      <c r="D11" s="11"/>
      <c r="E11" s="15"/>
      <c r="F11" s="15"/>
      <c r="G11" s="15"/>
      <c r="H11" s="15"/>
      <c r="I11" s="15"/>
      <c r="J11" s="11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20">
        <v>46378</v>
      </c>
      <c r="D12" s="11"/>
      <c r="E12" s="15"/>
      <c r="F12" s="15"/>
      <c r="G12" s="15"/>
      <c r="H12" s="15"/>
      <c r="I12" s="15"/>
      <c r="J12" s="18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>
        <f ca="1">IF(B11&lt;&gt;N3,(TODAY()-B12)*-1,"")</f>
        <v>83</v>
      </c>
      <c r="D13" s="11"/>
      <c r="E13" s="15"/>
      <c r="F13" s="15"/>
      <c r="G13" s="15"/>
      <c r="H13" s="15"/>
      <c r="I13" s="15"/>
      <c r="J13" s="18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15"/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 t="str">
        <f>IF(M3=N3,B14-B12,"")</f>
        <v/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</row>
    <row r="17" spans="4:11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</row>
    <row r="18" spans="4:11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</row>
    <row r="19" spans="4:11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</row>
    <row r="20" spans="4:11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</row>
    <row r="21" spans="4:11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</row>
    <row r="22" spans="4:11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</row>
    <row r="23" spans="4:11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</row>
    <row r="24" spans="4:11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</row>
    <row r="25" spans="4:11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</row>
    <row r="26" spans="4:11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</row>
    <row r="27" spans="4:11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</row>
    <row r="28" spans="4:11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</row>
    <row r="29" spans="4:11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</row>
    <row r="30" spans="4:11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</row>
    <row r="31" spans="4:11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</row>
    <row r="32" spans="4:11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</row>
    <row r="33" spans="4:11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</row>
    <row r="34" spans="4:11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</row>
    <row r="35" spans="4:11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</row>
    <row r="36" spans="4:11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</row>
    <row r="37" spans="4:11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</row>
    <row r="38" spans="4:11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</row>
    <row r="39" spans="4:11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</row>
    <row r="40" spans="4:11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</row>
    <row r="41" spans="4:11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</row>
    <row r="42" spans="4:11" x14ac:dyDescent="0.25">
      <c r="D42" s="8" t="s">
        <v>10</v>
      </c>
      <c r="E42" s="4">
        <f>SUM(E2:E41)</f>
        <v>10</v>
      </c>
      <c r="F42" s="4">
        <f t="shared" ref="F42:I42" si="3">SUM(F2:F41)</f>
        <v>0.84000000000000008</v>
      </c>
      <c r="G42" s="4">
        <f t="shared" si="3"/>
        <v>0</v>
      </c>
      <c r="H42" s="4">
        <f t="shared" si="3"/>
        <v>0.65</v>
      </c>
      <c r="I42" s="4">
        <f t="shared" si="3"/>
        <v>0</v>
      </c>
      <c r="J42" s="2"/>
      <c r="K42" s="2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63" priority="4">
      <formula>$M$3=$N$3</formula>
    </cfRule>
    <cfRule type="expression" dxfId="62" priority="5">
      <formula>$AA$2="+"</formula>
    </cfRule>
  </conditionalFormatting>
  <conditionalFormatting sqref="S3">
    <cfRule type="expression" dxfId="61" priority="1">
      <formula>$AA$2="+"</formula>
    </cfRule>
  </conditionalFormatting>
  <conditionalFormatting sqref="AA2">
    <cfRule type="expression" dxfId="60" priority="2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42"/>
  <sheetViews>
    <sheetView workbookViewId="0">
      <selection activeCell="A11" sqref="A1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58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59</v>
      </c>
      <c r="D2" s="11">
        <v>46112</v>
      </c>
      <c r="E2" s="4">
        <v>0</v>
      </c>
      <c r="F2" s="4">
        <v>3.02</v>
      </c>
      <c r="G2" s="4">
        <v>0</v>
      </c>
      <c r="H2" s="4">
        <v>3.02</v>
      </c>
      <c r="I2" s="4">
        <v>0</v>
      </c>
      <c r="J2" s="11">
        <v>46112</v>
      </c>
      <c r="K2" s="10">
        <f>IF(J2&gt;0,J2-D2,"")</f>
        <v>0</v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B4</f>
        <v>46003</v>
      </c>
      <c r="Z2" s="4">
        <f>B11*-1</f>
        <v>-106.06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46003</v>
      </c>
      <c r="D3" s="11">
        <v>46203</v>
      </c>
      <c r="E3" s="4">
        <v>0</v>
      </c>
      <c r="F3" s="4">
        <v>2.52</v>
      </c>
      <c r="G3" s="4">
        <v>0</v>
      </c>
      <c r="H3" s="4">
        <v>2.52</v>
      </c>
      <c r="I3" s="4">
        <v>0</v>
      </c>
      <c r="J3" s="11">
        <v>46217</v>
      </c>
      <c r="K3" s="10">
        <f t="shared" ref="K3:K41" si="0">IF(J3&gt;0,J3-D3,"")</f>
        <v>14</v>
      </c>
      <c r="M3" s="4">
        <f>B11</f>
        <v>106.06</v>
      </c>
      <c r="N3" s="4">
        <f>G42</f>
        <v>0</v>
      </c>
      <c r="O3" s="4">
        <f>F42</f>
        <v>10.16</v>
      </c>
      <c r="P3" s="4">
        <f>H42+I42</f>
        <v>5.54</v>
      </c>
      <c r="Q3" s="14" t="str">
        <f>IF(M3=N3,XIRR(Z2:Z14,Y2:Y14),"")</f>
        <v/>
      </c>
      <c r="R3" s="11" t="str">
        <f>IF(M3=N3,B14,"")</f>
        <v/>
      </c>
      <c r="S3" s="2" t="str">
        <f ca="1">IF(COUNTIFS(D:D,"&lt;"&amp;TODAY(),J:J,"")=0,"",TODAY()-_xlfn.MINIFS(D:D,D:D,"&lt;"&amp;TODAY(),J:J,""))</f>
        <v/>
      </c>
      <c r="Y3" s="11">
        <f>J2</f>
        <v>46112</v>
      </c>
      <c r="Z3" s="4">
        <f>G2+H2+I2</f>
        <v>3.02</v>
      </c>
    </row>
    <row r="4" spans="1:27" x14ac:dyDescent="0.25">
      <c r="A4" s="7" t="s">
        <v>11</v>
      </c>
      <c r="B4" s="11">
        <v>46003</v>
      </c>
      <c r="D4" s="11">
        <v>46295</v>
      </c>
      <c r="E4" s="4">
        <v>0</v>
      </c>
      <c r="F4" s="4">
        <v>2.52</v>
      </c>
      <c r="G4" s="4"/>
      <c r="H4" s="4"/>
      <c r="I4" s="4"/>
      <c r="J4" s="11"/>
      <c r="K4" s="10" t="str">
        <f t="shared" si="0"/>
        <v/>
      </c>
      <c r="Y4" s="11">
        <f t="shared" ref="Y4:Y14" si="1">J3</f>
        <v>46217</v>
      </c>
      <c r="Z4" s="4">
        <f t="shared" ref="Z4:Z14" si="2">G3+H3+I3</f>
        <v>2.52</v>
      </c>
    </row>
    <row r="5" spans="1:27" x14ac:dyDescent="0.25">
      <c r="A5" s="7" t="s">
        <v>2</v>
      </c>
      <c r="B5" s="2" t="s">
        <v>15</v>
      </c>
      <c r="D5" s="11">
        <v>46371</v>
      </c>
      <c r="E5" s="4">
        <v>106.06</v>
      </c>
      <c r="F5" s="4">
        <v>2.1</v>
      </c>
      <c r="G5" s="4"/>
      <c r="H5" s="4"/>
      <c r="I5" s="4"/>
      <c r="J5" s="11"/>
      <c r="K5" s="10" t="str">
        <f t="shared" si="0"/>
        <v/>
      </c>
      <c r="Y5" s="11">
        <f t="shared" si="1"/>
        <v>0</v>
      </c>
      <c r="Z5" s="4">
        <f t="shared" si="2"/>
        <v>0</v>
      </c>
    </row>
    <row r="6" spans="1:27" x14ac:dyDescent="0.25">
      <c r="A6" s="7" t="s">
        <v>12</v>
      </c>
      <c r="B6" s="3">
        <v>0.22</v>
      </c>
      <c r="D6" s="11"/>
      <c r="E6" s="4"/>
      <c r="F6" s="4"/>
      <c r="G6" s="4"/>
      <c r="H6" s="4"/>
      <c r="I6" s="4"/>
      <c r="J6" s="11"/>
      <c r="K6" s="10" t="str">
        <f t="shared" si="0"/>
        <v/>
      </c>
      <c r="Y6" s="11">
        <f t="shared" si="1"/>
        <v>0</v>
      </c>
      <c r="Z6" s="4">
        <f t="shared" si="2"/>
        <v>0</v>
      </c>
    </row>
    <row r="7" spans="1:27" x14ac:dyDescent="0.25">
      <c r="A7" s="7" t="s">
        <v>13</v>
      </c>
      <c r="B7" s="3">
        <v>0.7</v>
      </c>
      <c r="D7" s="11"/>
      <c r="E7" s="2"/>
      <c r="F7" s="4"/>
      <c r="G7" s="2"/>
      <c r="H7" s="4"/>
      <c r="I7" s="4"/>
      <c r="J7" s="11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12</v>
      </c>
      <c r="D8" s="11"/>
      <c r="E8" s="15"/>
      <c r="F8" s="15"/>
      <c r="G8" s="15"/>
      <c r="H8" s="15"/>
      <c r="I8" s="15"/>
      <c r="J8" s="11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1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5">
        <v>9.5000000000000001E-2</v>
      </c>
      <c r="D10" s="11"/>
      <c r="E10" s="15"/>
      <c r="F10" s="15"/>
      <c r="G10" s="15"/>
      <c r="H10" s="15"/>
      <c r="I10" s="15"/>
      <c r="J10" s="11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4">
        <v>106.06</v>
      </c>
      <c r="D11" s="11"/>
      <c r="E11" s="15"/>
      <c r="F11" s="15"/>
      <c r="G11" s="15"/>
      <c r="H11" s="15"/>
      <c r="I11" s="15"/>
      <c r="J11" s="11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20">
        <v>46371</v>
      </c>
      <c r="D12" s="11"/>
      <c r="E12" s="15"/>
      <c r="F12" s="15"/>
      <c r="G12" s="15"/>
      <c r="H12" s="15"/>
      <c r="I12" s="15"/>
      <c r="J12" s="18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>
        <f ca="1">IF(B11&lt;&gt;N3,(TODAY()-B12)*-1,"")</f>
        <v>76</v>
      </c>
      <c r="D13" s="11"/>
      <c r="E13" s="15"/>
      <c r="F13" s="15"/>
      <c r="G13" s="15"/>
      <c r="H13" s="15"/>
      <c r="I13" s="15"/>
      <c r="J13" s="18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15"/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 t="str">
        <f>IF(M3=N3,B14-B12,"")</f>
        <v/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</row>
    <row r="17" spans="4:11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</row>
    <row r="18" spans="4:11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</row>
    <row r="19" spans="4:11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</row>
    <row r="20" spans="4:11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</row>
    <row r="21" spans="4:11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</row>
    <row r="22" spans="4:11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</row>
    <row r="23" spans="4:11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</row>
    <row r="24" spans="4:11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</row>
    <row r="25" spans="4:11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</row>
    <row r="26" spans="4:11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</row>
    <row r="27" spans="4:11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</row>
    <row r="28" spans="4:11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</row>
    <row r="29" spans="4:11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</row>
    <row r="30" spans="4:11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</row>
    <row r="31" spans="4:11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</row>
    <row r="32" spans="4:11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</row>
    <row r="33" spans="4:11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</row>
    <row r="34" spans="4:11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</row>
    <row r="35" spans="4:11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</row>
    <row r="36" spans="4:11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</row>
    <row r="37" spans="4:11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</row>
    <row r="38" spans="4:11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</row>
    <row r="39" spans="4:11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</row>
    <row r="40" spans="4:11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</row>
    <row r="41" spans="4:11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</row>
    <row r="42" spans="4:11" x14ac:dyDescent="0.25">
      <c r="D42" s="8" t="s">
        <v>10</v>
      </c>
      <c r="E42" s="4">
        <f>SUM(E2:E41)</f>
        <v>106.06</v>
      </c>
      <c r="F42" s="4">
        <f t="shared" ref="F42:I42" si="3">SUM(F2:F41)</f>
        <v>10.16</v>
      </c>
      <c r="G42" s="4">
        <f t="shared" si="3"/>
        <v>0</v>
      </c>
      <c r="H42" s="4">
        <f t="shared" si="3"/>
        <v>5.54</v>
      </c>
      <c r="I42" s="4">
        <f t="shared" si="3"/>
        <v>0</v>
      </c>
      <c r="J42" s="2"/>
      <c r="K42" s="2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59" priority="4">
      <formula>$M$3=$N$3</formula>
    </cfRule>
    <cfRule type="expression" dxfId="58" priority="5">
      <formula>$AA$2="+"</formula>
    </cfRule>
  </conditionalFormatting>
  <conditionalFormatting sqref="S3">
    <cfRule type="expression" dxfId="57" priority="1">
      <formula>$AA$2="+"</formula>
    </cfRule>
  </conditionalFormatting>
  <conditionalFormatting sqref="AA2">
    <cfRule type="expression" dxfId="56" priority="2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42"/>
  <sheetViews>
    <sheetView workbookViewId="0">
      <selection activeCell="K4" sqref="K4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56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57</v>
      </c>
      <c r="D2" s="11">
        <v>46083</v>
      </c>
      <c r="E2" s="4">
        <v>0</v>
      </c>
      <c r="F2" s="4">
        <v>0.31</v>
      </c>
      <c r="G2" s="4">
        <v>0</v>
      </c>
      <c r="H2" s="4">
        <v>0.31</v>
      </c>
      <c r="I2" s="4">
        <v>0</v>
      </c>
      <c r="J2" s="11">
        <v>46083</v>
      </c>
      <c r="K2" s="10">
        <f>IF(J2&gt;0,J2-D2,"")</f>
        <v>0</v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B4</f>
        <v>45967</v>
      </c>
      <c r="Z2" s="4">
        <f>B11*-1</f>
        <v>-10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45958</v>
      </c>
      <c r="D3" s="11">
        <v>46174</v>
      </c>
      <c r="E3" s="4">
        <v>0</v>
      </c>
      <c r="F3" s="4">
        <v>0.22</v>
      </c>
      <c r="G3" s="4">
        <v>0</v>
      </c>
      <c r="H3" s="4">
        <v>0.22</v>
      </c>
      <c r="I3" s="4">
        <v>0</v>
      </c>
      <c r="J3" s="11">
        <v>46174</v>
      </c>
      <c r="K3" s="10">
        <f t="shared" ref="K3:K41" si="0">IF(J3&gt;0,J3-D3,"")</f>
        <v>0</v>
      </c>
      <c r="M3" s="4">
        <f>B11</f>
        <v>10</v>
      </c>
      <c r="N3" s="4">
        <f>G42</f>
        <v>0</v>
      </c>
      <c r="O3" s="4">
        <f>F42</f>
        <v>0.92</v>
      </c>
      <c r="P3" s="4">
        <f>H42+I42</f>
        <v>0.75</v>
      </c>
      <c r="Q3" s="14" t="str">
        <f>IF(M3=N3,XIRR(Z2:Z14,Y2:Y14),"")</f>
        <v/>
      </c>
      <c r="R3" s="11" t="str">
        <f>IF(M3=N3,B14,"")</f>
        <v/>
      </c>
      <c r="S3" s="2" t="str">
        <f ca="1">IF(COUNTIFS(D:D,"&lt;"&amp;TODAY(),J:J,"")=0,"",TODAY()-_xlfn.MINIFS(D:D,D:D,"&lt;"&amp;TODAY(),J:J,""))</f>
        <v/>
      </c>
      <c r="Y3" s="11">
        <f>J2</f>
        <v>46083</v>
      </c>
      <c r="Z3" s="4">
        <f>G2+H2+I2</f>
        <v>0.31</v>
      </c>
    </row>
    <row r="4" spans="1:27" x14ac:dyDescent="0.25">
      <c r="A4" s="7" t="s">
        <v>11</v>
      </c>
      <c r="B4" s="11">
        <v>45967</v>
      </c>
      <c r="D4" s="13">
        <v>46265</v>
      </c>
      <c r="E4" s="4">
        <v>0</v>
      </c>
      <c r="F4" s="4">
        <v>0.22</v>
      </c>
      <c r="G4" s="4">
        <v>0</v>
      </c>
      <c r="H4" s="4">
        <v>0.22</v>
      </c>
      <c r="I4" s="4">
        <v>0</v>
      </c>
      <c r="J4" s="11">
        <v>46265</v>
      </c>
      <c r="K4" s="10">
        <f t="shared" si="0"/>
        <v>0</v>
      </c>
      <c r="Y4" s="11">
        <f t="shared" ref="Y4:Y14" si="1">J3</f>
        <v>46174</v>
      </c>
      <c r="Z4" s="4">
        <f t="shared" ref="Z4:Z14" si="2">G3+H3+I3</f>
        <v>0.22</v>
      </c>
    </row>
    <row r="5" spans="1:27" x14ac:dyDescent="0.25">
      <c r="A5" s="7" t="s">
        <v>2</v>
      </c>
      <c r="B5" s="2" t="s">
        <v>15</v>
      </c>
      <c r="D5" s="13">
        <v>46332</v>
      </c>
      <c r="E5" s="4">
        <v>10</v>
      </c>
      <c r="F5" s="4">
        <v>0.17</v>
      </c>
      <c r="G5" s="4"/>
      <c r="H5" s="4"/>
      <c r="I5" s="4"/>
      <c r="J5" s="11"/>
      <c r="K5" s="10" t="str">
        <f t="shared" si="0"/>
        <v/>
      </c>
      <c r="Y5" s="11">
        <f t="shared" si="1"/>
        <v>46265</v>
      </c>
      <c r="Z5" s="4">
        <f t="shared" si="2"/>
        <v>0.22</v>
      </c>
    </row>
    <row r="6" spans="1:27" x14ac:dyDescent="0.25">
      <c r="A6" s="7" t="s">
        <v>12</v>
      </c>
      <c r="B6" s="3">
        <v>0.65</v>
      </c>
      <c r="D6" s="11"/>
      <c r="E6" s="4"/>
      <c r="F6" s="4"/>
      <c r="G6" s="4"/>
      <c r="H6" s="4"/>
      <c r="I6" s="4"/>
      <c r="J6" s="11"/>
      <c r="K6" s="10" t="str">
        <f t="shared" si="0"/>
        <v/>
      </c>
      <c r="Y6" s="11">
        <f t="shared" si="1"/>
        <v>0</v>
      </c>
      <c r="Z6" s="4">
        <f t="shared" si="2"/>
        <v>0</v>
      </c>
    </row>
    <row r="7" spans="1:27" x14ac:dyDescent="0.25">
      <c r="A7" s="7" t="s">
        <v>13</v>
      </c>
      <c r="B7" s="3">
        <v>0.7</v>
      </c>
      <c r="D7" s="11"/>
      <c r="E7" s="2"/>
      <c r="F7" s="4"/>
      <c r="G7" s="2"/>
      <c r="H7" s="4"/>
      <c r="I7" s="4"/>
      <c r="J7" s="11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12</v>
      </c>
      <c r="D8" s="11"/>
      <c r="E8" s="15"/>
      <c r="F8" s="15"/>
      <c r="G8" s="15"/>
      <c r="H8" s="15"/>
      <c r="I8" s="15"/>
      <c r="J8" s="11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1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5">
        <v>0.09</v>
      </c>
      <c r="D10" s="11"/>
      <c r="E10" s="15"/>
      <c r="F10" s="15"/>
      <c r="G10" s="15"/>
      <c r="H10" s="15"/>
      <c r="I10" s="15"/>
      <c r="J10" s="11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4">
        <v>10</v>
      </c>
      <c r="D11" s="11"/>
      <c r="E11" s="15"/>
      <c r="F11" s="15"/>
      <c r="G11" s="15"/>
      <c r="H11" s="15"/>
      <c r="I11" s="15"/>
      <c r="J11" s="11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20">
        <v>46332</v>
      </c>
      <c r="D12" s="11"/>
      <c r="E12" s="15"/>
      <c r="F12" s="15"/>
      <c r="G12" s="15"/>
      <c r="H12" s="15"/>
      <c r="I12" s="15"/>
      <c r="J12" s="18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>
        <f ca="1">IF(B11&lt;&gt;N3,(TODAY()-B12)*-1,"")</f>
        <v>37</v>
      </c>
      <c r="D13" s="11"/>
      <c r="E13" s="15"/>
      <c r="F13" s="15"/>
      <c r="G13" s="15"/>
      <c r="H13" s="15"/>
      <c r="I13" s="15"/>
      <c r="J13" s="18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15"/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 t="str">
        <f>IF(M3=N3,B14-B12,"")</f>
        <v/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</row>
    <row r="17" spans="4:11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</row>
    <row r="18" spans="4:11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</row>
    <row r="19" spans="4:11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</row>
    <row r="20" spans="4:11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</row>
    <row r="21" spans="4:11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</row>
    <row r="22" spans="4:11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</row>
    <row r="23" spans="4:11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</row>
    <row r="24" spans="4:11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</row>
    <row r="25" spans="4:11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</row>
    <row r="26" spans="4:11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</row>
    <row r="27" spans="4:11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</row>
    <row r="28" spans="4:11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</row>
    <row r="29" spans="4:11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</row>
    <row r="30" spans="4:11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</row>
    <row r="31" spans="4:11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</row>
    <row r="32" spans="4:11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</row>
    <row r="33" spans="4:11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</row>
    <row r="34" spans="4:11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</row>
    <row r="35" spans="4:11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</row>
    <row r="36" spans="4:11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</row>
    <row r="37" spans="4:11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</row>
    <row r="38" spans="4:11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</row>
    <row r="39" spans="4:11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</row>
    <row r="40" spans="4:11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</row>
    <row r="41" spans="4:11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</row>
    <row r="42" spans="4:11" x14ac:dyDescent="0.25">
      <c r="D42" s="8" t="s">
        <v>10</v>
      </c>
      <c r="E42" s="4">
        <f>SUM(E2:E41)</f>
        <v>10</v>
      </c>
      <c r="F42" s="4">
        <f t="shared" ref="F42:I42" si="3">SUM(F2:F41)</f>
        <v>0.92</v>
      </c>
      <c r="G42" s="4">
        <f t="shared" si="3"/>
        <v>0</v>
      </c>
      <c r="H42" s="4">
        <f t="shared" si="3"/>
        <v>0.75</v>
      </c>
      <c r="I42" s="4">
        <f t="shared" si="3"/>
        <v>0</v>
      </c>
      <c r="J42" s="2"/>
      <c r="K42" s="2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55" priority="4">
      <formula>$M$3=$N$3</formula>
    </cfRule>
    <cfRule type="expression" dxfId="54" priority="5">
      <formula>$AA$2="+"</formula>
    </cfRule>
  </conditionalFormatting>
  <conditionalFormatting sqref="S3">
    <cfRule type="expression" dxfId="53" priority="1">
      <formula>$AA$2="+"</formula>
    </cfRule>
  </conditionalFormatting>
  <conditionalFormatting sqref="AA2">
    <cfRule type="expression" dxfId="52" priority="2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AA42"/>
  <sheetViews>
    <sheetView workbookViewId="0">
      <selection activeCell="A11" sqref="A1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55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54</v>
      </c>
      <c r="D2" s="11">
        <v>46055</v>
      </c>
      <c r="E2" s="4">
        <v>0</v>
      </c>
      <c r="F2" s="4">
        <v>2.4500000000000002</v>
      </c>
      <c r="G2" s="4">
        <v>0</v>
      </c>
      <c r="H2" s="4">
        <v>2.4500000000000002</v>
      </c>
      <c r="I2" s="4">
        <v>0</v>
      </c>
      <c r="J2" s="11">
        <v>46055</v>
      </c>
      <c r="K2" s="10">
        <f>IF(J2&gt;0,J2-D2,"")</f>
        <v>0</v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B4</f>
        <v>45951</v>
      </c>
      <c r="Z2" s="4">
        <f>B11*-1</f>
        <v>-108.26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45950</v>
      </c>
      <c r="D3" s="11">
        <v>46142</v>
      </c>
      <c r="E3" s="4">
        <v>0</v>
      </c>
      <c r="F3" s="4">
        <v>2.12</v>
      </c>
      <c r="G3" s="4">
        <v>0</v>
      </c>
      <c r="H3" s="4">
        <v>0</v>
      </c>
      <c r="I3" s="4">
        <v>0</v>
      </c>
      <c r="J3" s="11">
        <v>46072</v>
      </c>
      <c r="K3" s="10">
        <f t="shared" ref="K3:K41" si="0">IF(J3&gt;0,J3-D3,"")</f>
        <v>-70</v>
      </c>
      <c r="M3" s="4">
        <f>B11</f>
        <v>108.26</v>
      </c>
      <c r="N3" s="4">
        <f>G42</f>
        <v>108.26</v>
      </c>
      <c r="O3" s="4">
        <f>F42</f>
        <v>6.5200000000000005</v>
      </c>
      <c r="P3" s="4">
        <f>H42+I42</f>
        <v>2.8600000000000003</v>
      </c>
      <c r="Q3" s="14">
        <f>IF(M3=N3,XIRR(Z2:Z14,Y2:Y14),"")</f>
        <v>8.2096877694129961E-2</v>
      </c>
      <c r="R3" s="11">
        <f>IF(M3=N3,B14,"")</f>
        <v>46072</v>
      </c>
      <c r="S3" s="2" t="str">
        <f ca="1">IF(COUNTIFS(D:D,"&lt;"&amp;TODAY(),J:J,"")=0,"",TODAY()-_xlfn.MINIFS(D:D,D:D,"&lt;"&amp;TODAY(),J:J,""))</f>
        <v/>
      </c>
      <c r="Y3" s="11">
        <f>J2</f>
        <v>46055</v>
      </c>
      <c r="Z3" s="4">
        <f>G2+H2+I2</f>
        <v>2.4500000000000002</v>
      </c>
    </row>
    <row r="4" spans="1:27" x14ac:dyDescent="0.25">
      <c r="A4" s="7" t="s">
        <v>11</v>
      </c>
      <c r="B4" s="11">
        <v>45951</v>
      </c>
      <c r="D4" s="13">
        <v>46224</v>
      </c>
      <c r="E4" s="4">
        <v>108.26</v>
      </c>
      <c r="F4" s="4">
        <v>1.95</v>
      </c>
      <c r="G4" s="4">
        <v>108.26</v>
      </c>
      <c r="H4" s="4">
        <v>0.41</v>
      </c>
      <c r="I4" s="4">
        <v>0</v>
      </c>
      <c r="J4" s="11">
        <v>46072</v>
      </c>
      <c r="K4" s="10">
        <f t="shared" si="0"/>
        <v>-152</v>
      </c>
      <c r="Y4" s="11">
        <f t="shared" ref="Y4:Y14" si="1">J3</f>
        <v>46072</v>
      </c>
      <c r="Z4" s="4">
        <f t="shared" ref="Z4:Z14" si="2">G3+H3+I3</f>
        <v>0</v>
      </c>
    </row>
    <row r="5" spans="1:27" x14ac:dyDescent="0.25">
      <c r="A5" s="7" t="s">
        <v>2</v>
      </c>
      <c r="B5" s="2" t="s">
        <v>28</v>
      </c>
      <c r="D5" s="13"/>
      <c r="E5" s="4"/>
      <c r="F5" s="4"/>
      <c r="G5" s="4"/>
      <c r="H5" s="4"/>
      <c r="I5" s="4"/>
      <c r="J5" s="11"/>
      <c r="K5" s="10" t="str">
        <f t="shared" si="0"/>
        <v/>
      </c>
      <c r="Y5" s="11">
        <f t="shared" si="1"/>
        <v>46072</v>
      </c>
      <c r="Z5" s="4">
        <f t="shared" si="2"/>
        <v>108.67</v>
      </c>
    </row>
    <row r="6" spans="1:27" x14ac:dyDescent="0.25">
      <c r="A6" s="7" t="s">
        <v>12</v>
      </c>
      <c r="B6" s="3">
        <v>0.41</v>
      </c>
      <c r="D6" s="11"/>
      <c r="E6" s="4"/>
      <c r="F6" s="4"/>
      <c r="G6" s="4"/>
      <c r="H6" s="4"/>
      <c r="I6" s="4"/>
      <c r="J6" s="11"/>
      <c r="K6" s="10" t="str">
        <f t="shared" si="0"/>
        <v/>
      </c>
      <c r="Y6" s="11">
        <f t="shared" si="1"/>
        <v>0</v>
      </c>
      <c r="Z6" s="4">
        <f t="shared" si="2"/>
        <v>0</v>
      </c>
    </row>
    <row r="7" spans="1:27" x14ac:dyDescent="0.25">
      <c r="A7" s="7" t="s">
        <v>13</v>
      </c>
      <c r="B7" s="3">
        <v>0.7</v>
      </c>
      <c r="D7" s="11"/>
      <c r="E7" s="2"/>
      <c r="F7" s="4"/>
      <c r="G7" s="2"/>
      <c r="H7" s="4"/>
      <c r="I7" s="4"/>
      <c r="J7" s="11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9</v>
      </c>
      <c r="D8" s="11"/>
      <c r="E8" s="15"/>
      <c r="F8" s="15"/>
      <c r="G8" s="15"/>
      <c r="H8" s="15"/>
      <c r="I8" s="15"/>
      <c r="J8" s="11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1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5">
        <v>0.08</v>
      </c>
      <c r="D10" s="11"/>
      <c r="E10" s="15"/>
      <c r="F10" s="15"/>
      <c r="G10" s="15"/>
      <c r="H10" s="15"/>
      <c r="I10" s="15"/>
      <c r="J10" s="11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4">
        <v>108.26</v>
      </c>
      <c r="D11" s="11"/>
      <c r="E11" s="15"/>
      <c r="F11" s="15"/>
      <c r="G11" s="15"/>
      <c r="H11" s="15"/>
      <c r="I11" s="15"/>
      <c r="J11" s="11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20">
        <v>46224</v>
      </c>
      <c r="D12" s="11"/>
      <c r="E12" s="15"/>
      <c r="F12" s="15"/>
      <c r="G12" s="15"/>
      <c r="H12" s="15"/>
      <c r="I12" s="15"/>
      <c r="J12" s="18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 t="str">
        <f ca="1">IF(B11&lt;&gt;N3,(TODAY()-B12)*-1,"")</f>
        <v/>
      </c>
      <c r="D13" s="11"/>
      <c r="E13" s="15"/>
      <c r="F13" s="15"/>
      <c r="G13" s="15"/>
      <c r="H13" s="15"/>
      <c r="I13" s="15"/>
      <c r="J13" s="18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20">
        <v>46072</v>
      </c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>
        <f>IF(M3=N3,B14-B12,"")</f>
        <v>-152</v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</row>
    <row r="17" spans="4:11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</row>
    <row r="18" spans="4:11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</row>
    <row r="19" spans="4:11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</row>
    <row r="20" spans="4:11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</row>
    <row r="21" spans="4:11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</row>
    <row r="22" spans="4:11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</row>
    <row r="23" spans="4:11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</row>
    <row r="24" spans="4:11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</row>
    <row r="25" spans="4:11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</row>
    <row r="26" spans="4:11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</row>
    <row r="27" spans="4:11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</row>
    <row r="28" spans="4:11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</row>
    <row r="29" spans="4:11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</row>
    <row r="30" spans="4:11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</row>
    <row r="31" spans="4:11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</row>
    <row r="32" spans="4:11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</row>
    <row r="33" spans="4:11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</row>
    <row r="34" spans="4:11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</row>
    <row r="35" spans="4:11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</row>
    <row r="36" spans="4:11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</row>
    <row r="37" spans="4:11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</row>
    <row r="38" spans="4:11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</row>
    <row r="39" spans="4:11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</row>
    <row r="40" spans="4:11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</row>
    <row r="41" spans="4:11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</row>
    <row r="42" spans="4:11" x14ac:dyDescent="0.25">
      <c r="D42" s="8" t="s">
        <v>10</v>
      </c>
      <c r="E42" s="4">
        <f>SUM(E2:E41)</f>
        <v>108.26</v>
      </c>
      <c r="F42" s="4">
        <f t="shared" ref="F42:I42" si="3">SUM(F2:F41)</f>
        <v>6.5200000000000005</v>
      </c>
      <c r="G42" s="4">
        <f t="shared" si="3"/>
        <v>108.26</v>
      </c>
      <c r="H42" s="4">
        <f t="shared" si="3"/>
        <v>2.8600000000000003</v>
      </c>
      <c r="I42" s="4">
        <f t="shared" si="3"/>
        <v>0</v>
      </c>
      <c r="J42" s="2"/>
      <c r="K42" s="2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51" priority="4">
      <formula>$M$3=$N$3</formula>
    </cfRule>
    <cfRule type="expression" dxfId="50" priority="5">
      <formula>$AA$2="+"</formula>
    </cfRule>
  </conditionalFormatting>
  <conditionalFormatting sqref="S3">
    <cfRule type="expression" dxfId="49" priority="1">
      <formula>$AA$2="+"</formula>
    </cfRule>
  </conditionalFormatting>
  <conditionalFormatting sqref="AA2">
    <cfRule type="expression" dxfId="48" priority="2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53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52</v>
      </c>
      <c r="D2" s="11">
        <v>46022</v>
      </c>
      <c r="E2" s="4">
        <v>0</v>
      </c>
      <c r="F2" s="4">
        <v>2.66</v>
      </c>
      <c r="G2" s="4">
        <v>0</v>
      </c>
      <c r="H2" s="4">
        <v>2.66</v>
      </c>
      <c r="I2" s="4">
        <v>0</v>
      </c>
      <c r="J2" s="11">
        <v>46022</v>
      </c>
      <c r="K2" s="10">
        <f>IF(J2&gt;0,J2-D2,"")</f>
        <v>0</v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B4</f>
        <v>45916</v>
      </c>
      <c r="Z2" s="4">
        <f>B11*-1</f>
        <v>-101.49</v>
      </c>
      <c r="AA2" s="2" t="str">
        <f ca="1">IF(COUNTIFS(D:D,"&lt;"&amp;TODAY(),J:J,"")&gt;0,"+","")</f>
        <v>+</v>
      </c>
    </row>
    <row r="3" spans="1:27" x14ac:dyDescent="0.25">
      <c r="A3" s="7" t="s">
        <v>7</v>
      </c>
      <c r="B3" s="11">
        <v>45915</v>
      </c>
      <c r="D3" s="11">
        <v>46112</v>
      </c>
      <c r="E3" s="4">
        <v>0</v>
      </c>
      <c r="F3" s="4">
        <v>2.2799999999999998</v>
      </c>
      <c r="G3" s="4">
        <v>0</v>
      </c>
      <c r="H3" s="4">
        <v>2.2799999999999998</v>
      </c>
      <c r="I3" s="4">
        <v>0</v>
      </c>
      <c r="J3" s="11">
        <v>46112</v>
      </c>
      <c r="K3" s="10">
        <f t="shared" ref="K3:K41" si="0">IF(J3&gt;0,J3-D3,"")</f>
        <v>0</v>
      </c>
      <c r="M3" s="4">
        <f>B11</f>
        <v>101.49</v>
      </c>
      <c r="N3" s="4">
        <f>G42</f>
        <v>0</v>
      </c>
      <c r="O3" s="4">
        <f>F42</f>
        <v>9.1499999999999986</v>
      </c>
      <c r="P3" s="4">
        <f>H42+I42</f>
        <v>7.2199999999999989</v>
      </c>
      <c r="Q3" s="14" t="str">
        <f>IF(M3=N3,XIRR(Z2:Z14,Y2:Y14),"")</f>
        <v/>
      </c>
      <c r="R3" s="11" t="str">
        <f>IF(M3=N3,B14,"")</f>
        <v/>
      </c>
      <c r="S3" s="2">
        <f ca="1">IF(COUNTIFS(D:D,"&lt;"&amp;TODAY(),J:J,"")=0,"",TODAY()-_xlfn.MINIFS(D:D,D:D,"&lt;"&amp;TODAY(),J:J,""))</f>
        <v>14</v>
      </c>
      <c r="Y3" s="11">
        <f>J2</f>
        <v>46022</v>
      </c>
      <c r="Z3" s="4">
        <f>G2+H2+I2</f>
        <v>2.66</v>
      </c>
    </row>
    <row r="4" spans="1:27" x14ac:dyDescent="0.25">
      <c r="A4" s="7" t="s">
        <v>11</v>
      </c>
      <c r="B4" s="11">
        <v>45916</v>
      </c>
      <c r="D4" s="13">
        <v>46203</v>
      </c>
      <c r="E4" s="4">
        <v>0</v>
      </c>
      <c r="F4" s="4">
        <v>2.2799999999999998</v>
      </c>
      <c r="G4" s="4">
        <v>0</v>
      </c>
      <c r="H4" s="4">
        <v>2.2799999999999998</v>
      </c>
      <c r="I4" s="4">
        <v>0</v>
      </c>
      <c r="J4" s="11">
        <v>46203</v>
      </c>
      <c r="K4" s="10">
        <f t="shared" si="0"/>
        <v>0</v>
      </c>
      <c r="Y4" s="11">
        <f t="shared" ref="Y4:Y14" si="1">J3</f>
        <v>46112</v>
      </c>
      <c r="Z4" s="4">
        <f t="shared" ref="Z4:Z14" si="2">G3+H3+I3</f>
        <v>2.2799999999999998</v>
      </c>
    </row>
    <row r="5" spans="1:27" x14ac:dyDescent="0.25">
      <c r="A5" s="7" t="s">
        <v>2</v>
      </c>
      <c r="B5" s="2" t="s">
        <v>15</v>
      </c>
      <c r="D5" s="13">
        <v>46281</v>
      </c>
      <c r="E5" s="4">
        <v>101.49</v>
      </c>
      <c r="F5" s="4">
        <v>1.93</v>
      </c>
      <c r="G5" s="4"/>
      <c r="H5" s="4"/>
      <c r="I5" s="4"/>
      <c r="J5" s="11"/>
      <c r="K5" s="10" t="str">
        <f t="shared" si="0"/>
        <v/>
      </c>
      <c r="Y5" s="11">
        <f t="shared" si="1"/>
        <v>46203</v>
      </c>
      <c r="Z5" s="4">
        <f t="shared" si="2"/>
        <v>2.2799999999999998</v>
      </c>
    </row>
    <row r="6" spans="1:27" x14ac:dyDescent="0.25">
      <c r="A6" s="7" t="s">
        <v>12</v>
      </c>
      <c r="B6" s="3">
        <v>0.56000000000000005</v>
      </c>
      <c r="D6" s="11"/>
      <c r="E6" s="4"/>
      <c r="F6" s="4"/>
      <c r="G6" s="4"/>
      <c r="H6" s="4"/>
      <c r="I6" s="4"/>
      <c r="J6" s="11"/>
      <c r="K6" s="10" t="str">
        <f t="shared" si="0"/>
        <v/>
      </c>
      <c r="Y6" s="11">
        <f t="shared" si="1"/>
        <v>0</v>
      </c>
      <c r="Z6" s="4">
        <f t="shared" si="2"/>
        <v>0</v>
      </c>
    </row>
    <row r="7" spans="1:27" x14ac:dyDescent="0.25">
      <c r="A7" s="7" t="s">
        <v>13</v>
      </c>
      <c r="B7" s="3">
        <v>0.56000000000000005</v>
      </c>
      <c r="D7" s="11"/>
      <c r="E7" s="2"/>
      <c r="F7" s="4"/>
      <c r="G7" s="2"/>
      <c r="H7" s="4"/>
      <c r="I7" s="4"/>
      <c r="J7" s="11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12</v>
      </c>
      <c r="D8" s="11"/>
      <c r="E8" s="15"/>
      <c r="F8" s="15"/>
      <c r="G8" s="15"/>
      <c r="H8" s="15"/>
      <c r="I8" s="15"/>
      <c r="J8" s="11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1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5">
        <v>0.09</v>
      </c>
      <c r="D10" s="11"/>
      <c r="E10" s="15"/>
      <c r="F10" s="15"/>
      <c r="G10" s="15"/>
      <c r="H10" s="15"/>
      <c r="I10" s="15"/>
      <c r="J10" s="11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4">
        <v>101.49</v>
      </c>
      <c r="D11" s="11"/>
      <c r="E11" s="15"/>
      <c r="F11" s="15"/>
      <c r="G11" s="15"/>
      <c r="H11" s="15"/>
      <c r="I11" s="15"/>
      <c r="J11" s="11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20">
        <v>46281</v>
      </c>
      <c r="D12" s="11"/>
      <c r="E12" s="15"/>
      <c r="F12" s="15"/>
      <c r="G12" s="15"/>
      <c r="H12" s="15"/>
      <c r="I12" s="15"/>
      <c r="J12" s="18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>
        <f ca="1">IF(B11&lt;&gt;N3,(TODAY()-B12)*-1,"")</f>
        <v>-14</v>
      </c>
      <c r="D13" s="11"/>
      <c r="E13" s="15"/>
      <c r="F13" s="15"/>
      <c r="G13" s="15"/>
      <c r="H13" s="15"/>
      <c r="I13" s="15"/>
      <c r="J13" s="18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15"/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 t="str">
        <f>IF(M3=N3,B14-B12,"")</f>
        <v/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</row>
    <row r="17" spans="4:11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</row>
    <row r="18" spans="4:11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</row>
    <row r="19" spans="4:11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</row>
    <row r="20" spans="4:11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</row>
    <row r="21" spans="4:11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</row>
    <row r="22" spans="4:11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</row>
    <row r="23" spans="4:11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</row>
    <row r="24" spans="4:11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</row>
    <row r="25" spans="4:11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</row>
    <row r="26" spans="4:11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</row>
    <row r="27" spans="4:11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</row>
    <row r="28" spans="4:11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</row>
    <row r="29" spans="4:11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</row>
    <row r="30" spans="4:11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</row>
    <row r="31" spans="4:11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</row>
    <row r="32" spans="4:11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</row>
    <row r="33" spans="4:11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</row>
    <row r="34" spans="4:11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</row>
    <row r="35" spans="4:11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</row>
    <row r="36" spans="4:11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</row>
    <row r="37" spans="4:11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</row>
    <row r="38" spans="4:11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</row>
    <row r="39" spans="4:11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</row>
    <row r="40" spans="4:11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</row>
    <row r="41" spans="4:11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</row>
    <row r="42" spans="4:11" x14ac:dyDescent="0.25">
      <c r="D42" s="8" t="s">
        <v>10</v>
      </c>
      <c r="E42" s="4">
        <f>SUM(E2:E41)</f>
        <v>101.49</v>
      </c>
      <c r="F42" s="4">
        <f t="shared" ref="F42:I42" si="3">SUM(F2:F41)</f>
        <v>9.1499999999999986</v>
      </c>
      <c r="G42" s="4">
        <f t="shared" si="3"/>
        <v>0</v>
      </c>
      <c r="H42" s="4">
        <f t="shared" si="3"/>
        <v>7.2199999999999989</v>
      </c>
      <c r="I42" s="4">
        <f t="shared" si="3"/>
        <v>0</v>
      </c>
      <c r="J42" s="2"/>
      <c r="K42" s="2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47" priority="4">
      <formula>$M$3=$N$3</formula>
    </cfRule>
    <cfRule type="expression" dxfId="46" priority="5">
      <formula>$AA$2="+"</formula>
    </cfRule>
  </conditionalFormatting>
  <conditionalFormatting sqref="S3">
    <cfRule type="expression" dxfId="45" priority="1">
      <formula>$AA$2="+"</formula>
    </cfRule>
  </conditionalFormatting>
  <conditionalFormatting sqref="AA2">
    <cfRule type="expression" dxfId="44" priority="2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AA42"/>
  <sheetViews>
    <sheetView workbookViewId="0">
      <selection activeCell="A11" sqref="A1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50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51</v>
      </c>
      <c r="D2" s="11">
        <v>46022</v>
      </c>
      <c r="E2" s="4">
        <v>5.55</v>
      </c>
      <c r="F2" s="4">
        <v>2.7</v>
      </c>
      <c r="G2" s="4">
        <v>5.55</v>
      </c>
      <c r="H2" s="4">
        <v>2.73</v>
      </c>
      <c r="I2" s="4">
        <v>0</v>
      </c>
      <c r="J2" s="11">
        <v>46041</v>
      </c>
      <c r="K2" s="10">
        <f>IF(J2&gt;0,J2-D2,"")</f>
        <v>19</v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B4</f>
        <v>45917</v>
      </c>
      <c r="Z2" s="4">
        <f>B11*-1</f>
        <v>-100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45912</v>
      </c>
      <c r="D3" s="11">
        <v>46059</v>
      </c>
      <c r="E3" s="4">
        <v>48.05</v>
      </c>
      <c r="F3" s="4">
        <v>0.43</v>
      </c>
      <c r="G3" s="4">
        <v>48.05</v>
      </c>
      <c r="H3" s="4">
        <v>0.43</v>
      </c>
      <c r="I3" s="4">
        <v>0</v>
      </c>
      <c r="J3" s="11">
        <v>46059</v>
      </c>
      <c r="K3" s="10">
        <f t="shared" ref="K3:K41" si="0">IF(J3&gt;0,J3-D3,"")</f>
        <v>0</v>
      </c>
      <c r="M3" s="4">
        <f>B11</f>
        <v>100</v>
      </c>
      <c r="N3" s="4">
        <f>G42</f>
        <v>100</v>
      </c>
      <c r="O3" s="4">
        <f>F42</f>
        <v>4.0200000000000005</v>
      </c>
      <c r="P3" s="4">
        <f>H42+I42</f>
        <v>4.1500000000000004</v>
      </c>
      <c r="Q3" s="14">
        <f>IF(M3=N3,XIRR(Z2:Z14,Y2:Y14),"")</f>
        <v>0.10262772440910339</v>
      </c>
      <c r="R3" s="11">
        <f>IF(M3=N3,B14,"")</f>
        <v>46084</v>
      </c>
      <c r="S3" s="2" t="str">
        <f ca="1">IF(COUNTIFS(D:D,"&lt;"&amp;TODAY(),J:J,"")=0,"",TODAY()-_xlfn.MINIFS(D:D,D:D,"&lt;"&amp;TODAY(),J:J,""))</f>
        <v/>
      </c>
      <c r="Y3" s="11">
        <f>J2</f>
        <v>46041</v>
      </c>
      <c r="Z3" s="4">
        <f>G2+H2+I2</f>
        <v>8.2799999999999994</v>
      </c>
    </row>
    <row r="4" spans="1:27" x14ac:dyDescent="0.25">
      <c r="A4" s="7" t="s">
        <v>11</v>
      </c>
      <c r="B4" s="11">
        <v>45917</v>
      </c>
      <c r="D4" s="11">
        <v>46098</v>
      </c>
      <c r="E4" s="4">
        <v>46.4</v>
      </c>
      <c r="F4" s="4">
        <v>0.89</v>
      </c>
      <c r="G4" s="4">
        <v>46.4</v>
      </c>
      <c r="H4" s="4">
        <v>0.73</v>
      </c>
      <c r="I4" s="4">
        <v>0.26</v>
      </c>
      <c r="J4" s="11">
        <v>46084</v>
      </c>
      <c r="K4" s="10">
        <f t="shared" si="0"/>
        <v>-14</v>
      </c>
      <c r="Y4" s="11">
        <f t="shared" ref="Y4:Y14" si="1">J3</f>
        <v>46059</v>
      </c>
      <c r="Z4" s="4">
        <f t="shared" ref="Z4:Z14" si="2">G3+H3+I3</f>
        <v>48.48</v>
      </c>
    </row>
    <row r="5" spans="1:27" x14ac:dyDescent="0.25">
      <c r="A5" s="7" t="s">
        <v>2</v>
      </c>
      <c r="B5" s="2" t="s">
        <v>15</v>
      </c>
      <c r="D5" s="13"/>
      <c r="E5" s="4"/>
      <c r="F5" s="4"/>
      <c r="G5" s="4"/>
      <c r="H5" s="4"/>
      <c r="I5" s="4"/>
      <c r="J5" s="11"/>
      <c r="K5" s="10" t="str">
        <f t="shared" si="0"/>
        <v/>
      </c>
      <c r="Y5" s="11">
        <f t="shared" si="1"/>
        <v>46084</v>
      </c>
      <c r="Z5" s="4">
        <f t="shared" si="2"/>
        <v>47.389999999999993</v>
      </c>
    </row>
    <row r="6" spans="1:27" x14ac:dyDescent="0.25">
      <c r="A6" s="7" t="s">
        <v>12</v>
      </c>
      <c r="B6" s="3">
        <v>0.7</v>
      </c>
      <c r="D6" s="11"/>
      <c r="E6" s="4"/>
      <c r="F6" s="4"/>
      <c r="G6" s="4"/>
      <c r="H6" s="4"/>
      <c r="I6" s="4"/>
      <c r="J6" s="11"/>
      <c r="K6" s="10" t="str">
        <f t="shared" si="0"/>
        <v/>
      </c>
      <c r="Y6" s="11">
        <f t="shared" si="1"/>
        <v>0</v>
      </c>
      <c r="Z6" s="4">
        <f t="shared" si="2"/>
        <v>0</v>
      </c>
    </row>
    <row r="7" spans="1:27" x14ac:dyDescent="0.25">
      <c r="A7" s="7" t="s">
        <v>13</v>
      </c>
      <c r="B7" s="3">
        <v>0.7</v>
      </c>
      <c r="D7" s="11"/>
      <c r="E7" s="2"/>
      <c r="F7" s="4"/>
      <c r="G7" s="2"/>
      <c r="H7" s="4"/>
      <c r="I7" s="4"/>
      <c r="J7" s="11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6</v>
      </c>
      <c r="D8" s="11"/>
      <c r="E8" s="15"/>
      <c r="F8" s="15"/>
      <c r="G8" s="15"/>
      <c r="H8" s="15"/>
      <c r="I8" s="15"/>
      <c r="J8" s="11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1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5">
        <v>0.09</v>
      </c>
      <c r="D10" s="11"/>
      <c r="E10" s="15"/>
      <c r="F10" s="15"/>
      <c r="G10" s="15"/>
      <c r="H10" s="15"/>
      <c r="I10" s="15"/>
      <c r="J10" s="11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4">
        <v>100</v>
      </c>
      <c r="D11" s="11"/>
      <c r="E11" s="15"/>
      <c r="F11" s="15"/>
      <c r="G11" s="15"/>
      <c r="H11" s="15"/>
      <c r="I11" s="15"/>
      <c r="J11" s="18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20">
        <v>46098</v>
      </c>
      <c r="D12" s="11"/>
      <c r="E12" s="15"/>
      <c r="F12" s="15"/>
      <c r="G12" s="15"/>
      <c r="H12" s="15"/>
      <c r="I12" s="15"/>
      <c r="J12" s="18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 t="str">
        <f ca="1">IF(B11&lt;&gt;N3,(TODAY()-B12)*-1,"")</f>
        <v/>
      </c>
      <c r="D13" s="11"/>
      <c r="E13" s="15"/>
      <c r="F13" s="15"/>
      <c r="G13" s="15"/>
      <c r="H13" s="15"/>
      <c r="I13" s="15"/>
      <c r="J13" s="18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20">
        <v>46084</v>
      </c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>
        <f>IF(M3=N3,B14-B12,"")</f>
        <v>-14</v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</row>
    <row r="17" spans="4:11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</row>
    <row r="18" spans="4:11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</row>
    <row r="19" spans="4:11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</row>
    <row r="20" spans="4:11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</row>
    <row r="21" spans="4:11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</row>
    <row r="22" spans="4:11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</row>
    <row r="23" spans="4:11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</row>
    <row r="24" spans="4:11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</row>
    <row r="25" spans="4:11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</row>
    <row r="26" spans="4:11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</row>
    <row r="27" spans="4:11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</row>
    <row r="28" spans="4:11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</row>
    <row r="29" spans="4:11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</row>
    <row r="30" spans="4:11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</row>
    <row r="31" spans="4:11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</row>
    <row r="32" spans="4:11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</row>
    <row r="33" spans="4:11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</row>
    <row r="34" spans="4:11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</row>
    <row r="35" spans="4:11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</row>
    <row r="36" spans="4:11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</row>
    <row r="37" spans="4:11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</row>
    <row r="38" spans="4:11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</row>
    <row r="39" spans="4:11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</row>
    <row r="40" spans="4:11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</row>
    <row r="41" spans="4:11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</row>
    <row r="42" spans="4:11" x14ac:dyDescent="0.25">
      <c r="D42" s="8" t="s">
        <v>10</v>
      </c>
      <c r="E42" s="4">
        <f>SUM(E2:E41)</f>
        <v>100</v>
      </c>
      <c r="F42" s="4">
        <f t="shared" ref="F42:I42" si="3">SUM(F2:F41)</f>
        <v>4.0200000000000005</v>
      </c>
      <c r="G42" s="4">
        <f t="shared" si="3"/>
        <v>100</v>
      </c>
      <c r="H42" s="4">
        <f t="shared" si="3"/>
        <v>3.89</v>
      </c>
      <c r="I42" s="4">
        <f t="shared" si="3"/>
        <v>0.26</v>
      </c>
      <c r="J42" s="2"/>
      <c r="K42" s="2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43" priority="4">
      <formula>$M$3=$N$3</formula>
    </cfRule>
    <cfRule type="expression" dxfId="42" priority="5">
      <formula>$AA$2="+"</formula>
    </cfRule>
  </conditionalFormatting>
  <conditionalFormatting sqref="S3">
    <cfRule type="expression" dxfId="41" priority="1">
      <formula>$AA$2="+"</formula>
    </cfRule>
  </conditionalFormatting>
  <conditionalFormatting sqref="AA2">
    <cfRule type="expression" dxfId="40" priority="2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AA42"/>
  <sheetViews>
    <sheetView workbookViewId="0">
      <selection activeCell="J13" sqref="J13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44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43</v>
      </c>
      <c r="D2" s="11">
        <v>46022</v>
      </c>
      <c r="E2" s="4">
        <v>0</v>
      </c>
      <c r="F2" s="4">
        <v>4.03</v>
      </c>
      <c r="G2" s="4">
        <v>0</v>
      </c>
      <c r="H2" s="4">
        <v>4.03</v>
      </c>
      <c r="I2" s="4">
        <v>0</v>
      </c>
      <c r="J2" s="11">
        <v>46022</v>
      </c>
      <c r="K2" s="10">
        <f>IF(J2&gt;0,J2-D2,"")</f>
        <v>0</v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B4</f>
        <v>45908</v>
      </c>
      <c r="Z2" s="4">
        <f>B11*-1</f>
        <v>-123.24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45908</v>
      </c>
      <c r="D3" s="11">
        <v>46112</v>
      </c>
      <c r="E3" s="4">
        <v>0</v>
      </c>
      <c r="F3" s="4">
        <v>3.24</v>
      </c>
      <c r="G3" s="4">
        <v>0</v>
      </c>
      <c r="H3" s="4">
        <v>3.24</v>
      </c>
      <c r="I3" s="4">
        <v>0</v>
      </c>
      <c r="J3" s="11">
        <v>46112</v>
      </c>
      <c r="K3" s="10">
        <f t="shared" ref="K3:K41" si="0">IF(J3&gt;0,J3-D3,"")</f>
        <v>0</v>
      </c>
      <c r="M3" s="4">
        <f>B11</f>
        <v>123.24</v>
      </c>
      <c r="N3" s="4">
        <f>G42</f>
        <v>123.24</v>
      </c>
      <c r="O3" s="4">
        <f>F42</f>
        <v>12.990000000000002</v>
      </c>
      <c r="P3" s="4">
        <f>H42+I42</f>
        <v>12.740000000000002</v>
      </c>
      <c r="Q3" s="14">
        <f>IF(M3=N3,XIRR(Z2:Z14,Y2:Y14),"")</f>
        <v>0.10928929448127747</v>
      </c>
      <c r="R3" s="11">
        <f>IF(M3=N3,B14,"")</f>
        <v>46267</v>
      </c>
      <c r="S3" s="2" t="str">
        <f ca="1">IF(COUNTIFS(D:D,"&lt;"&amp;TODAY(),J:J,"")=0,"",TODAY()-_xlfn.MINIFS(D:D,D:D,"&lt;"&amp;TODAY(),J:J,""))</f>
        <v/>
      </c>
      <c r="Y3" s="11">
        <f>J2</f>
        <v>46022</v>
      </c>
      <c r="Z3" s="4">
        <f>G2+H2+I2</f>
        <v>4.03</v>
      </c>
    </row>
    <row r="4" spans="1:27" x14ac:dyDescent="0.25">
      <c r="A4" s="7" t="s">
        <v>11</v>
      </c>
      <c r="B4" s="11">
        <v>45908</v>
      </c>
      <c r="D4" s="13">
        <v>46203</v>
      </c>
      <c r="E4" s="4">
        <v>0</v>
      </c>
      <c r="F4" s="4">
        <v>3.24</v>
      </c>
      <c r="G4" s="4">
        <v>0</v>
      </c>
      <c r="H4" s="4">
        <v>3.24</v>
      </c>
      <c r="I4" s="4">
        <v>0</v>
      </c>
      <c r="J4" s="11">
        <v>46203</v>
      </c>
      <c r="K4" s="10">
        <f t="shared" si="0"/>
        <v>0</v>
      </c>
      <c r="Y4" s="11">
        <f t="shared" ref="Y4:Y14" si="1">J3</f>
        <v>46112</v>
      </c>
      <c r="Z4" s="4">
        <f t="shared" ref="Z4:Z14" si="2">G3+H3+I3</f>
        <v>3.24</v>
      </c>
    </row>
    <row r="5" spans="1:27" x14ac:dyDescent="0.25">
      <c r="A5" s="7" t="s">
        <v>2</v>
      </c>
      <c r="B5" s="2" t="s">
        <v>28</v>
      </c>
      <c r="D5" s="13">
        <v>46274</v>
      </c>
      <c r="E5" s="4">
        <v>123.24</v>
      </c>
      <c r="F5" s="4">
        <v>2.48</v>
      </c>
      <c r="G5" s="4">
        <v>123.24</v>
      </c>
      <c r="H5" s="4">
        <v>2.23</v>
      </c>
      <c r="I5" s="4">
        <v>0</v>
      </c>
      <c r="J5" s="11">
        <v>46267</v>
      </c>
      <c r="K5" s="10">
        <f t="shared" si="0"/>
        <v>-7</v>
      </c>
      <c r="Y5" s="11">
        <f t="shared" si="1"/>
        <v>46203</v>
      </c>
      <c r="Z5" s="4">
        <f t="shared" si="2"/>
        <v>3.24</v>
      </c>
    </row>
    <row r="6" spans="1:27" x14ac:dyDescent="0.25">
      <c r="A6" s="7" t="s">
        <v>12</v>
      </c>
      <c r="B6" s="3">
        <v>0.4</v>
      </c>
      <c r="D6" s="11"/>
      <c r="E6" s="4"/>
      <c r="F6" s="4"/>
      <c r="G6" s="4"/>
      <c r="H6" s="4"/>
      <c r="I6" s="4"/>
      <c r="J6" s="11"/>
      <c r="K6" s="10" t="str">
        <f t="shared" si="0"/>
        <v/>
      </c>
      <c r="Y6" s="11">
        <f t="shared" si="1"/>
        <v>46267</v>
      </c>
      <c r="Z6" s="4">
        <f t="shared" si="2"/>
        <v>125.47</v>
      </c>
    </row>
    <row r="7" spans="1:27" x14ac:dyDescent="0.25">
      <c r="A7" s="7" t="s">
        <v>13</v>
      </c>
      <c r="B7" s="3">
        <v>0.7</v>
      </c>
      <c r="D7" s="11"/>
      <c r="E7" s="2"/>
      <c r="F7" s="4"/>
      <c r="G7" s="2"/>
      <c r="H7" s="4"/>
      <c r="I7" s="4"/>
      <c r="J7" s="11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12</v>
      </c>
      <c r="D8" s="11"/>
      <c r="E8" s="15"/>
      <c r="F8" s="15"/>
      <c r="G8" s="15"/>
      <c r="H8" s="15"/>
      <c r="I8" s="15"/>
      <c r="J8" s="11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1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5">
        <v>0.105</v>
      </c>
      <c r="D10" s="11"/>
      <c r="E10" s="15"/>
      <c r="F10" s="15"/>
      <c r="G10" s="15"/>
      <c r="H10" s="15"/>
      <c r="I10" s="15"/>
      <c r="J10" s="11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2">
        <v>123.24</v>
      </c>
      <c r="D11" s="11"/>
      <c r="E11" s="15"/>
      <c r="F11" s="15"/>
      <c r="G11" s="15"/>
      <c r="H11" s="15"/>
      <c r="I11" s="15"/>
      <c r="J11" s="18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11">
        <v>46274</v>
      </c>
      <c r="D12" s="11"/>
      <c r="E12" s="15"/>
      <c r="F12" s="15"/>
      <c r="G12" s="15"/>
      <c r="H12" s="15"/>
      <c r="I12" s="15"/>
      <c r="J12" s="18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 t="str">
        <f ca="1">IF(B11&lt;&gt;N3,(TODAY()-B12)*-1,"")</f>
        <v/>
      </c>
      <c r="D13" s="11"/>
      <c r="E13" s="15"/>
      <c r="F13" s="15"/>
      <c r="G13" s="15"/>
      <c r="H13" s="15"/>
      <c r="I13" s="15"/>
      <c r="J13" s="18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11">
        <v>46267</v>
      </c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>
        <f>IF(M3=N3,B14-B12,"")</f>
        <v>-7</v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</row>
    <row r="17" spans="4:11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</row>
    <row r="18" spans="4:11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</row>
    <row r="19" spans="4:11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</row>
    <row r="20" spans="4:11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</row>
    <row r="21" spans="4:11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</row>
    <row r="22" spans="4:11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</row>
    <row r="23" spans="4:11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</row>
    <row r="24" spans="4:11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</row>
    <row r="25" spans="4:11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</row>
    <row r="26" spans="4:11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</row>
    <row r="27" spans="4:11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</row>
    <row r="28" spans="4:11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</row>
    <row r="29" spans="4:11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</row>
    <row r="30" spans="4:11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</row>
    <row r="31" spans="4:11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</row>
    <row r="32" spans="4:11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</row>
    <row r="33" spans="4:11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</row>
    <row r="34" spans="4:11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</row>
    <row r="35" spans="4:11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</row>
    <row r="36" spans="4:11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</row>
    <row r="37" spans="4:11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</row>
    <row r="38" spans="4:11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</row>
    <row r="39" spans="4:11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</row>
    <row r="40" spans="4:11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</row>
    <row r="41" spans="4:11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</row>
    <row r="42" spans="4:11" x14ac:dyDescent="0.25">
      <c r="D42" s="8" t="s">
        <v>10</v>
      </c>
      <c r="E42" s="4">
        <f>SUM(E2:E41)</f>
        <v>123.24</v>
      </c>
      <c r="F42" s="4">
        <f t="shared" ref="F42:I42" si="3">SUM(F2:F41)</f>
        <v>12.990000000000002</v>
      </c>
      <c r="G42" s="4">
        <f t="shared" si="3"/>
        <v>123.24</v>
      </c>
      <c r="H42" s="4">
        <f t="shared" si="3"/>
        <v>12.740000000000002</v>
      </c>
      <c r="I42" s="4">
        <f t="shared" si="3"/>
        <v>0</v>
      </c>
      <c r="J42" s="2"/>
      <c r="K42" s="2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39" priority="2">
      <formula>$M$3=$N$3</formula>
    </cfRule>
    <cfRule type="expression" dxfId="38" priority="3">
      <formula>$AA$2="+"</formula>
    </cfRule>
  </conditionalFormatting>
  <conditionalFormatting sqref="S3">
    <cfRule type="expression" dxfId="37" priority="1">
      <formula>$AA$2="+"</formula>
    </cfRule>
  </conditionalFormatting>
  <conditionalFormatting sqref="AA2">
    <cfRule type="expression" dxfId="36" priority="4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AA42"/>
  <sheetViews>
    <sheetView workbookViewId="0">
      <selection activeCell="A11" sqref="A1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33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34</v>
      </c>
      <c r="D2" s="11">
        <v>45901</v>
      </c>
      <c r="E2" s="4">
        <v>0</v>
      </c>
      <c r="F2" s="4">
        <v>3.12</v>
      </c>
      <c r="G2" s="4">
        <v>0</v>
      </c>
      <c r="H2" s="4">
        <v>3.12</v>
      </c>
      <c r="I2" s="4">
        <v>0</v>
      </c>
      <c r="J2" s="11">
        <v>45901</v>
      </c>
      <c r="K2" s="10">
        <f>IF(J2&gt;0,J2-D2,"")</f>
        <v>0</v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B3</f>
        <v>45791</v>
      </c>
      <c r="Z2" s="4">
        <f>B11*-1</f>
        <v>-100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45791</v>
      </c>
      <c r="D3" s="11">
        <v>45975</v>
      </c>
      <c r="E3" s="4">
        <v>100</v>
      </c>
      <c r="F3" s="4">
        <v>2.13</v>
      </c>
      <c r="G3" s="4">
        <v>100</v>
      </c>
      <c r="H3" s="4">
        <v>0.28999999999999998</v>
      </c>
      <c r="I3" s="4">
        <v>0</v>
      </c>
      <c r="J3" s="11">
        <v>45912</v>
      </c>
      <c r="K3" s="10">
        <f t="shared" ref="K3:K41" si="0">IF(J3&gt;0,J3-D3,"")</f>
        <v>-63</v>
      </c>
      <c r="M3" s="4">
        <f>B11</f>
        <v>100</v>
      </c>
      <c r="N3" s="4">
        <f>G42</f>
        <v>100</v>
      </c>
      <c r="O3" s="4">
        <f>F42</f>
        <v>5.25</v>
      </c>
      <c r="P3" s="4">
        <f>H42+I42</f>
        <v>3.41</v>
      </c>
      <c r="Q3" s="14">
        <f>IF(M3=N3,XIRR(Z2:Z14,Y2:Y14),"")</f>
        <v>0.1067494571208954</v>
      </c>
      <c r="R3" s="11">
        <f>IF(M3=N3,B14,"")</f>
        <v>45912</v>
      </c>
      <c r="S3" s="2" t="str">
        <f ca="1">IF(COUNTIFS(D:D,"&lt;"&amp;TODAY(),J:J,"")=0,"",TODAY()-_xlfn.MINIFS(D:D,D:D,"&lt;"&amp;TODAY(),J:J,""))</f>
        <v/>
      </c>
      <c r="Y3" s="11">
        <f>J2</f>
        <v>45901</v>
      </c>
      <c r="Z3" s="4">
        <f>G2+H2+I2</f>
        <v>3.12</v>
      </c>
    </row>
    <row r="4" spans="1:27" x14ac:dyDescent="0.25">
      <c r="A4" s="7" t="s">
        <v>11</v>
      </c>
      <c r="B4" s="11">
        <v>45791</v>
      </c>
      <c r="D4" s="11"/>
      <c r="E4" s="4"/>
      <c r="F4" s="4"/>
      <c r="G4" s="4"/>
      <c r="H4" s="4"/>
      <c r="I4" s="4"/>
      <c r="J4" s="11"/>
      <c r="K4" s="10" t="str">
        <f t="shared" si="0"/>
        <v/>
      </c>
      <c r="Y4" s="11">
        <f t="shared" ref="Y4:Y14" si="1">J3</f>
        <v>45912</v>
      </c>
      <c r="Z4" s="4">
        <f t="shared" ref="Z4:Z14" si="2">G3+H3+I3</f>
        <v>100.29</v>
      </c>
    </row>
    <row r="5" spans="1:27" x14ac:dyDescent="0.25">
      <c r="A5" s="7" t="s">
        <v>2</v>
      </c>
      <c r="B5" s="2" t="s">
        <v>28</v>
      </c>
      <c r="D5" s="11"/>
      <c r="E5" s="4"/>
      <c r="F5" s="4"/>
      <c r="G5" s="4"/>
      <c r="H5" s="4"/>
      <c r="I5" s="4"/>
      <c r="J5" s="11"/>
      <c r="K5" s="10" t="str">
        <f t="shared" si="0"/>
        <v/>
      </c>
      <c r="Y5" s="11">
        <f t="shared" si="1"/>
        <v>0</v>
      </c>
      <c r="Z5" s="4">
        <f t="shared" si="2"/>
        <v>0</v>
      </c>
    </row>
    <row r="6" spans="1:27" x14ac:dyDescent="0.25">
      <c r="A6" s="7" t="s">
        <v>12</v>
      </c>
      <c r="B6" s="3">
        <v>0.75</v>
      </c>
      <c r="D6" s="11"/>
      <c r="E6" s="4"/>
      <c r="F6" s="4"/>
      <c r="G6" s="4"/>
      <c r="H6" s="4"/>
      <c r="I6" s="4"/>
      <c r="J6" s="11"/>
      <c r="K6" s="10" t="str">
        <f t="shared" si="0"/>
        <v/>
      </c>
      <c r="Y6" s="11">
        <f t="shared" si="1"/>
        <v>0</v>
      </c>
      <c r="Z6" s="4">
        <f t="shared" si="2"/>
        <v>0</v>
      </c>
    </row>
    <row r="7" spans="1:27" x14ac:dyDescent="0.25">
      <c r="A7" s="7" t="s">
        <v>13</v>
      </c>
      <c r="B7" s="3">
        <v>0.75</v>
      </c>
      <c r="D7" s="11"/>
      <c r="E7" s="2"/>
      <c r="F7" s="4"/>
      <c r="G7" s="2"/>
      <c r="H7" s="4"/>
      <c r="I7" s="4"/>
      <c r="J7" s="18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6</v>
      </c>
      <c r="D8" s="11"/>
      <c r="E8" s="15"/>
      <c r="F8" s="15"/>
      <c r="G8" s="15"/>
      <c r="H8" s="15"/>
      <c r="I8" s="15"/>
      <c r="J8" s="18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8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5">
        <v>0.105</v>
      </c>
      <c r="D10" s="11"/>
      <c r="E10" s="15"/>
      <c r="F10" s="15"/>
      <c r="G10" s="15"/>
      <c r="H10" s="15"/>
      <c r="I10" s="15"/>
      <c r="J10" s="18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2">
        <v>100</v>
      </c>
      <c r="D11" s="11"/>
      <c r="E11" s="15"/>
      <c r="F11" s="15"/>
      <c r="G11" s="15"/>
      <c r="H11" s="15"/>
      <c r="I11" s="15"/>
      <c r="J11" s="18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20">
        <v>45975</v>
      </c>
      <c r="D12" s="11"/>
      <c r="E12" s="15"/>
      <c r="F12" s="15"/>
      <c r="G12" s="15"/>
      <c r="H12" s="15"/>
      <c r="I12" s="15"/>
      <c r="J12" s="18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 t="str">
        <f ca="1">IF(B11&lt;&gt;N3,(TODAY()-B12)*-1,"")</f>
        <v/>
      </c>
      <c r="D13" s="11"/>
      <c r="E13" s="15"/>
      <c r="F13" s="15"/>
      <c r="G13" s="15"/>
      <c r="H13" s="15"/>
      <c r="I13" s="15"/>
      <c r="J13" s="18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11">
        <v>45912</v>
      </c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>
        <f>IF(M3=N3,B14-B12,"")</f>
        <v>-63</v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</row>
    <row r="17" spans="4:11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</row>
    <row r="18" spans="4:11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</row>
    <row r="19" spans="4:11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</row>
    <row r="20" spans="4:11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</row>
    <row r="21" spans="4:11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</row>
    <row r="22" spans="4:11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</row>
    <row r="23" spans="4:11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</row>
    <row r="24" spans="4:11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</row>
    <row r="25" spans="4:11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</row>
    <row r="26" spans="4:11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</row>
    <row r="27" spans="4:11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</row>
    <row r="28" spans="4:11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</row>
    <row r="29" spans="4:11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</row>
    <row r="30" spans="4:11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</row>
    <row r="31" spans="4:11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</row>
    <row r="32" spans="4:11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</row>
    <row r="33" spans="4:11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</row>
    <row r="34" spans="4:11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</row>
    <row r="35" spans="4:11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</row>
    <row r="36" spans="4:11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</row>
    <row r="37" spans="4:11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</row>
    <row r="38" spans="4:11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</row>
    <row r="39" spans="4:11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</row>
    <row r="40" spans="4:11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</row>
    <row r="41" spans="4:11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</row>
    <row r="42" spans="4:11" x14ac:dyDescent="0.25">
      <c r="D42" s="8" t="s">
        <v>10</v>
      </c>
      <c r="E42" s="4">
        <f>SUM(E2:E41)</f>
        <v>100</v>
      </c>
      <c r="F42" s="4">
        <f t="shared" ref="F42:I42" si="3">SUM(F2:F41)</f>
        <v>5.25</v>
      </c>
      <c r="G42" s="4">
        <f t="shared" si="3"/>
        <v>100</v>
      </c>
      <c r="H42" s="4">
        <f t="shared" si="3"/>
        <v>3.41</v>
      </c>
      <c r="I42" s="4">
        <f t="shared" si="3"/>
        <v>0</v>
      </c>
      <c r="J42" s="2"/>
      <c r="K42" s="2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35" priority="6">
      <formula>$M$3=$N$3</formula>
    </cfRule>
    <cfRule type="expression" dxfId="34" priority="7">
      <formula>$AA$2="+"</formula>
    </cfRule>
  </conditionalFormatting>
  <conditionalFormatting sqref="S3">
    <cfRule type="expression" dxfId="33" priority="1">
      <formula>$AA$2="+"</formula>
    </cfRule>
  </conditionalFormatting>
  <conditionalFormatting sqref="AA2">
    <cfRule type="expression" dxfId="32" priority="2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AA42"/>
  <sheetViews>
    <sheetView workbookViewId="0">
      <selection activeCell="A11" sqref="A1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31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32</v>
      </c>
      <c r="D2" s="11">
        <v>45869</v>
      </c>
      <c r="E2" s="4">
        <v>0</v>
      </c>
      <c r="F2" s="4">
        <v>2.96</v>
      </c>
      <c r="G2" s="4">
        <v>0</v>
      </c>
      <c r="H2" s="4">
        <v>2.96</v>
      </c>
      <c r="I2" s="4">
        <v>0</v>
      </c>
      <c r="J2" s="11">
        <v>45869</v>
      </c>
      <c r="K2" s="10">
        <f>IF(J2&gt;0,J2-D2,"")</f>
        <v>0</v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B3</f>
        <v>45770</v>
      </c>
      <c r="Z2" s="4">
        <f>B11*-1</f>
        <v>-100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45770</v>
      </c>
      <c r="D3" s="11">
        <v>45961</v>
      </c>
      <c r="E3" s="4">
        <v>0</v>
      </c>
      <c r="F3" s="4">
        <v>2.75</v>
      </c>
      <c r="G3" s="4">
        <v>0</v>
      </c>
      <c r="H3" s="4">
        <v>2.75</v>
      </c>
      <c r="I3" s="4">
        <v>0</v>
      </c>
      <c r="J3" s="11">
        <v>45966</v>
      </c>
      <c r="K3" s="10">
        <f t="shared" ref="K3:K41" si="0">IF(J3&gt;0,J3-D3,"")</f>
        <v>5</v>
      </c>
      <c r="M3" s="4">
        <f>B11</f>
        <v>100</v>
      </c>
      <c r="N3" s="4">
        <f>G42</f>
        <v>100</v>
      </c>
      <c r="O3" s="4">
        <f>F42</f>
        <v>11.149999999999999</v>
      </c>
      <c r="P3" s="4">
        <f>H42+I42</f>
        <v>9.39</v>
      </c>
      <c r="Q3" s="14">
        <f>IF(M3=N3,XIRR(Z2:Z14,Y2:Y14),"")</f>
        <v>0.11762238144874573</v>
      </c>
      <c r="R3" s="11">
        <f>IF(M3=N3,B14,"")</f>
        <v>46073</v>
      </c>
      <c r="S3" s="2" t="str">
        <f ca="1">IF(COUNTIFS(D:D,"&lt;"&amp;TODAY(),J:J,"")=0,"",TODAY()-_xlfn.MINIFS(D:D,D:D,"&lt;"&amp;TODAY(),J:J,""))</f>
        <v/>
      </c>
      <c r="Y3" s="11">
        <f>J2</f>
        <v>45869</v>
      </c>
      <c r="Z3" s="4">
        <f>G2+H2+I2</f>
        <v>2.96</v>
      </c>
    </row>
    <row r="4" spans="1:27" x14ac:dyDescent="0.25">
      <c r="A4" s="7" t="s">
        <v>11</v>
      </c>
      <c r="B4" s="11">
        <v>45775</v>
      </c>
      <c r="D4" s="11">
        <v>46055</v>
      </c>
      <c r="E4" s="4">
        <v>0</v>
      </c>
      <c r="F4" s="4">
        <v>2.81</v>
      </c>
      <c r="G4" s="4">
        <v>0</v>
      </c>
      <c r="H4" s="4">
        <v>2.81</v>
      </c>
      <c r="I4" s="4">
        <v>0.32</v>
      </c>
      <c r="J4" s="11">
        <v>46073</v>
      </c>
      <c r="K4" s="10">
        <f t="shared" si="0"/>
        <v>18</v>
      </c>
      <c r="Y4" s="11">
        <f t="shared" ref="Y4:Y14" si="1">J3</f>
        <v>45966</v>
      </c>
      <c r="Z4" s="4">
        <f t="shared" ref="Z4:Z14" si="2">G3+H3+I3</f>
        <v>2.75</v>
      </c>
    </row>
    <row r="5" spans="1:27" x14ac:dyDescent="0.25">
      <c r="A5" s="7" t="s">
        <v>2</v>
      </c>
      <c r="B5" s="2" t="s">
        <v>15</v>
      </c>
      <c r="D5" s="11">
        <v>46140</v>
      </c>
      <c r="E5" s="4">
        <v>100</v>
      </c>
      <c r="F5" s="4">
        <v>2.63</v>
      </c>
      <c r="G5" s="4">
        <v>100</v>
      </c>
      <c r="H5" s="4">
        <v>0.55000000000000004</v>
      </c>
      <c r="I5" s="4">
        <v>0</v>
      </c>
      <c r="J5" s="11">
        <v>46073</v>
      </c>
      <c r="K5" s="10">
        <f t="shared" si="0"/>
        <v>-67</v>
      </c>
      <c r="Y5" s="11">
        <f t="shared" si="1"/>
        <v>46073</v>
      </c>
      <c r="Z5" s="4">
        <f t="shared" si="2"/>
        <v>3.13</v>
      </c>
    </row>
    <row r="6" spans="1:27" x14ac:dyDescent="0.25">
      <c r="A6" s="7" t="s">
        <v>12</v>
      </c>
      <c r="B6" s="3">
        <v>0.7</v>
      </c>
      <c r="D6" s="11"/>
      <c r="E6" s="4"/>
      <c r="F6" s="4"/>
      <c r="G6" s="4"/>
      <c r="H6" s="4"/>
      <c r="I6" s="4"/>
      <c r="J6" s="11"/>
      <c r="K6" s="10" t="str">
        <f t="shared" si="0"/>
        <v/>
      </c>
      <c r="Y6" s="11">
        <f t="shared" si="1"/>
        <v>46073</v>
      </c>
      <c r="Z6" s="4">
        <f t="shared" si="2"/>
        <v>100.55</v>
      </c>
    </row>
    <row r="7" spans="1:27" x14ac:dyDescent="0.25">
      <c r="A7" s="7" t="s">
        <v>13</v>
      </c>
      <c r="B7" s="3">
        <v>0.7</v>
      </c>
      <c r="D7" s="11"/>
      <c r="E7" s="2"/>
      <c r="F7" s="4"/>
      <c r="G7" s="2"/>
      <c r="H7" s="4"/>
      <c r="I7" s="4"/>
      <c r="J7" s="18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12</v>
      </c>
      <c r="D8" s="11"/>
      <c r="E8" s="15"/>
      <c r="F8" s="15"/>
      <c r="G8" s="15"/>
      <c r="H8" s="15"/>
      <c r="I8" s="15"/>
      <c r="J8" s="18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8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5">
        <v>0.11</v>
      </c>
      <c r="D10" s="11"/>
      <c r="E10" s="15"/>
      <c r="F10" s="15"/>
      <c r="G10" s="15"/>
      <c r="H10" s="15"/>
      <c r="I10" s="15"/>
      <c r="J10" s="18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2">
        <v>100</v>
      </c>
      <c r="D11" s="11"/>
      <c r="E11" s="15"/>
      <c r="F11" s="15"/>
      <c r="G11" s="15"/>
      <c r="H11" s="15"/>
      <c r="I11" s="15"/>
      <c r="J11" s="18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20">
        <v>46140</v>
      </c>
      <c r="D12" s="11"/>
      <c r="E12" s="15"/>
      <c r="F12" s="15"/>
      <c r="G12" s="15"/>
      <c r="H12" s="15"/>
      <c r="I12" s="15"/>
      <c r="J12" s="18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 t="str">
        <f ca="1">IF(B11&lt;&gt;N3,(TODAY()-B12)*-1,"")</f>
        <v/>
      </c>
      <c r="D13" s="11"/>
      <c r="E13" s="15"/>
      <c r="F13" s="15"/>
      <c r="G13" s="15"/>
      <c r="H13" s="15"/>
      <c r="I13" s="15"/>
      <c r="J13" s="18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11">
        <v>46073</v>
      </c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>
        <f>IF(M3=N3,B14-B12,"")</f>
        <v>-67</v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</row>
    <row r="17" spans="4:11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</row>
    <row r="18" spans="4:11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</row>
    <row r="19" spans="4:11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</row>
    <row r="20" spans="4:11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</row>
    <row r="21" spans="4:11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</row>
    <row r="22" spans="4:11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</row>
    <row r="23" spans="4:11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</row>
    <row r="24" spans="4:11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</row>
    <row r="25" spans="4:11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</row>
    <row r="26" spans="4:11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</row>
    <row r="27" spans="4:11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</row>
    <row r="28" spans="4:11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</row>
    <row r="29" spans="4:11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</row>
    <row r="30" spans="4:11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</row>
    <row r="31" spans="4:11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</row>
    <row r="32" spans="4:11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</row>
    <row r="33" spans="4:11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</row>
    <row r="34" spans="4:11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</row>
    <row r="35" spans="4:11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</row>
    <row r="36" spans="4:11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</row>
    <row r="37" spans="4:11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</row>
    <row r="38" spans="4:11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</row>
    <row r="39" spans="4:11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</row>
    <row r="40" spans="4:11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</row>
    <row r="41" spans="4:11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</row>
    <row r="42" spans="4:11" x14ac:dyDescent="0.25">
      <c r="D42" s="8" t="s">
        <v>10</v>
      </c>
      <c r="E42" s="4">
        <f>SUM(E2:E41)</f>
        <v>100</v>
      </c>
      <c r="F42" s="4">
        <f t="shared" ref="F42:I42" si="3">SUM(F2:F41)</f>
        <v>11.149999999999999</v>
      </c>
      <c r="G42" s="4">
        <f t="shared" si="3"/>
        <v>100</v>
      </c>
      <c r="H42" s="4">
        <f t="shared" si="3"/>
        <v>9.07</v>
      </c>
      <c r="I42" s="4">
        <f t="shared" si="3"/>
        <v>0.32</v>
      </c>
      <c r="J42" s="2"/>
      <c r="K42" s="2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31" priority="6">
      <formula>$M$3=$N$3</formula>
    </cfRule>
    <cfRule type="expression" dxfId="30" priority="7">
      <formula>$AA$2="+"</formula>
    </cfRule>
  </conditionalFormatting>
  <conditionalFormatting sqref="S3">
    <cfRule type="expression" dxfId="29" priority="1">
      <formula>$AA$2="+"</formula>
    </cfRule>
  </conditionalFormatting>
  <conditionalFormatting sqref="AA2">
    <cfRule type="expression" dxfId="28" priority="2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AA42"/>
  <sheetViews>
    <sheetView workbookViewId="0">
      <selection activeCell="A11" sqref="A1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29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30</v>
      </c>
      <c r="D2" s="11">
        <v>45869</v>
      </c>
      <c r="E2" s="4">
        <v>0</v>
      </c>
      <c r="F2" s="4">
        <v>0.31</v>
      </c>
      <c r="G2" s="4">
        <v>0</v>
      </c>
      <c r="H2" s="4">
        <v>0.31</v>
      </c>
      <c r="I2" s="4">
        <v>0</v>
      </c>
      <c r="J2" s="11">
        <v>45869</v>
      </c>
      <c r="K2" s="10">
        <f>IF(J2&gt;0,J2-D2,"")</f>
        <v>0</v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B3</f>
        <v>45764</v>
      </c>
      <c r="Z2" s="4">
        <f>B11*-1</f>
        <v>-10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45764</v>
      </c>
      <c r="D3" s="11">
        <v>45961</v>
      </c>
      <c r="E3" s="4">
        <v>0</v>
      </c>
      <c r="F3" s="4">
        <v>0.28000000000000003</v>
      </c>
      <c r="G3" s="4">
        <v>0</v>
      </c>
      <c r="H3" s="4">
        <v>0.28000000000000003</v>
      </c>
      <c r="I3" s="4">
        <v>0</v>
      </c>
      <c r="J3" s="11">
        <v>45961</v>
      </c>
      <c r="K3" s="10">
        <f t="shared" ref="K3:K41" si="0">IF(J3&gt;0,J3-D3,"")</f>
        <v>0</v>
      </c>
      <c r="M3" s="4">
        <f>B11</f>
        <v>10</v>
      </c>
      <c r="N3" s="4">
        <f>G42</f>
        <v>10</v>
      </c>
      <c r="O3" s="4">
        <f>F42</f>
        <v>1.21</v>
      </c>
      <c r="P3" s="4">
        <f>H42+I42</f>
        <v>0.94000000000000006</v>
      </c>
      <c r="Q3" s="14">
        <f>IF(M3=N3,XIRR(Z2:Z14,Y2:Y14),"")</f>
        <v>0.11375175118446348</v>
      </c>
      <c r="R3" s="11">
        <f>IF(M3=N3,B14,"")</f>
        <v>46105</v>
      </c>
      <c r="S3" s="2" t="str">
        <f ca="1">IF(COUNTIFS(D:D,"&lt;"&amp;TODAY(),J:J,"")=0,"",TODAY()-_xlfn.MINIFS(D:D,D:D,"&lt;"&amp;TODAY(),J:J,""))</f>
        <v/>
      </c>
      <c r="Y3" s="11">
        <f>J2</f>
        <v>45869</v>
      </c>
      <c r="Z3" s="4">
        <f>G2+H2+I2</f>
        <v>0.31</v>
      </c>
    </row>
    <row r="4" spans="1:27" x14ac:dyDescent="0.25">
      <c r="A4" s="7" t="s">
        <v>11</v>
      </c>
      <c r="B4" s="11">
        <v>45771</v>
      </c>
      <c r="D4" s="11">
        <v>46030</v>
      </c>
      <c r="E4" s="4">
        <v>3.58</v>
      </c>
      <c r="F4" s="4">
        <v>0.28000000000000003</v>
      </c>
      <c r="G4" s="4">
        <v>3.58</v>
      </c>
      <c r="H4" s="4">
        <v>7.0000000000000007E-2</v>
      </c>
      <c r="I4" s="4">
        <v>0</v>
      </c>
      <c r="J4" s="11">
        <v>46030</v>
      </c>
      <c r="K4" s="10">
        <f t="shared" si="0"/>
        <v>0</v>
      </c>
      <c r="Y4" s="11">
        <f t="shared" ref="Y4:Y14" si="1">J3</f>
        <v>45961</v>
      </c>
      <c r="Z4" s="4">
        <f t="shared" ref="Z4:Z14" si="2">G3+H3+I3</f>
        <v>0.28000000000000003</v>
      </c>
    </row>
    <row r="5" spans="1:27" x14ac:dyDescent="0.25">
      <c r="A5" s="7" t="s">
        <v>2</v>
      </c>
      <c r="B5" s="2" t="s">
        <v>15</v>
      </c>
      <c r="D5" s="11">
        <v>46055</v>
      </c>
      <c r="E5" s="4">
        <v>0</v>
      </c>
      <c r="F5" s="4">
        <v>0.18</v>
      </c>
      <c r="G5" s="4">
        <v>0</v>
      </c>
      <c r="H5" s="4">
        <v>0.18</v>
      </c>
      <c r="I5" s="4">
        <v>0</v>
      </c>
      <c r="J5" s="11">
        <v>46055</v>
      </c>
      <c r="K5" s="10">
        <f t="shared" si="0"/>
        <v>0</v>
      </c>
      <c r="Y5" s="11">
        <f t="shared" si="1"/>
        <v>46030</v>
      </c>
      <c r="Z5" s="4">
        <f t="shared" si="2"/>
        <v>3.65</v>
      </c>
    </row>
    <row r="6" spans="1:27" x14ac:dyDescent="0.25">
      <c r="A6" s="7" t="s">
        <v>12</v>
      </c>
      <c r="B6" s="3">
        <v>0.7</v>
      </c>
      <c r="D6" s="11">
        <v>46136</v>
      </c>
      <c r="E6" s="4">
        <v>6.42</v>
      </c>
      <c r="F6" s="4">
        <v>0.16</v>
      </c>
      <c r="G6" s="4">
        <v>6.42</v>
      </c>
      <c r="H6" s="4">
        <v>0.1</v>
      </c>
      <c r="I6" s="4">
        <v>0</v>
      </c>
      <c r="J6" s="11">
        <v>46105</v>
      </c>
      <c r="K6" s="10">
        <f t="shared" si="0"/>
        <v>-31</v>
      </c>
      <c r="Y6" s="11">
        <f t="shared" si="1"/>
        <v>46055</v>
      </c>
      <c r="Z6" s="4">
        <f t="shared" si="2"/>
        <v>0.18</v>
      </c>
    </row>
    <row r="7" spans="1:27" x14ac:dyDescent="0.25">
      <c r="A7" s="7" t="s">
        <v>13</v>
      </c>
      <c r="B7" s="3">
        <v>0.7</v>
      </c>
      <c r="D7" s="11"/>
      <c r="E7" s="2"/>
      <c r="F7" s="4"/>
      <c r="G7" s="2"/>
      <c r="H7" s="4"/>
      <c r="I7" s="4"/>
      <c r="J7" s="18"/>
      <c r="K7" s="10" t="str">
        <f t="shared" si="0"/>
        <v/>
      </c>
      <c r="Y7" s="11">
        <f t="shared" si="1"/>
        <v>46105</v>
      </c>
      <c r="Z7" s="4">
        <f t="shared" si="2"/>
        <v>6.52</v>
      </c>
    </row>
    <row r="8" spans="1:27" x14ac:dyDescent="0.25">
      <c r="A8" s="7" t="s">
        <v>3</v>
      </c>
      <c r="B8" s="2">
        <v>12</v>
      </c>
      <c r="D8" s="11"/>
      <c r="E8" s="15"/>
      <c r="F8" s="15"/>
      <c r="G8" s="15"/>
      <c r="H8" s="15"/>
      <c r="I8" s="15"/>
      <c r="J8" s="18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8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5">
        <v>0.11</v>
      </c>
      <c r="D10" s="11"/>
      <c r="E10" s="15"/>
      <c r="F10" s="15"/>
      <c r="G10" s="15"/>
      <c r="H10" s="15"/>
      <c r="I10" s="15"/>
      <c r="J10" s="18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4">
        <v>10</v>
      </c>
      <c r="D11" s="11"/>
      <c r="E11" s="15"/>
      <c r="F11" s="15"/>
      <c r="G11" s="15"/>
      <c r="H11" s="15"/>
      <c r="I11" s="15"/>
      <c r="J11" s="18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11">
        <v>46136</v>
      </c>
      <c r="D12" s="11"/>
      <c r="E12" s="15"/>
      <c r="F12" s="15"/>
      <c r="G12" s="15"/>
      <c r="H12" s="15"/>
      <c r="I12" s="15"/>
      <c r="J12" s="18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 t="str">
        <f ca="1">IF(B11&lt;&gt;N3,(TODAY()-B12)*-1,"")</f>
        <v/>
      </c>
      <c r="D13" s="11"/>
      <c r="E13" s="15"/>
      <c r="F13" s="15"/>
      <c r="G13" s="15"/>
      <c r="H13" s="15"/>
      <c r="I13" s="15"/>
      <c r="J13" s="18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11">
        <v>46105</v>
      </c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>
        <f>IF(M3=N3,B14-B12,"")</f>
        <v>-31</v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</row>
    <row r="17" spans="4:11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</row>
    <row r="18" spans="4:11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</row>
    <row r="19" spans="4:11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</row>
    <row r="20" spans="4:11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</row>
    <row r="21" spans="4:11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</row>
    <row r="22" spans="4:11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</row>
    <row r="23" spans="4:11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</row>
    <row r="24" spans="4:11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</row>
    <row r="25" spans="4:11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</row>
    <row r="26" spans="4:11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</row>
    <row r="27" spans="4:11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</row>
    <row r="28" spans="4:11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</row>
    <row r="29" spans="4:11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</row>
    <row r="30" spans="4:11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</row>
    <row r="31" spans="4:11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</row>
    <row r="32" spans="4:11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</row>
    <row r="33" spans="4:11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</row>
    <row r="34" spans="4:11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</row>
    <row r="35" spans="4:11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</row>
    <row r="36" spans="4:11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</row>
    <row r="37" spans="4:11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</row>
    <row r="38" spans="4:11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</row>
    <row r="39" spans="4:11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</row>
    <row r="40" spans="4:11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</row>
    <row r="41" spans="4:11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</row>
    <row r="42" spans="4:11" x14ac:dyDescent="0.25">
      <c r="D42" s="8" t="s">
        <v>10</v>
      </c>
      <c r="E42" s="4">
        <f>SUM(E2:E41)</f>
        <v>10</v>
      </c>
      <c r="F42" s="4">
        <f t="shared" ref="F42:I42" si="3">SUM(F2:F41)</f>
        <v>1.21</v>
      </c>
      <c r="G42" s="4">
        <f t="shared" si="3"/>
        <v>10</v>
      </c>
      <c r="H42" s="4">
        <f t="shared" si="3"/>
        <v>0.94000000000000006</v>
      </c>
      <c r="I42" s="4">
        <f t="shared" si="3"/>
        <v>0</v>
      </c>
      <c r="J42" s="2"/>
      <c r="K42" s="2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27" priority="6">
      <formula>$M$3=$N$3</formula>
    </cfRule>
    <cfRule type="expression" dxfId="26" priority="7">
      <formula>$AA$2="+"</formula>
    </cfRule>
  </conditionalFormatting>
  <conditionalFormatting sqref="S3">
    <cfRule type="expression" dxfId="25" priority="1">
      <formula>$AA$2="+"</formula>
    </cfRule>
  </conditionalFormatting>
  <conditionalFormatting sqref="AA2">
    <cfRule type="expression" dxfId="24" priority="2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AA42"/>
  <sheetViews>
    <sheetView workbookViewId="0">
      <selection activeCell="A11" sqref="A1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27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26</v>
      </c>
      <c r="D2" s="11">
        <v>45869</v>
      </c>
      <c r="E2" s="4">
        <v>0</v>
      </c>
      <c r="F2" s="4">
        <v>3.21</v>
      </c>
      <c r="G2" s="4">
        <v>0</v>
      </c>
      <c r="H2" s="4">
        <v>3.21</v>
      </c>
      <c r="I2" s="4">
        <v>0</v>
      </c>
      <c r="J2" s="11">
        <v>45869</v>
      </c>
      <c r="K2" s="10">
        <f>IF(J2&gt;0,J2-D2,"")</f>
        <v>0</v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B3</f>
        <v>45757</v>
      </c>
      <c r="Z2" s="4">
        <f>B11*-1</f>
        <v>-100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45757</v>
      </c>
      <c r="D3" s="11">
        <v>45948</v>
      </c>
      <c r="E3" s="4">
        <v>100</v>
      </c>
      <c r="F3" s="4">
        <v>2.2799999999999998</v>
      </c>
      <c r="G3" s="4">
        <v>100</v>
      </c>
      <c r="H3" s="4">
        <v>1.2</v>
      </c>
      <c r="I3" s="4">
        <v>0</v>
      </c>
      <c r="J3" s="11">
        <v>45911</v>
      </c>
      <c r="K3" s="10">
        <f t="shared" ref="K3:K41" si="0">IF(J3&gt;0,J3-D3,"")</f>
        <v>-37</v>
      </c>
      <c r="M3" s="4">
        <f>B11</f>
        <v>100</v>
      </c>
      <c r="N3" s="4">
        <f>G42</f>
        <v>100</v>
      </c>
      <c r="O3" s="4">
        <f>F42</f>
        <v>5.49</v>
      </c>
      <c r="P3" s="4">
        <f>H42+I42</f>
        <v>4.41</v>
      </c>
      <c r="Q3" s="14">
        <f>IF(M3=N3,XIRR(Z2:Z14,Y2:Y14),"")</f>
        <v>0.10866158604621889</v>
      </c>
      <c r="R3" s="11">
        <f>IF(M3=N3,B14,"")</f>
        <v>45911</v>
      </c>
      <c r="S3" s="2" t="str">
        <f ca="1">IF(COUNTIFS(D:D,"&lt;"&amp;TODAY(),J:J,"")=0,"",TODAY()-_xlfn.MINIFS(D:D,D:D,"&lt;"&amp;TODAY(),J:J,""))</f>
        <v/>
      </c>
      <c r="Y3" s="11">
        <f>J2</f>
        <v>45869</v>
      </c>
      <c r="Z3" s="4">
        <f>G2+H2+I2</f>
        <v>3.21</v>
      </c>
    </row>
    <row r="4" spans="1:27" x14ac:dyDescent="0.25">
      <c r="A4" s="7" t="s">
        <v>11</v>
      </c>
      <c r="B4" s="11">
        <v>45765</v>
      </c>
      <c r="D4" s="11"/>
      <c r="E4" s="4"/>
      <c r="F4" s="4"/>
      <c r="G4" s="4"/>
      <c r="H4" s="4"/>
      <c r="I4" s="4"/>
      <c r="J4" s="11"/>
      <c r="K4" s="10" t="str">
        <f t="shared" si="0"/>
        <v/>
      </c>
      <c r="Y4" s="11">
        <f t="shared" ref="Y4:Y14" si="1">J3</f>
        <v>45911</v>
      </c>
      <c r="Z4" s="4">
        <f t="shared" ref="Z4:Z14" si="2">G3+H3+I3</f>
        <v>101.2</v>
      </c>
    </row>
    <row r="5" spans="1:27" x14ac:dyDescent="0.25">
      <c r="A5" s="7" t="s">
        <v>2</v>
      </c>
      <c r="B5" s="2" t="s">
        <v>28</v>
      </c>
      <c r="D5" s="11"/>
      <c r="E5" s="4"/>
      <c r="F5" s="4"/>
      <c r="G5" s="4"/>
      <c r="H5" s="4"/>
      <c r="I5" s="4"/>
      <c r="J5" s="11"/>
      <c r="K5" s="10" t="str">
        <f t="shared" si="0"/>
        <v/>
      </c>
      <c r="Y5" s="11">
        <f t="shared" si="1"/>
        <v>0</v>
      </c>
      <c r="Z5" s="4">
        <f t="shared" si="2"/>
        <v>0</v>
      </c>
    </row>
    <row r="6" spans="1:27" x14ac:dyDescent="0.25">
      <c r="A6" s="7" t="s">
        <v>12</v>
      </c>
      <c r="B6" s="3">
        <v>0.66</v>
      </c>
      <c r="D6" s="11"/>
      <c r="E6" s="4"/>
      <c r="F6" s="4"/>
      <c r="G6" s="4"/>
      <c r="H6" s="4"/>
      <c r="I6" s="4"/>
      <c r="J6" s="11"/>
      <c r="K6" s="10" t="str">
        <f t="shared" si="0"/>
        <v/>
      </c>
      <c r="Y6" s="11">
        <f t="shared" si="1"/>
        <v>0</v>
      </c>
      <c r="Z6" s="4">
        <f t="shared" si="2"/>
        <v>0</v>
      </c>
    </row>
    <row r="7" spans="1:27" x14ac:dyDescent="0.25">
      <c r="A7" s="7" t="s">
        <v>13</v>
      </c>
      <c r="B7" s="3">
        <v>0.75</v>
      </c>
      <c r="D7" s="11"/>
      <c r="E7" s="2"/>
      <c r="F7" s="4"/>
      <c r="G7" s="2"/>
      <c r="H7" s="4"/>
      <c r="I7" s="4"/>
      <c r="J7" s="18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6</v>
      </c>
      <c r="D8" s="11"/>
      <c r="E8" s="15"/>
      <c r="F8" s="15"/>
      <c r="G8" s="15"/>
      <c r="H8" s="15"/>
      <c r="I8" s="15"/>
      <c r="J8" s="18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8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5">
        <v>0.105</v>
      </c>
      <c r="D10" s="11"/>
      <c r="E10" s="15"/>
      <c r="F10" s="15"/>
      <c r="G10" s="15"/>
      <c r="H10" s="15"/>
      <c r="I10" s="15"/>
      <c r="J10" s="18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4">
        <v>100</v>
      </c>
      <c r="D11" s="11"/>
      <c r="E11" s="15"/>
      <c r="F11" s="15"/>
      <c r="G11" s="15"/>
      <c r="H11" s="15"/>
      <c r="I11" s="15"/>
      <c r="J11" s="18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11">
        <v>45948</v>
      </c>
      <c r="D12" s="11"/>
      <c r="E12" s="15"/>
      <c r="F12" s="15"/>
      <c r="G12" s="15"/>
      <c r="H12" s="15"/>
      <c r="I12" s="15"/>
      <c r="J12" s="18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 t="str">
        <f ca="1">IF(B11&lt;&gt;N3,(TODAY()-B12)*-1,"")</f>
        <v/>
      </c>
      <c r="D13" s="11"/>
      <c r="E13" s="15"/>
      <c r="F13" s="15"/>
      <c r="G13" s="15"/>
      <c r="H13" s="15"/>
      <c r="I13" s="15"/>
      <c r="J13" s="18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11">
        <v>45911</v>
      </c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>
        <f>IF(M3=N3,B14-B12,"")</f>
        <v>-37</v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</row>
    <row r="17" spans="4:11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</row>
    <row r="18" spans="4:11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</row>
    <row r="19" spans="4:11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</row>
    <row r="20" spans="4:11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</row>
    <row r="21" spans="4:11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</row>
    <row r="22" spans="4:11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</row>
    <row r="23" spans="4:11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</row>
    <row r="24" spans="4:11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</row>
    <row r="25" spans="4:11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</row>
    <row r="26" spans="4:11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</row>
    <row r="27" spans="4:11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</row>
    <row r="28" spans="4:11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</row>
    <row r="29" spans="4:11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</row>
    <row r="30" spans="4:11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</row>
    <row r="31" spans="4:11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</row>
    <row r="32" spans="4:11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</row>
    <row r="33" spans="4:11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</row>
    <row r="34" spans="4:11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</row>
    <row r="35" spans="4:11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</row>
    <row r="36" spans="4:11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</row>
    <row r="37" spans="4:11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</row>
    <row r="38" spans="4:11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</row>
    <row r="39" spans="4:11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</row>
    <row r="40" spans="4:11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</row>
    <row r="41" spans="4:11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</row>
    <row r="42" spans="4:11" x14ac:dyDescent="0.25">
      <c r="D42" s="8" t="s">
        <v>10</v>
      </c>
      <c r="E42" s="4">
        <f>SUM(E2:E41)</f>
        <v>100</v>
      </c>
      <c r="F42" s="4">
        <f t="shared" ref="F42:I42" si="3">SUM(F2:F41)</f>
        <v>5.49</v>
      </c>
      <c r="G42" s="4">
        <f t="shared" si="3"/>
        <v>100</v>
      </c>
      <c r="H42" s="4">
        <f t="shared" si="3"/>
        <v>4.41</v>
      </c>
      <c r="I42" s="4">
        <f t="shared" si="3"/>
        <v>0</v>
      </c>
      <c r="J42" s="2"/>
      <c r="K42" s="2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23" priority="6">
      <formula>$M$3=$N$3</formula>
    </cfRule>
    <cfRule type="expression" dxfId="22" priority="7">
      <formula>$AA$2="+"</formula>
    </cfRule>
  </conditionalFormatting>
  <conditionalFormatting sqref="S3">
    <cfRule type="expression" dxfId="21" priority="1">
      <formula>$AA$2="+"</formula>
    </cfRule>
  </conditionalFormatting>
  <conditionalFormatting sqref="AA2">
    <cfRule type="expression" dxfId="20" priority="2">
      <formula>$AA$2="+"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AA42"/>
  <sheetViews>
    <sheetView workbookViewId="0">
      <selection activeCell="A11" sqref="A1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25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24</v>
      </c>
      <c r="D2" s="11">
        <v>45838</v>
      </c>
      <c r="E2" s="4">
        <v>0</v>
      </c>
      <c r="F2" s="4">
        <v>2.84</v>
      </c>
      <c r="G2" s="4">
        <v>0</v>
      </c>
      <c r="H2" s="4">
        <v>2.84</v>
      </c>
      <c r="I2" s="4">
        <v>0</v>
      </c>
      <c r="J2" s="11">
        <v>45838</v>
      </c>
      <c r="K2" s="10">
        <f>IF(J2&gt;0,J2-D2,"")</f>
        <v>0</v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B3</f>
        <v>45743</v>
      </c>
      <c r="Z2" s="4">
        <f>B11*-1</f>
        <v>-100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45743</v>
      </c>
      <c r="D3" s="11">
        <v>45930</v>
      </c>
      <c r="E3" s="4">
        <v>0</v>
      </c>
      <c r="F3" s="4">
        <v>2.75</v>
      </c>
      <c r="G3" s="4">
        <v>0</v>
      </c>
      <c r="H3" s="4">
        <v>2.75</v>
      </c>
      <c r="I3" s="4">
        <v>0</v>
      </c>
      <c r="J3" s="11">
        <v>45930</v>
      </c>
      <c r="K3" s="10">
        <f t="shared" ref="K3:K41" si="0">IF(J3&gt;0,J3-D3,"")</f>
        <v>0</v>
      </c>
      <c r="M3" s="4">
        <f>B11</f>
        <v>100</v>
      </c>
      <c r="N3" s="4">
        <f>G42</f>
        <v>100</v>
      </c>
      <c r="O3" s="4">
        <f>F42</f>
        <v>11.09</v>
      </c>
      <c r="P3" s="4">
        <f>H42+I42</f>
        <v>8.51</v>
      </c>
      <c r="Q3" s="14">
        <f>IF(M3=N3,XIRR(Z2:Z14,Y2:Y14),"")</f>
        <v>0.11387043595314025</v>
      </c>
      <c r="R3" s="11">
        <f>IF(M3=N3,B14,"")</f>
        <v>46035</v>
      </c>
      <c r="S3" s="2" t="str">
        <f ca="1">IF(COUNTIFS(D:D,"&lt;"&amp;TODAY(),J:J,"")=0,"",TODAY()-_xlfn.MINIFS(D:D,D:D,"&lt;"&amp;TODAY(),J:J,""))</f>
        <v/>
      </c>
      <c r="Y3" s="11">
        <f>J2</f>
        <v>45838</v>
      </c>
      <c r="Z3" s="4">
        <f>G2+H2+I2</f>
        <v>2.84</v>
      </c>
    </row>
    <row r="4" spans="1:27" x14ac:dyDescent="0.25">
      <c r="A4" s="7" t="s">
        <v>11</v>
      </c>
      <c r="B4" s="11">
        <v>45747</v>
      </c>
      <c r="D4" s="11">
        <v>46022</v>
      </c>
      <c r="E4" s="4">
        <v>0</v>
      </c>
      <c r="F4" s="4">
        <v>2.75</v>
      </c>
      <c r="G4" s="4">
        <v>37.32</v>
      </c>
      <c r="H4" s="4">
        <v>2.75</v>
      </c>
      <c r="I4" s="4">
        <v>0</v>
      </c>
      <c r="J4" s="11">
        <v>46021</v>
      </c>
      <c r="K4" s="10">
        <f t="shared" si="0"/>
        <v>-1</v>
      </c>
      <c r="Y4" s="11">
        <f t="shared" ref="Y4:Y14" si="1">J3</f>
        <v>45930</v>
      </c>
      <c r="Z4" s="4">
        <f t="shared" ref="Z4:Z14" si="2">G3+H3+I3</f>
        <v>2.75</v>
      </c>
    </row>
    <row r="5" spans="1:27" x14ac:dyDescent="0.25">
      <c r="A5" s="7" t="s">
        <v>2</v>
      </c>
      <c r="B5" s="2" t="s">
        <v>15</v>
      </c>
      <c r="D5" s="11">
        <v>46028</v>
      </c>
      <c r="E5" s="4">
        <v>0</v>
      </c>
      <c r="F5" s="4">
        <v>0</v>
      </c>
      <c r="G5" s="4">
        <v>37.32</v>
      </c>
      <c r="H5" s="4">
        <v>7.0000000000000007E-2</v>
      </c>
      <c r="I5" s="4">
        <v>0</v>
      </c>
      <c r="J5" s="11">
        <v>46028</v>
      </c>
      <c r="K5" s="10">
        <f t="shared" si="0"/>
        <v>0</v>
      </c>
      <c r="Y5" s="11">
        <f t="shared" si="1"/>
        <v>46021</v>
      </c>
      <c r="Z5" s="4">
        <f t="shared" si="2"/>
        <v>40.07</v>
      </c>
    </row>
    <row r="6" spans="1:27" x14ac:dyDescent="0.25">
      <c r="A6" s="7" t="s">
        <v>12</v>
      </c>
      <c r="B6" s="3">
        <v>0.64</v>
      </c>
      <c r="D6" s="11">
        <v>46112</v>
      </c>
      <c r="E6" s="4">
        <v>100</v>
      </c>
      <c r="F6" s="4">
        <v>2.75</v>
      </c>
      <c r="G6" s="4">
        <v>25.36</v>
      </c>
      <c r="H6" s="4">
        <v>0.1</v>
      </c>
      <c r="I6" s="4">
        <v>0</v>
      </c>
      <c r="J6" s="11">
        <v>46035</v>
      </c>
      <c r="K6" s="10">
        <f t="shared" si="0"/>
        <v>-77</v>
      </c>
      <c r="Y6" s="11">
        <f t="shared" si="1"/>
        <v>46028</v>
      </c>
      <c r="Z6" s="4">
        <f t="shared" si="2"/>
        <v>37.39</v>
      </c>
    </row>
    <row r="7" spans="1:27" x14ac:dyDescent="0.25">
      <c r="A7" s="7" t="s">
        <v>13</v>
      </c>
      <c r="B7" s="3">
        <v>0.75</v>
      </c>
      <c r="D7" s="11"/>
      <c r="E7" s="2"/>
      <c r="F7" s="4"/>
      <c r="G7" s="2"/>
      <c r="H7" s="4"/>
      <c r="I7" s="4"/>
      <c r="J7" s="18"/>
      <c r="K7" s="10" t="str">
        <f t="shared" si="0"/>
        <v/>
      </c>
      <c r="Y7" s="11">
        <f t="shared" si="1"/>
        <v>46035</v>
      </c>
      <c r="Z7" s="4">
        <f t="shared" si="2"/>
        <v>25.46</v>
      </c>
    </row>
    <row r="8" spans="1:27" x14ac:dyDescent="0.25">
      <c r="A8" s="7" t="s">
        <v>3</v>
      </c>
      <c r="B8" s="2">
        <v>12</v>
      </c>
      <c r="D8" s="11"/>
      <c r="E8" s="15"/>
      <c r="F8" s="15"/>
      <c r="G8" s="15"/>
      <c r="H8" s="15"/>
      <c r="I8" s="15"/>
      <c r="J8" s="18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8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5">
        <v>0.11</v>
      </c>
      <c r="D10" s="11"/>
      <c r="E10" s="15"/>
      <c r="F10" s="15"/>
      <c r="G10" s="15"/>
      <c r="H10" s="15"/>
      <c r="I10" s="15"/>
      <c r="J10" s="18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4">
        <v>100</v>
      </c>
      <c r="D11" s="11"/>
      <c r="E11" s="15"/>
      <c r="F11" s="15"/>
      <c r="G11" s="15"/>
      <c r="H11" s="15"/>
      <c r="I11" s="15"/>
      <c r="J11" s="18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11">
        <v>46112</v>
      </c>
      <c r="D12" s="11"/>
      <c r="E12" s="15"/>
      <c r="F12" s="15"/>
      <c r="G12" s="15"/>
      <c r="H12" s="15"/>
      <c r="I12" s="15"/>
      <c r="J12" s="18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 t="str">
        <f ca="1">IF(B11&lt;&gt;N3,(TODAY()-B12)*-1,"")</f>
        <v/>
      </c>
      <c r="D13" s="11"/>
      <c r="E13" s="15"/>
      <c r="F13" s="15"/>
      <c r="G13" s="15"/>
      <c r="H13" s="15"/>
      <c r="I13" s="15"/>
      <c r="J13" s="18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11">
        <v>46035</v>
      </c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>
        <f>IF(M3=N3,B14-B12,"")</f>
        <v>-77</v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</row>
    <row r="17" spans="4:11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</row>
    <row r="18" spans="4:11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</row>
    <row r="19" spans="4:11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</row>
    <row r="20" spans="4:11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</row>
    <row r="21" spans="4:11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</row>
    <row r="22" spans="4:11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</row>
    <row r="23" spans="4:11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</row>
    <row r="24" spans="4:11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</row>
    <row r="25" spans="4:11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</row>
    <row r="26" spans="4:11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</row>
    <row r="27" spans="4:11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</row>
    <row r="28" spans="4:11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</row>
    <row r="29" spans="4:11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</row>
    <row r="30" spans="4:11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</row>
    <row r="31" spans="4:11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</row>
    <row r="32" spans="4:11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</row>
    <row r="33" spans="4:11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</row>
    <row r="34" spans="4:11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</row>
    <row r="35" spans="4:11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</row>
    <row r="36" spans="4:11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</row>
    <row r="37" spans="4:11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</row>
    <row r="38" spans="4:11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</row>
    <row r="39" spans="4:11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</row>
    <row r="40" spans="4:11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</row>
    <row r="41" spans="4:11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</row>
    <row r="42" spans="4:11" x14ac:dyDescent="0.25">
      <c r="D42" s="8" t="s">
        <v>10</v>
      </c>
      <c r="E42" s="4">
        <f>SUM(E2:E41)</f>
        <v>100</v>
      </c>
      <c r="F42" s="4">
        <f t="shared" ref="F42:I42" si="3">SUM(F2:F41)</f>
        <v>11.09</v>
      </c>
      <c r="G42" s="4">
        <f t="shared" si="3"/>
        <v>100</v>
      </c>
      <c r="H42" s="4">
        <f t="shared" si="3"/>
        <v>8.51</v>
      </c>
      <c r="I42" s="4">
        <f t="shared" si="3"/>
        <v>0</v>
      </c>
      <c r="J42" s="2"/>
      <c r="K42" s="2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19" priority="4">
      <formula>$M$3=$N$3</formula>
    </cfRule>
    <cfRule type="expression" dxfId="18" priority="5">
      <formula>$AA$2="+"</formula>
    </cfRule>
  </conditionalFormatting>
  <conditionalFormatting sqref="S3">
    <cfRule type="expression" dxfId="17" priority="1">
      <formula>$AA$2="+"</formula>
    </cfRule>
  </conditionalFormatting>
  <conditionalFormatting sqref="AA2">
    <cfRule type="expression" dxfId="16" priority="2">
      <formula>$AA$2="+"</formula>
    </cfRule>
  </conditionalFormatting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AA42"/>
  <sheetViews>
    <sheetView workbookViewId="0">
      <selection activeCell="B24" sqref="B24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20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19</v>
      </c>
      <c r="D2" s="11">
        <v>45838</v>
      </c>
      <c r="E2" s="4">
        <v>0</v>
      </c>
      <c r="F2" s="4">
        <v>0.33</v>
      </c>
      <c r="G2" s="4">
        <v>0</v>
      </c>
      <c r="H2" s="4">
        <v>0.33</v>
      </c>
      <c r="I2" s="4">
        <v>0</v>
      </c>
      <c r="J2" s="11">
        <v>45854</v>
      </c>
      <c r="K2" s="10">
        <f>IF(J2&gt;0,J2-D2,"")</f>
        <v>16</v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B3</f>
        <v>45729</v>
      </c>
      <c r="Z2" s="4">
        <f>B11*-1</f>
        <v>-10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45729</v>
      </c>
      <c r="D3" s="11">
        <v>45930</v>
      </c>
      <c r="E3" s="4">
        <v>0</v>
      </c>
      <c r="F3" s="4">
        <v>0.28000000000000003</v>
      </c>
      <c r="G3" s="4">
        <v>0</v>
      </c>
      <c r="H3" s="4">
        <v>0.28000000000000003</v>
      </c>
      <c r="I3" s="4">
        <v>0</v>
      </c>
      <c r="J3" s="11">
        <v>45965</v>
      </c>
      <c r="K3" s="10">
        <f t="shared" ref="K3:K41" si="0">IF(J3&gt;0,J3-D3,"")</f>
        <v>35</v>
      </c>
      <c r="M3" s="4">
        <f>B11</f>
        <v>10</v>
      </c>
      <c r="N3" s="4">
        <f>G42</f>
        <v>10</v>
      </c>
      <c r="O3" s="4">
        <f>F42</f>
        <v>0.84000000000000008</v>
      </c>
      <c r="P3" s="4">
        <f>H42+I42</f>
        <v>1.1000000000000001</v>
      </c>
      <c r="Q3" s="14">
        <f>IF(M3=N3,XIRR(Z2:Z14,Y2:Y14),"")</f>
        <v>0.12991020083427426</v>
      </c>
      <c r="R3" s="11">
        <f>IF(M3=N3,B14,"")</f>
        <v>46049</v>
      </c>
      <c r="S3" s="2" t="str">
        <f ca="1">IF(COUNTIFS(D:D,"&lt;"&amp;TODAY(),J:J,"")=0,"",TODAY()-_xlfn.MINIFS(D:D,D:D,"&lt;"&amp;TODAY(),J:J,""))</f>
        <v/>
      </c>
      <c r="Y3" s="11">
        <f>J2</f>
        <v>45854</v>
      </c>
      <c r="Z3" s="4">
        <f>G2+H2+I2</f>
        <v>0.33</v>
      </c>
    </row>
    <row r="4" spans="1:27" x14ac:dyDescent="0.25">
      <c r="A4" s="7" t="s">
        <v>11</v>
      </c>
      <c r="B4" s="11">
        <v>45730</v>
      </c>
      <c r="D4" s="11">
        <v>46005</v>
      </c>
      <c r="E4" s="4">
        <v>10</v>
      </c>
      <c r="F4" s="4">
        <v>0.23</v>
      </c>
      <c r="G4" s="4">
        <v>10</v>
      </c>
      <c r="H4" s="4">
        <v>0.23</v>
      </c>
      <c r="I4" s="4">
        <v>0.26</v>
      </c>
      <c r="J4" s="11">
        <v>46049</v>
      </c>
      <c r="K4" s="10">
        <f t="shared" si="0"/>
        <v>44</v>
      </c>
      <c r="Y4" s="11">
        <f t="shared" ref="Y4:Y14" si="1">J3</f>
        <v>45965</v>
      </c>
      <c r="Z4" s="4">
        <f t="shared" ref="Z4:Z14" si="2">G3+H3+I3</f>
        <v>0.28000000000000003</v>
      </c>
    </row>
    <row r="5" spans="1:27" x14ac:dyDescent="0.25">
      <c r="A5" s="7" t="s">
        <v>2</v>
      </c>
      <c r="B5" s="2" t="s">
        <v>15</v>
      </c>
      <c r="D5" s="11"/>
      <c r="E5" s="4"/>
      <c r="F5" s="4"/>
      <c r="G5" s="4"/>
      <c r="H5" s="4"/>
      <c r="I5" s="4"/>
      <c r="J5" s="11"/>
      <c r="K5" s="10" t="str">
        <f t="shared" si="0"/>
        <v/>
      </c>
      <c r="Y5" s="11">
        <f t="shared" si="1"/>
        <v>46049</v>
      </c>
      <c r="Z5" s="4">
        <f t="shared" si="2"/>
        <v>10.49</v>
      </c>
    </row>
    <row r="6" spans="1:27" x14ac:dyDescent="0.25">
      <c r="A6" s="7" t="s">
        <v>12</v>
      </c>
      <c r="B6" s="3">
        <v>0.65</v>
      </c>
      <c r="D6" s="17"/>
      <c r="E6" s="4"/>
      <c r="F6" s="4"/>
      <c r="G6" s="4"/>
      <c r="H6" s="4"/>
      <c r="I6" s="4"/>
      <c r="J6" s="18"/>
      <c r="K6" s="10" t="str">
        <f t="shared" si="0"/>
        <v/>
      </c>
      <c r="Y6" s="11">
        <f t="shared" si="1"/>
        <v>0</v>
      </c>
      <c r="Z6" s="4">
        <f t="shared" si="2"/>
        <v>0</v>
      </c>
    </row>
    <row r="7" spans="1:27" x14ac:dyDescent="0.25">
      <c r="A7" s="7" t="s">
        <v>13</v>
      </c>
      <c r="B7" s="3" t="s">
        <v>21</v>
      </c>
      <c r="D7" s="11"/>
      <c r="E7" s="2"/>
      <c r="F7" s="4"/>
      <c r="G7" s="2"/>
      <c r="H7" s="4"/>
      <c r="I7" s="4"/>
      <c r="J7" s="18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9</v>
      </c>
      <c r="D8" s="11"/>
      <c r="E8" s="15"/>
      <c r="F8" s="15"/>
      <c r="G8" s="15"/>
      <c r="H8" s="15"/>
      <c r="I8" s="15"/>
      <c r="J8" s="18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8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5">
        <v>0.11</v>
      </c>
      <c r="D10" s="11"/>
      <c r="E10" s="15"/>
      <c r="F10" s="15"/>
      <c r="G10" s="15"/>
      <c r="H10" s="15"/>
      <c r="I10" s="15"/>
      <c r="J10" s="18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2">
        <v>10</v>
      </c>
      <c r="D11" s="11"/>
      <c r="E11" s="15"/>
      <c r="F11" s="15"/>
      <c r="G11" s="15"/>
      <c r="H11" s="15"/>
      <c r="I11" s="15"/>
      <c r="J11" s="18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11">
        <v>46005</v>
      </c>
      <c r="D12" s="11"/>
      <c r="E12" s="15"/>
      <c r="F12" s="15"/>
      <c r="G12" s="15"/>
      <c r="H12" s="15"/>
      <c r="I12" s="15"/>
      <c r="J12" s="18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 t="str">
        <f ca="1">IF(B11&lt;&gt;N3,(TODAY()-B12)*-1,"")</f>
        <v/>
      </c>
      <c r="D13" s="11"/>
      <c r="E13" s="15"/>
      <c r="F13" s="15"/>
      <c r="G13" s="15"/>
      <c r="H13" s="15"/>
      <c r="I13" s="15"/>
      <c r="J13" s="18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11">
        <v>46049</v>
      </c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>
        <f>IF(M3=N3,B14-B12,"")</f>
        <v>44</v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  <c r="Y15" s="11">
        <f t="shared" ref="Y15:Y41" si="3">J14</f>
        <v>0</v>
      </c>
      <c r="Z15" s="4">
        <f t="shared" ref="Z15:Z41" si="4">G14+H14+I14</f>
        <v>0</v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  <c r="Y16" s="11">
        <f t="shared" si="3"/>
        <v>0</v>
      </c>
      <c r="Z16" s="4">
        <f t="shared" si="4"/>
        <v>0</v>
      </c>
    </row>
    <row r="17" spans="4:26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  <c r="Y17" s="11">
        <f t="shared" si="3"/>
        <v>0</v>
      </c>
      <c r="Z17" s="4">
        <f t="shared" si="4"/>
        <v>0</v>
      </c>
    </row>
    <row r="18" spans="4:26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  <c r="Y18" s="11">
        <f t="shared" si="3"/>
        <v>0</v>
      </c>
      <c r="Z18" s="4">
        <f t="shared" si="4"/>
        <v>0</v>
      </c>
    </row>
    <row r="19" spans="4:26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  <c r="Y19" s="11">
        <f t="shared" si="3"/>
        <v>0</v>
      </c>
      <c r="Z19" s="4">
        <f t="shared" si="4"/>
        <v>0</v>
      </c>
    </row>
    <row r="20" spans="4:26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  <c r="Y20" s="11">
        <f t="shared" si="3"/>
        <v>0</v>
      </c>
      <c r="Z20" s="4">
        <f t="shared" si="4"/>
        <v>0</v>
      </c>
    </row>
    <row r="21" spans="4:26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  <c r="Y21" s="11">
        <f t="shared" si="3"/>
        <v>0</v>
      </c>
      <c r="Z21" s="4">
        <f t="shared" si="4"/>
        <v>0</v>
      </c>
    </row>
    <row r="22" spans="4:26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  <c r="Y22" s="11">
        <f t="shared" si="3"/>
        <v>0</v>
      </c>
      <c r="Z22" s="4">
        <f t="shared" si="4"/>
        <v>0</v>
      </c>
    </row>
    <row r="23" spans="4:26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  <c r="Y23" s="11">
        <f t="shared" si="3"/>
        <v>0</v>
      </c>
      <c r="Z23" s="4">
        <f t="shared" si="4"/>
        <v>0</v>
      </c>
    </row>
    <row r="24" spans="4:26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  <c r="Y24" s="11">
        <f t="shared" si="3"/>
        <v>0</v>
      </c>
      <c r="Z24" s="4">
        <f t="shared" si="4"/>
        <v>0</v>
      </c>
    </row>
    <row r="25" spans="4:26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  <c r="Y25" s="11">
        <f t="shared" si="3"/>
        <v>0</v>
      </c>
      <c r="Z25" s="4">
        <f t="shared" si="4"/>
        <v>0</v>
      </c>
    </row>
    <row r="26" spans="4:26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  <c r="Y26" s="11">
        <f t="shared" si="3"/>
        <v>0</v>
      </c>
      <c r="Z26" s="4">
        <f t="shared" si="4"/>
        <v>0</v>
      </c>
    </row>
    <row r="27" spans="4:26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  <c r="Y27" s="11">
        <f t="shared" si="3"/>
        <v>0</v>
      </c>
      <c r="Z27" s="4">
        <f t="shared" si="4"/>
        <v>0</v>
      </c>
    </row>
    <row r="28" spans="4:26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  <c r="Y28" s="11">
        <f t="shared" si="3"/>
        <v>0</v>
      </c>
      <c r="Z28" s="4">
        <f t="shared" si="4"/>
        <v>0</v>
      </c>
    </row>
    <row r="29" spans="4:26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  <c r="Y29" s="11">
        <f t="shared" si="3"/>
        <v>0</v>
      </c>
      <c r="Z29" s="4">
        <f t="shared" si="4"/>
        <v>0</v>
      </c>
    </row>
    <row r="30" spans="4:26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  <c r="Y30" s="11">
        <f t="shared" si="3"/>
        <v>0</v>
      </c>
      <c r="Z30" s="4">
        <f t="shared" si="4"/>
        <v>0</v>
      </c>
    </row>
    <row r="31" spans="4:26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  <c r="Y31" s="11">
        <f t="shared" si="3"/>
        <v>0</v>
      </c>
      <c r="Z31" s="4">
        <f t="shared" si="4"/>
        <v>0</v>
      </c>
    </row>
    <row r="32" spans="4:26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  <c r="Y32" s="11">
        <f t="shared" si="3"/>
        <v>0</v>
      </c>
      <c r="Z32" s="4">
        <f t="shared" si="4"/>
        <v>0</v>
      </c>
    </row>
    <row r="33" spans="4:26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  <c r="Y33" s="11">
        <f t="shared" si="3"/>
        <v>0</v>
      </c>
      <c r="Z33" s="4">
        <f t="shared" si="4"/>
        <v>0</v>
      </c>
    </row>
    <row r="34" spans="4:26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  <c r="Y34" s="11">
        <f t="shared" si="3"/>
        <v>0</v>
      </c>
      <c r="Z34" s="4">
        <f t="shared" si="4"/>
        <v>0</v>
      </c>
    </row>
    <row r="35" spans="4:26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  <c r="Y35" s="11">
        <f t="shared" si="3"/>
        <v>0</v>
      </c>
      <c r="Z35" s="4">
        <f t="shared" si="4"/>
        <v>0</v>
      </c>
    </row>
    <row r="36" spans="4:26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  <c r="Y36" s="11">
        <f t="shared" si="3"/>
        <v>0</v>
      </c>
      <c r="Z36" s="4">
        <f t="shared" si="4"/>
        <v>0</v>
      </c>
    </row>
    <row r="37" spans="4:26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  <c r="Y37" s="11">
        <f t="shared" si="3"/>
        <v>0</v>
      </c>
      <c r="Z37" s="4">
        <f t="shared" si="4"/>
        <v>0</v>
      </c>
    </row>
    <row r="38" spans="4:26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  <c r="Y38" s="11">
        <f t="shared" si="3"/>
        <v>0</v>
      </c>
      <c r="Z38" s="4">
        <f t="shared" si="4"/>
        <v>0</v>
      </c>
    </row>
    <row r="39" spans="4:26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  <c r="Y39" s="11">
        <f t="shared" si="3"/>
        <v>0</v>
      </c>
      <c r="Z39" s="4">
        <f t="shared" si="4"/>
        <v>0</v>
      </c>
    </row>
    <row r="40" spans="4:26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  <c r="Y40" s="11">
        <f t="shared" si="3"/>
        <v>0</v>
      </c>
      <c r="Z40" s="4">
        <f t="shared" si="4"/>
        <v>0</v>
      </c>
    </row>
    <row r="41" spans="4:26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  <c r="Y41" s="11">
        <f t="shared" si="3"/>
        <v>0</v>
      </c>
      <c r="Z41" s="4">
        <f t="shared" si="4"/>
        <v>0</v>
      </c>
    </row>
    <row r="42" spans="4:26" x14ac:dyDescent="0.25">
      <c r="D42" s="8" t="s">
        <v>10</v>
      </c>
      <c r="E42" s="4">
        <f>SUM(E2:E41)</f>
        <v>10</v>
      </c>
      <c r="F42" s="4">
        <f t="shared" ref="F42:I42" si="5">SUM(F2:F41)</f>
        <v>0.84000000000000008</v>
      </c>
      <c r="G42" s="4">
        <f t="shared" si="5"/>
        <v>10</v>
      </c>
      <c r="H42" s="4">
        <f t="shared" si="5"/>
        <v>0.84000000000000008</v>
      </c>
      <c r="I42" s="4">
        <f t="shared" si="5"/>
        <v>0.26</v>
      </c>
      <c r="J42" s="2"/>
      <c r="K42" s="2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15" priority="2">
      <formula>$M$3=$N$3</formula>
    </cfRule>
    <cfRule type="expression" dxfId="14" priority="3">
      <formula>$AA$2="+"</formula>
    </cfRule>
  </conditionalFormatting>
  <conditionalFormatting sqref="S3">
    <cfRule type="expression" dxfId="13" priority="1">
      <formula>$AA$2="+"</formula>
    </cfRule>
  </conditionalFormatting>
  <conditionalFormatting sqref="AA2">
    <cfRule type="expression" dxfId="12" priority="4">
      <formula>$AA$2="+"</formula>
    </cfRule>
  </conditionalFormatting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AA42"/>
  <sheetViews>
    <sheetView workbookViewId="0">
      <selection activeCell="A11" sqref="A1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20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19</v>
      </c>
      <c r="D2" s="11">
        <v>45838</v>
      </c>
      <c r="E2" s="4">
        <v>0</v>
      </c>
      <c r="F2" s="4">
        <v>3.39</v>
      </c>
      <c r="G2" s="4">
        <v>0</v>
      </c>
      <c r="H2" s="4">
        <v>3.39</v>
      </c>
      <c r="I2" s="4">
        <v>0</v>
      </c>
      <c r="J2" s="11">
        <v>45854</v>
      </c>
      <c r="K2" s="10">
        <f>IF(J2&gt;0,J2-D2,"")</f>
        <v>16</v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B3</f>
        <v>45725</v>
      </c>
      <c r="Z2" s="4">
        <f>B11*-1</f>
        <v>-100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45725</v>
      </c>
      <c r="D3" s="11">
        <v>45930</v>
      </c>
      <c r="E3" s="4">
        <v>0</v>
      </c>
      <c r="F3" s="4">
        <v>2.75</v>
      </c>
      <c r="G3" s="4">
        <v>0</v>
      </c>
      <c r="H3" s="4">
        <v>2.75</v>
      </c>
      <c r="I3" s="4">
        <v>0</v>
      </c>
      <c r="J3" s="11">
        <v>45965</v>
      </c>
      <c r="K3" s="10">
        <f t="shared" ref="K3:K41" si="0">IF(J3&gt;0,J3-D3,"")</f>
        <v>35</v>
      </c>
      <c r="M3" s="4">
        <f>B11</f>
        <v>100</v>
      </c>
      <c r="N3" s="4">
        <f>G42</f>
        <v>100</v>
      </c>
      <c r="O3" s="4">
        <f>F42</f>
        <v>8.4</v>
      </c>
      <c r="P3" s="4">
        <f>H42+I42</f>
        <v>11</v>
      </c>
      <c r="Q3" s="14">
        <f>IF(M3=N3,XIRR(Z2:Z14,Y2:Y14),"")</f>
        <v>0.12821648716926573</v>
      </c>
      <c r="R3" s="11">
        <f>IF(M3=N3,B14,"")</f>
        <v>46049</v>
      </c>
      <c r="S3" s="2" t="str">
        <f ca="1">IF(COUNTIFS(D:D,"&lt;"&amp;TODAY(),J:J,"")=0,"",TODAY()-_xlfn.MINIFS(D:D,D:D,"&lt;"&amp;TODAY(),J:J,""))</f>
        <v/>
      </c>
      <c r="Y3" s="11">
        <f>J2</f>
        <v>45854</v>
      </c>
      <c r="Z3" s="4">
        <f>G2+H2+I2</f>
        <v>3.39</v>
      </c>
    </row>
    <row r="4" spans="1:27" x14ac:dyDescent="0.25">
      <c r="A4" s="7" t="s">
        <v>11</v>
      </c>
      <c r="B4" s="11">
        <v>45730</v>
      </c>
      <c r="D4" s="11">
        <v>46005</v>
      </c>
      <c r="E4" s="4">
        <v>100</v>
      </c>
      <c r="F4" s="4">
        <v>2.2599999999999998</v>
      </c>
      <c r="G4" s="4">
        <v>100</v>
      </c>
      <c r="H4" s="4">
        <v>2.2599999999999998</v>
      </c>
      <c r="I4" s="4">
        <v>2.6</v>
      </c>
      <c r="J4" s="11">
        <v>46049</v>
      </c>
      <c r="K4" s="10">
        <f t="shared" si="0"/>
        <v>44</v>
      </c>
      <c r="Y4" s="11">
        <f t="shared" ref="Y4:Y14" si="1">J3</f>
        <v>45965</v>
      </c>
      <c r="Z4" s="4">
        <f t="shared" ref="Z4:Z14" si="2">G3+H3+I3</f>
        <v>2.75</v>
      </c>
    </row>
    <row r="5" spans="1:27" x14ac:dyDescent="0.25">
      <c r="A5" s="7" t="s">
        <v>2</v>
      </c>
      <c r="B5" s="2" t="s">
        <v>15</v>
      </c>
      <c r="D5" s="11"/>
      <c r="E5" s="4"/>
      <c r="F5" s="4"/>
      <c r="G5" s="4"/>
      <c r="H5" s="4"/>
      <c r="I5" s="4"/>
      <c r="J5" s="11"/>
      <c r="K5" s="10" t="str">
        <f t="shared" si="0"/>
        <v/>
      </c>
      <c r="Y5" s="11">
        <f t="shared" si="1"/>
        <v>46049</v>
      </c>
      <c r="Z5" s="4">
        <f t="shared" si="2"/>
        <v>104.86</v>
      </c>
    </row>
    <row r="6" spans="1:27" x14ac:dyDescent="0.25">
      <c r="A6" s="7" t="s">
        <v>12</v>
      </c>
      <c r="B6" s="3">
        <v>0.65</v>
      </c>
      <c r="D6" s="17"/>
      <c r="E6" s="4"/>
      <c r="F6" s="4"/>
      <c r="G6" s="4"/>
      <c r="H6" s="4"/>
      <c r="I6" s="4"/>
      <c r="J6" s="18"/>
      <c r="K6" s="10" t="str">
        <f t="shared" si="0"/>
        <v/>
      </c>
      <c r="Y6" s="11">
        <f t="shared" si="1"/>
        <v>0</v>
      </c>
      <c r="Z6" s="4">
        <f t="shared" si="2"/>
        <v>0</v>
      </c>
    </row>
    <row r="7" spans="1:27" x14ac:dyDescent="0.25">
      <c r="A7" s="7" t="s">
        <v>13</v>
      </c>
      <c r="B7" s="3" t="s">
        <v>21</v>
      </c>
      <c r="D7" s="11"/>
      <c r="E7" s="2"/>
      <c r="F7" s="4"/>
      <c r="G7" s="2"/>
      <c r="H7" s="4"/>
      <c r="I7" s="4"/>
      <c r="J7" s="18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9</v>
      </c>
      <c r="D8" s="11"/>
      <c r="E8" s="15"/>
      <c r="F8" s="15"/>
      <c r="G8" s="15"/>
      <c r="H8" s="15"/>
      <c r="I8" s="15"/>
      <c r="J8" s="18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8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5">
        <v>0.11</v>
      </c>
      <c r="D10" s="11"/>
      <c r="E10" s="15"/>
      <c r="F10" s="15"/>
      <c r="G10" s="15"/>
      <c r="H10" s="15"/>
      <c r="I10" s="15"/>
      <c r="J10" s="18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2">
        <v>100</v>
      </c>
      <c r="D11" s="11"/>
      <c r="E11" s="15"/>
      <c r="F11" s="15"/>
      <c r="G11" s="15"/>
      <c r="H11" s="15"/>
      <c r="I11" s="15"/>
      <c r="J11" s="18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11">
        <v>46005</v>
      </c>
      <c r="D12" s="11"/>
      <c r="E12" s="15"/>
      <c r="F12" s="15"/>
      <c r="G12" s="15"/>
      <c r="H12" s="15"/>
      <c r="I12" s="15"/>
      <c r="J12" s="18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 t="str">
        <f ca="1">IF(B11&lt;&gt;N3,(TODAY()-B12)*-1,"")</f>
        <v/>
      </c>
      <c r="D13" s="11"/>
      <c r="E13" s="15"/>
      <c r="F13" s="15"/>
      <c r="G13" s="15"/>
      <c r="H13" s="15"/>
      <c r="I13" s="15"/>
      <c r="J13" s="18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11">
        <v>46049</v>
      </c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>
        <f>IF(M3=N3,B14-B12,"")</f>
        <v>44</v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  <c r="Y15" s="11">
        <f t="shared" ref="Y15:Y41" si="3">J14</f>
        <v>0</v>
      </c>
      <c r="Z15" s="4">
        <f t="shared" ref="Z15:Z41" si="4">G14+H14+I14</f>
        <v>0</v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  <c r="Y16" s="11">
        <f t="shared" si="3"/>
        <v>0</v>
      </c>
      <c r="Z16" s="4">
        <f t="shared" si="4"/>
        <v>0</v>
      </c>
    </row>
    <row r="17" spans="4:26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  <c r="Y17" s="11">
        <f t="shared" si="3"/>
        <v>0</v>
      </c>
      <c r="Z17" s="4">
        <f t="shared" si="4"/>
        <v>0</v>
      </c>
    </row>
    <row r="18" spans="4:26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  <c r="Y18" s="11">
        <f t="shared" si="3"/>
        <v>0</v>
      </c>
      <c r="Z18" s="4">
        <f t="shared" si="4"/>
        <v>0</v>
      </c>
    </row>
    <row r="19" spans="4:26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  <c r="Y19" s="11">
        <f t="shared" si="3"/>
        <v>0</v>
      </c>
      <c r="Z19" s="4">
        <f t="shared" si="4"/>
        <v>0</v>
      </c>
    </row>
    <row r="20" spans="4:26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  <c r="Y20" s="11">
        <f t="shared" si="3"/>
        <v>0</v>
      </c>
      <c r="Z20" s="4">
        <f t="shared" si="4"/>
        <v>0</v>
      </c>
    </row>
    <row r="21" spans="4:26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  <c r="Y21" s="11">
        <f t="shared" si="3"/>
        <v>0</v>
      </c>
      <c r="Z21" s="4">
        <f t="shared" si="4"/>
        <v>0</v>
      </c>
    </row>
    <row r="22" spans="4:26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  <c r="Y22" s="11">
        <f t="shared" si="3"/>
        <v>0</v>
      </c>
      <c r="Z22" s="4">
        <f t="shared" si="4"/>
        <v>0</v>
      </c>
    </row>
    <row r="23" spans="4:26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  <c r="Y23" s="11">
        <f t="shared" si="3"/>
        <v>0</v>
      </c>
      <c r="Z23" s="4">
        <f t="shared" si="4"/>
        <v>0</v>
      </c>
    </row>
    <row r="24" spans="4:26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  <c r="Y24" s="11">
        <f t="shared" si="3"/>
        <v>0</v>
      </c>
      <c r="Z24" s="4">
        <f t="shared" si="4"/>
        <v>0</v>
      </c>
    </row>
    <row r="25" spans="4:26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  <c r="Y25" s="11">
        <f t="shared" si="3"/>
        <v>0</v>
      </c>
      <c r="Z25" s="4">
        <f t="shared" si="4"/>
        <v>0</v>
      </c>
    </row>
    <row r="26" spans="4:26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  <c r="Y26" s="11">
        <f t="shared" si="3"/>
        <v>0</v>
      </c>
      <c r="Z26" s="4">
        <f t="shared" si="4"/>
        <v>0</v>
      </c>
    </row>
    <row r="27" spans="4:26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  <c r="Y27" s="11">
        <f t="shared" si="3"/>
        <v>0</v>
      </c>
      <c r="Z27" s="4">
        <f t="shared" si="4"/>
        <v>0</v>
      </c>
    </row>
    <row r="28" spans="4:26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  <c r="Y28" s="11">
        <f t="shared" si="3"/>
        <v>0</v>
      </c>
      <c r="Z28" s="4">
        <f t="shared" si="4"/>
        <v>0</v>
      </c>
    </row>
    <row r="29" spans="4:26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  <c r="Y29" s="11">
        <f t="shared" si="3"/>
        <v>0</v>
      </c>
      <c r="Z29" s="4">
        <f t="shared" si="4"/>
        <v>0</v>
      </c>
    </row>
    <row r="30" spans="4:26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  <c r="Y30" s="11">
        <f t="shared" si="3"/>
        <v>0</v>
      </c>
      <c r="Z30" s="4">
        <f t="shared" si="4"/>
        <v>0</v>
      </c>
    </row>
    <row r="31" spans="4:26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  <c r="Y31" s="11">
        <f t="shared" si="3"/>
        <v>0</v>
      </c>
      <c r="Z31" s="4">
        <f t="shared" si="4"/>
        <v>0</v>
      </c>
    </row>
    <row r="32" spans="4:26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  <c r="Y32" s="11">
        <f t="shared" si="3"/>
        <v>0</v>
      </c>
      <c r="Z32" s="4">
        <f t="shared" si="4"/>
        <v>0</v>
      </c>
    </row>
    <row r="33" spans="4:26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  <c r="Y33" s="11">
        <f t="shared" si="3"/>
        <v>0</v>
      </c>
      <c r="Z33" s="4">
        <f t="shared" si="4"/>
        <v>0</v>
      </c>
    </row>
    <row r="34" spans="4:26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  <c r="Y34" s="11">
        <f t="shared" si="3"/>
        <v>0</v>
      </c>
      <c r="Z34" s="4">
        <f t="shared" si="4"/>
        <v>0</v>
      </c>
    </row>
    <row r="35" spans="4:26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  <c r="Y35" s="11">
        <f t="shared" si="3"/>
        <v>0</v>
      </c>
      <c r="Z35" s="4">
        <f t="shared" si="4"/>
        <v>0</v>
      </c>
    </row>
    <row r="36" spans="4:26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  <c r="Y36" s="11">
        <f t="shared" si="3"/>
        <v>0</v>
      </c>
      <c r="Z36" s="4">
        <f t="shared" si="4"/>
        <v>0</v>
      </c>
    </row>
    <row r="37" spans="4:26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  <c r="Y37" s="11">
        <f t="shared" si="3"/>
        <v>0</v>
      </c>
      <c r="Z37" s="4">
        <f t="shared" si="4"/>
        <v>0</v>
      </c>
    </row>
    <row r="38" spans="4:26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  <c r="Y38" s="11">
        <f t="shared" si="3"/>
        <v>0</v>
      </c>
      <c r="Z38" s="4">
        <f t="shared" si="4"/>
        <v>0</v>
      </c>
    </row>
    <row r="39" spans="4:26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  <c r="Y39" s="11">
        <f t="shared" si="3"/>
        <v>0</v>
      </c>
      <c r="Z39" s="4">
        <f t="shared" si="4"/>
        <v>0</v>
      </c>
    </row>
    <row r="40" spans="4:26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  <c r="Y40" s="11">
        <f t="shared" si="3"/>
        <v>0</v>
      </c>
      <c r="Z40" s="4">
        <f t="shared" si="4"/>
        <v>0</v>
      </c>
    </row>
    <row r="41" spans="4:26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  <c r="Y41" s="11">
        <f t="shared" si="3"/>
        <v>0</v>
      </c>
      <c r="Z41" s="4">
        <f t="shared" si="4"/>
        <v>0</v>
      </c>
    </row>
    <row r="42" spans="4:26" x14ac:dyDescent="0.25">
      <c r="D42" s="8" t="s">
        <v>10</v>
      </c>
      <c r="E42" s="4">
        <f>SUM(E2:E41)</f>
        <v>100</v>
      </c>
      <c r="F42" s="4">
        <f t="shared" ref="F42:I42" si="5">SUM(F2:F41)</f>
        <v>8.4</v>
      </c>
      <c r="G42" s="4">
        <f t="shared" si="5"/>
        <v>100</v>
      </c>
      <c r="H42" s="4">
        <f t="shared" si="5"/>
        <v>8.4</v>
      </c>
      <c r="I42" s="4">
        <f t="shared" si="5"/>
        <v>2.6</v>
      </c>
      <c r="J42" s="2"/>
      <c r="K42" s="2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11" priority="4">
      <formula>$M$3=$N$3</formula>
    </cfRule>
    <cfRule type="expression" dxfId="10" priority="5">
      <formula>$AA$2="+"</formula>
    </cfRule>
  </conditionalFormatting>
  <conditionalFormatting sqref="S3">
    <cfRule type="expression" dxfId="9" priority="1">
      <formula>$AA$2="+"</formula>
    </cfRule>
  </conditionalFormatting>
  <conditionalFormatting sqref="AA2">
    <cfRule type="expression" dxfId="8" priority="2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AA42"/>
  <sheetViews>
    <sheetView workbookViewId="0">
      <selection activeCell="A11" sqref="A1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0</v>
      </c>
      <c r="B1" s="2" t="s">
        <v>17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16</v>
      </c>
      <c r="D2" s="11">
        <v>45838</v>
      </c>
      <c r="E2" s="4">
        <v>0</v>
      </c>
      <c r="F2" s="4">
        <v>3.67</v>
      </c>
      <c r="G2" s="4">
        <v>0</v>
      </c>
      <c r="H2" s="4">
        <v>3.67</v>
      </c>
      <c r="I2" s="4">
        <v>0</v>
      </c>
      <c r="J2" s="11">
        <v>45838</v>
      </c>
      <c r="K2" s="10">
        <f>IF(J2&gt;0,J2-D2,"")</f>
        <v>0</v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B3</f>
        <v>45721</v>
      </c>
      <c r="Z2" s="4">
        <f>B11*-1</f>
        <v>-100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45721</v>
      </c>
      <c r="D3" s="11">
        <v>45930</v>
      </c>
      <c r="E3" s="4">
        <v>0</v>
      </c>
      <c r="F3" s="4">
        <v>2.88</v>
      </c>
      <c r="G3" s="4">
        <v>0</v>
      </c>
      <c r="H3" s="4">
        <v>2.88</v>
      </c>
      <c r="I3" s="4">
        <v>0</v>
      </c>
      <c r="J3" s="11">
        <v>45930</v>
      </c>
      <c r="K3" s="10">
        <f t="shared" ref="K3:K41" si="0">IF(J3&gt;0,J3-D3,"")</f>
        <v>0</v>
      </c>
      <c r="M3" s="4">
        <f>B11</f>
        <v>100</v>
      </c>
      <c r="N3" s="4">
        <f>G42</f>
        <v>100</v>
      </c>
      <c r="O3" s="4">
        <f>F42</f>
        <v>10.42</v>
      </c>
      <c r="P3" s="4">
        <f>H42+I42</f>
        <v>10.51</v>
      </c>
      <c r="Q3" s="14">
        <f>IF(M3=N3,XIRR(Z2:Z14,Y2:Y14),"")</f>
        <v>0.1194397151470184</v>
      </c>
      <c r="R3" s="11">
        <f>IF(M3=N3,B14,"")</f>
        <v>46056</v>
      </c>
      <c r="S3" s="2" t="str">
        <f ca="1">IF(COUNTIFS(D:D,"&lt;"&amp;TODAY(),J:J,"")=0,"",TODAY()-_xlfn.MINIFS(D:D,D:D,"&lt;"&amp;TODAY(),J:J,""))</f>
        <v/>
      </c>
      <c r="Y3" s="11">
        <f>J2</f>
        <v>45838</v>
      </c>
      <c r="Z3" s="4">
        <f>G2+H2+I2</f>
        <v>3.67</v>
      </c>
    </row>
    <row r="4" spans="1:27" x14ac:dyDescent="0.25">
      <c r="A4" s="7" t="s">
        <v>11</v>
      </c>
      <c r="B4" s="11">
        <v>45721</v>
      </c>
      <c r="D4" s="11">
        <v>46022</v>
      </c>
      <c r="E4" s="4">
        <v>0</v>
      </c>
      <c r="F4" s="4">
        <v>2.88</v>
      </c>
      <c r="G4" s="4">
        <v>0</v>
      </c>
      <c r="H4" s="4">
        <v>2.88</v>
      </c>
      <c r="I4" s="4">
        <v>0</v>
      </c>
      <c r="J4" s="11">
        <v>46022</v>
      </c>
      <c r="K4" s="10">
        <f t="shared" si="0"/>
        <v>0</v>
      </c>
      <c r="Y4" s="11">
        <f t="shared" ref="Y4:Y14" si="1">J3</f>
        <v>45930</v>
      </c>
      <c r="Z4" s="4">
        <f t="shared" ref="Z4:Z14" si="2">G3+H3+I3</f>
        <v>2.88</v>
      </c>
    </row>
    <row r="5" spans="1:27" x14ac:dyDescent="0.25">
      <c r="A5" s="7" t="s">
        <v>2</v>
      </c>
      <c r="B5" s="2" t="s">
        <v>18</v>
      </c>
      <c r="D5" s="11">
        <v>46054</v>
      </c>
      <c r="E5" s="4">
        <v>100</v>
      </c>
      <c r="F5" s="4">
        <v>0.99</v>
      </c>
      <c r="G5" s="4">
        <v>100</v>
      </c>
      <c r="H5" s="4">
        <v>0.99</v>
      </c>
      <c r="I5" s="4">
        <v>0.09</v>
      </c>
      <c r="J5" s="11">
        <v>46056</v>
      </c>
      <c r="K5" s="10">
        <f t="shared" si="0"/>
        <v>2</v>
      </c>
      <c r="Y5" s="11">
        <f t="shared" si="1"/>
        <v>46022</v>
      </c>
      <c r="Z5" s="4">
        <f t="shared" si="2"/>
        <v>2.88</v>
      </c>
    </row>
    <row r="6" spans="1:27" x14ac:dyDescent="0.25">
      <c r="A6" s="7" t="s">
        <v>12</v>
      </c>
      <c r="B6" s="3">
        <v>0.69</v>
      </c>
      <c r="D6" s="17"/>
      <c r="E6" s="4"/>
      <c r="F6" s="4"/>
      <c r="G6" s="4"/>
      <c r="H6" s="4"/>
      <c r="I6" s="4"/>
      <c r="J6" s="18"/>
      <c r="K6" s="10" t="str">
        <f t="shared" si="0"/>
        <v/>
      </c>
      <c r="Y6" s="11">
        <f t="shared" si="1"/>
        <v>46056</v>
      </c>
      <c r="Z6" s="4">
        <f t="shared" si="2"/>
        <v>101.08</v>
      </c>
    </row>
    <row r="7" spans="1:27" x14ac:dyDescent="0.25">
      <c r="A7" s="7" t="s">
        <v>13</v>
      </c>
      <c r="B7" s="3">
        <v>0.69</v>
      </c>
      <c r="D7" s="11"/>
      <c r="E7" s="2"/>
      <c r="F7" s="4"/>
      <c r="G7" s="2"/>
      <c r="H7" s="4"/>
      <c r="I7" s="4"/>
      <c r="J7" s="18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11</v>
      </c>
      <c r="D8" s="11"/>
      <c r="E8" s="15"/>
      <c r="F8" s="15"/>
      <c r="G8" s="15"/>
      <c r="H8" s="15"/>
      <c r="I8" s="15"/>
      <c r="J8" s="18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8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5">
        <v>0.115</v>
      </c>
      <c r="D10" s="11"/>
      <c r="E10" s="15"/>
      <c r="F10" s="15"/>
      <c r="G10" s="15"/>
      <c r="H10" s="15"/>
      <c r="I10" s="15"/>
      <c r="J10" s="18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2">
        <v>100</v>
      </c>
      <c r="D11" s="11"/>
      <c r="E11" s="15"/>
      <c r="F11" s="15"/>
      <c r="G11" s="15"/>
      <c r="H11" s="15"/>
      <c r="I11" s="15"/>
      <c r="J11" s="18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11">
        <v>46054</v>
      </c>
      <c r="D12" s="11"/>
      <c r="E12" s="15"/>
      <c r="F12" s="15"/>
      <c r="G12" s="15"/>
      <c r="H12" s="15"/>
      <c r="I12" s="15"/>
      <c r="J12" s="18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 t="str">
        <f ca="1">IF(B11&lt;&gt;N3,(TODAY()-B12)*-1,"")</f>
        <v/>
      </c>
      <c r="D13" s="11"/>
      <c r="E13" s="15"/>
      <c r="F13" s="15"/>
      <c r="G13" s="15"/>
      <c r="H13" s="15"/>
      <c r="I13" s="15"/>
      <c r="J13" s="18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11">
        <v>46056</v>
      </c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>
        <f>IF(M3=N3,B14-B12,"")</f>
        <v>2</v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  <c r="Y15" s="11">
        <f t="shared" ref="Y15:Y41" si="3">J14</f>
        <v>0</v>
      </c>
      <c r="Z15" s="4">
        <f t="shared" ref="Z15:Z41" si="4">G14+H14+I14</f>
        <v>0</v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  <c r="Y16" s="11">
        <f t="shared" si="3"/>
        <v>0</v>
      </c>
      <c r="Z16" s="4">
        <f t="shared" si="4"/>
        <v>0</v>
      </c>
    </row>
    <row r="17" spans="4:26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  <c r="Y17" s="11">
        <f t="shared" si="3"/>
        <v>0</v>
      </c>
      <c r="Z17" s="4">
        <f t="shared" si="4"/>
        <v>0</v>
      </c>
    </row>
    <row r="18" spans="4:26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  <c r="Y18" s="11">
        <f t="shared" si="3"/>
        <v>0</v>
      </c>
      <c r="Z18" s="4">
        <f t="shared" si="4"/>
        <v>0</v>
      </c>
    </row>
    <row r="19" spans="4:26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  <c r="Y19" s="11">
        <f t="shared" si="3"/>
        <v>0</v>
      </c>
      <c r="Z19" s="4">
        <f t="shared" si="4"/>
        <v>0</v>
      </c>
    </row>
    <row r="20" spans="4:26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  <c r="Y20" s="11">
        <f t="shared" si="3"/>
        <v>0</v>
      </c>
      <c r="Z20" s="4">
        <f t="shared" si="4"/>
        <v>0</v>
      </c>
    </row>
    <row r="21" spans="4:26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  <c r="Y21" s="11">
        <f t="shared" si="3"/>
        <v>0</v>
      </c>
      <c r="Z21" s="4">
        <f t="shared" si="4"/>
        <v>0</v>
      </c>
    </row>
    <row r="22" spans="4:26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  <c r="Y22" s="11">
        <f t="shared" si="3"/>
        <v>0</v>
      </c>
      <c r="Z22" s="4">
        <f t="shared" si="4"/>
        <v>0</v>
      </c>
    </row>
    <row r="23" spans="4:26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  <c r="Y23" s="11">
        <f t="shared" si="3"/>
        <v>0</v>
      </c>
      <c r="Z23" s="4">
        <f t="shared" si="4"/>
        <v>0</v>
      </c>
    </row>
    <row r="24" spans="4:26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  <c r="Y24" s="11">
        <f t="shared" si="3"/>
        <v>0</v>
      </c>
      <c r="Z24" s="4">
        <f t="shared" si="4"/>
        <v>0</v>
      </c>
    </row>
    <row r="25" spans="4:26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  <c r="Y25" s="11">
        <f t="shared" si="3"/>
        <v>0</v>
      </c>
      <c r="Z25" s="4">
        <f t="shared" si="4"/>
        <v>0</v>
      </c>
    </row>
    <row r="26" spans="4:26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  <c r="Y26" s="11">
        <f t="shared" si="3"/>
        <v>0</v>
      </c>
      <c r="Z26" s="4">
        <f t="shared" si="4"/>
        <v>0</v>
      </c>
    </row>
    <row r="27" spans="4:26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  <c r="Y27" s="11">
        <f t="shared" si="3"/>
        <v>0</v>
      </c>
      <c r="Z27" s="4">
        <f t="shared" si="4"/>
        <v>0</v>
      </c>
    </row>
    <row r="28" spans="4:26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  <c r="Y28" s="11">
        <f t="shared" si="3"/>
        <v>0</v>
      </c>
      <c r="Z28" s="4">
        <f t="shared" si="4"/>
        <v>0</v>
      </c>
    </row>
    <row r="29" spans="4:26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  <c r="Y29" s="11">
        <f t="shared" si="3"/>
        <v>0</v>
      </c>
      <c r="Z29" s="4">
        <f t="shared" si="4"/>
        <v>0</v>
      </c>
    </row>
    <row r="30" spans="4:26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  <c r="Y30" s="11">
        <f t="shared" si="3"/>
        <v>0</v>
      </c>
      <c r="Z30" s="4">
        <f t="shared" si="4"/>
        <v>0</v>
      </c>
    </row>
    <row r="31" spans="4:26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  <c r="Y31" s="11">
        <f t="shared" si="3"/>
        <v>0</v>
      </c>
      <c r="Z31" s="4">
        <f t="shared" si="4"/>
        <v>0</v>
      </c>
    </row>
    <row r="32" spans="4:26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  <c r="Y32" s="11">
        <f t="shared" si="3"/>
        <v>0</v>
      </c>
      <c r="Z32" s="4">
        <f t="shared" si="4"/>
        <v>0</v>
      </c>
    </row>
    <row r="33" spans="4:26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  <c r="Y33" s="11">
        <f t="shared" si="3"/>
        <v>0</v>
      </c>
      <c r="Z33" s="4">
        <f t="shared" si="4"/>
        <v>0</v>
      </c>
    </row>
    <row r="34" spans="4:26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  <c r="Y34" s="11">
        <f t="shared" si="3"/>
        <v>0</v>
      </c>
      <c r="Z34" s="4">
        <f t="shared" si="4"/>
        <v>0</v>
      </c>
    </row>
    <row r="35" spans="4:26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  <c r="Y35" s="11">
        <f t="shared" si="3"/>
        <v>0</v>
      </c>
      <c r="Z35" s="4">
        <f t="shared" si="4"/>
        <v>0</v>
      </c>
    </row>
    <row r="36" spans="4:26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  <c r="Y36" s="11">
        <f t="shared" si="3"/>
        <v>0</v>
      </c>
      <c r="Z36" s="4">
        <f t="shared" si="4"/>
        <v>0</v>
      </c>
    </row>
    <row r="37" spans="4:26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  <c r="Y37" s="11">
        <f t="shared" si="3"/>
        <v>0</v>
      </c>
      <c r="Z37" s="4">
        <f t="shared" si="4"/>
        <v>0</v>
      </c>
    </row>
    <row r="38" spans="4:26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  <c r="Y38" s="11">
        <f t="shared" si="3"/>
        <v>0</v>
      </c>
      <c r="Z38" s="4">
        <f t="shared" si="4"/>
        <v>0</v>
      </c>
    </row>
    <row r="39" spans="4:26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  <c r="Y39" s="11">
        <f t="shared" si="3"/>
        <v>0</v>
      </c>
      <c r="Z39" s="4">
        <f t="shared" si="4"/>
        <v>0</v>
      </c>
    </row>
    <row r="40" spans="4:26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  <c r="Y40" s="11">
        <f t="shared" si="3"/>
        <v>0</v>
      </c>
      <c r="Z40" s="4">
        <f t="shared" si="4"/>
        <v>0</v>
      </c>
    </row>
    <row r="41" spans="4:26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  <c r="Y41" s="11">
        <f t="shared" si="3"/>
        <v>0</v>
      </c>
      <c r="Z41" s="4">
        <f t="shared" si="4"/>
        <v>0</v>
      </c>
    </row>
    <row r="42" spans="4:26" x14ac:dyDescent="0.25">
      <c r="D42" s="8" t="s">
        <v>10</v>
      </c>
      <c r="E42" s="4">
        <f>SUM(E2:E41)</f>
        <v>100</v>
      </c>
      <c r="F42" s="4">
        <f t="shared" ref="F42:I42" si="5">SUM(F2:F41)</f>
        <v>10.42</v>
      </c>
      <c r="G42" s="4">
        <f t="shared" si="5"/>
        <v>100</v>
      </c>
      <c r="H42" s="4">
        <f t="shared" si="5"/>
        <v>10.42</v>
      </c>
      <c r="I42" s="4">
        <f t="shared" si="5"/>
        <v>0.09</v>
      </c>
      <c r="J42" s="2"/>
      <c r="K42" s="2"/>
      <c r="Y42" s="25"/>
      <c r="Z42" s="26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7" priority="2">
      <formula>$M$3=$N$3</formula>
    </cfRule>
    <cfRule type="expression" dxfId="6" priority="3">
      <formula>$AA$2="+"</formula>
    </cfRule>
  </conditionalFormatting>
  <conditionalFormatting sqref="S3">
    <cfRule type="expression" dxfId="5" priority="1">
      <formula>$AA$2="+"</formula>
    </cfRule>
  </conditionalFormatting>
  <conditionalFormatting sqref="AA2">
    <cfRule type="expression" dxfId="4" priority="4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7" t="s">
        <v>22</v>
      </c>
      <c r="B1" s="2" t="s">
        <v>23</v>
      </c>
      <c r="D1" s="8" t="s">
        <v>9</v>
      </c>
      <c r="E1" s="8" t="s">
        <v>0</v>
      </c>
      <c r="F1" s="8" t="s">
        <v>5</v>
      </c>
      <c r="G1" s="8" t="s">
        <v>0</v>
      </c>
      <c r="H1" s="8" t="s">
        <v>5</v>
      </c>
      <c r="I1" s="8" t="s">
        <v>62</v>
      </c>
      <c r="J1" s="9" t="s">
        <v>9</v>
      </c>
      <c r="K1" s="9" t="s">
        <v>42</v>
      </c>
      <c r="M1" s="27" t="s">
        <v>0</v>
      </c>
      <c r="N1" s="29"/>
      <c r="O1" s="27" t="s">
        <v>5</v>
      </c>
      <c r="P1" s="29"/>
      <c r="Q1" s="32" t="s">
        <v>79</v>
      </c>
      <c r="R1" s="32" t="s">
        <v>45</v>
      </c>
      <c r="S1" s="32" t="s">
        <v>84</v>
      </c>
      <c r="Y1" s="17" t="s">
        <v>9</v>
      </c>
      <c r="Z1" s="8" t="s">
        <v>75</v>
      </c>
      <c r="AA1" s="8" t="s">
        <v>84</v>
      </c>
    </row>
    <row r="2" spans="1:27" x14ac:dyDescent="0.25">
      <c r="A2" s="7" t="s">
        <v>1</v>
      </c>
      <c r="B2" s="2" t="s">
        <v>14</v>
      </c>
      <c r="D2" s="11">
        <v>45838</v>
      </c>
      <c r="E2" s="4">
        <v>0</v>
      </c>
      <c r="F2" s="4">
        <v>3.41</v>
      </c>
      <c r="G2" s="4">
        <v>0</v>
      </c>
      <c r="H2" s="4">
        <v>3.41</v>
      </c>
      <c r="I2" s="4">
        <v>0</v>
      </c>
      <c r="J2" s="11">
        <v>45838</v>
      </c>
      <c r="K2" s="10">
        <f>IF(J2&gt;0,J2-D2,"")</f>
        <v>0</v>
      </c>
      <c r="M2" s="16" t="s">
        <v>76</v>
      </c>
      <c r="N2" s="16" t="s">
        <v>45</v>
      </c>
      <c r="O2" s="8" t="s">
        <v>77</v>
      </c>
      <c r="P2" s="8" t="s">
        <v>78</v>
      </c>
      <c r="Q2" s="33"/>
      <c r="R2" s="33"/>
      <c r="S2" s="33"/>
      <c r="Y2" s="11">
        <f>B3</f>
        <v>45719</v>
      </c>
      <c r="Z2" s="4">
        <f>B11*-1</f>
        <v>-100</v>
      </c>
      <c r="AA2" s="2" t="str">
        <f ca="1">IF(COUNTIFS(D:D,"&lt;"&amp;TODAY(),J:J,"")&gt;0,"+","")</f>
        <v/>
      </c>
    </row>
    <row r="3" spans="1:27" x14ac:dyDescent="0.25">
      <c r="A3" s="7" t="s">
        <v>7</v>
      </c>
      <c r="B3" s="11">
        <v>45719</v>
      </c>
      <c r="D3" s="11">
        <v>45930</v>
      </c>
      <c r="E3" s="4">
        <v>0</v>
      </c>
      <c r="F3" s="4">
        <v>2.63</v>
      </c>
      <c r="G3" s="4">
        <v>0</v>
      </c>
      <c r="H3" s="4">
        <v>2.63</v>
      </c>
      <c r="I3" s="4">
        <v>0</v>
      </c>
      <c r="J3" s="11">
        <v>45930</v>
      </c>
      <c r="K3" s="10">
        <f t="shared" ref="K3:K41" si="0">IF(J3&gt;0,J3-D3,"")</f>
        <v>0</v>
      </c>
      <c r="M3" s="4">
        <f>B11</f>
        <v>100</v>
      </c>
      <c r="N3" s="4">
        <f>G42</f>
        <v>100</v>
      </c>
      <c r="O3" s="4">
        <f>F42</f>
        <v>10.6</v>
      </c>
      <c r="P3" s="4">
        <f>H42+I42</f>
        <v>10.77</v>
      </c>
      <c r="Q3" s="14">
        <f>IF(M3=N3,XIRR(Z2:Z14,Y2:Y14),"")</f>
        <v>0.10979371666908266</v>
      </c>
      <c r="R3" s="11">
        <f>IF(M3=N3,B14,"")</f>
        <v>46091</v>
      </c>
      <c r="S3" s="2" t="str">
        <f ca="1">IF(COUNTIFS(D:D,"&lt;"&amp;TODAY(),J:J,"")=0,"",TODAY()-_xlfn.MINIFS(D:D,D:D,"&lt;"&amp;TODAY(),J:J,""))</f>
        <v/>
      </c>
      <c r="Y3" s="11">
        <f>J2</f>
        <v>45838</v>
      </c>
      <c r="Z3" s="4">
        <f>G2+H2+I2</f>
        <v>3.41</v>
      </c>
    </row>
    <row r="4" spans="1:27" x14ac:dyDescent="0.25">
      <c r="A4" s="7" t="s">
        <v>11</v>
      </c>
      <c r="B4" s="11">
        <v>45722</v>
      </c>
      <c r="D4" s="11">
        <v>46022</v>
      </c>
      <c r="E4" s="4">
        <v>0</v>
      </c>
      <c r="F4" s="4">
        <v>2.63</v>
      </c>
      <c r="G4" s="4">
        <v>0</v>
      </c>
      <c r="H4" s="4">
        <v>2.63</v>
      </c>
      <c r="I4" s="4">
        <v>0</v>
      </c>
      <c r="J4" s="11">
        <v>46022</v>
      </c>
      <c r="K4" s="10">
        <f t="shared" si="0"/>
        <v>0</v>
      </c>
      <c r="Y4" s="11">
        <f t="shared" ref="Y4:Y14" si="1">J3</f>
        <v>45930</v>
      </c>
      <c r="Z4" s="4">
        <f t="shared" ref="Z4:Z14" si="2">G3+H3+I3</f>
        <v>2.63</v>
      </c>
    </row>
    <row r="5" spans="1:27" x14ac:dyDescent="0.25">
      <c r="A5" s="7" t="s">
        <v>2</v>
      </c>
      <c r="B5" s="2" t="s">
        <v>15</v>
      </c>
      <c r="D5" s="11">
        <v>46087</v>
      </c>
      <c r="E5" s="4">
        <v>100</v>
      </c>
      <c r="F5" s="4">
        <v>1.93</v>
      </c>
      <c r="G5" s="4">
        <v>100</v>
      </c>
      <c r="H5" s="4">
        <v>1.93</v>
      </c>
      <c r="I5" s="4">
        <v>0.17</v>
      </c>
      <c r="J5" s="11">
        <v>46091</v>
      </c>
      <c r="K5" s="10">
        <f t="shared" si="0"/>
        <v>4</v>
      </c>
      <c r="Y5" s="11">
        <f t="shared" si="1"/>
        <v>46022</v>
      </c>
      <c r="Z5" s="4">
        <f t="shared" si="2"/>
        <v>2.63</v>
      </c>
    </row>
    <row r="6" spans="1:27" x14ac:dyDescent="0.25">
      <c r="A6" s="7" t="s">
        <v>12</v>
      </c>
      <c r="B6" s="3">
        <v>0.53</v>
      </c>
      <c r="D6" s="17"/>
      <c r="E6" s="4"/>
      <c r="F6" s="4"/>
      <c r="G6" s="4"/>
      <c r="H6" s="4"/>
      <c r="I6" s="4"/>
      <c r="J6" s="18"/>
      <c r="K6" s="10" t="str">
        <f t="shared" si="0"/>
        <v/>
      </c>
      <c r="Y6" s="11">
        <f t="shared" si="1"/>
        <v>46091</v>
      </c>
      <c r="Z6" s="4">
        <f t="shared" si="2"/>
        <v>102.10000000000001</v>
      </c>
    </row>
    <row r="7" spans="1:27" x14ac:dyDescent="0.25">
      <c r="A7" s="7" t="s">
        <v>13</v>
      </c>
      <c r="B7" s="3">
        <v>0.75</v>
      </c>
      <c r="D7" s="11"/>
      <c r="E7" s="2"/>
      <c r="F7" s="4"/>
      <c r="G7" s="2"/>
      <c r="H7" s="4"/>
      <c r="I7" s="4"/>
      <c r="J7" s="18"/>
      <c r="K7" s="10" t="str">
        <f t="shared" si="0"/>
        <v/>
      </c>
      <c r="Y7" s="11">
        <f t="shared" si="1"/>
        <v>0</v>
      </c>
      <c r="Z7" s="4">
        <f t="shared" si="2"/>
        <v>0</v>
      </c>
    </row>
    <row r="8" spans="1:27" x14ac:dyDescent="0.25">
      <c r="A8" s="7" t="s">
        <v>3</v>
      </c>
      <c r="B8" s="2">
        <v>12</v>
      </c>
      <c r="D8" s="11"/>
      <c r="E8" s="15"/>
      <c r="F8" s="15"/>
      <c r="G8" s="15"/>
      <c r="H8" s="15"/>
      <c r="I8" s="15"/>
      <c r="J8" s="18"/>
      <c r="K8" s="10" t="str">
        <f t="shared" si="0"/>
        <v/>
      </c>
      <c r="Y8" s="11">
        <f t="shared" si="1"/>
        <v>0</v>
      </c>
      <c r="Z8" s="4">
        <f t="shared" si="2"/>
        <v>0</v>
      </c>
    </row>
    <row r="9" spans="1:27" x14ac:dyDescent="0.25">
      <c r="A9" s="7" t="s">
        <v>4</v>
      </c>
      <c r="B9" s="2" t="s">
        <v>8</v>
      </c>
      <c r="D9" s="11"/>
      <c r="E9" s="15"/>
      <c r="F9" s="15"/>
      <c r="G9" s="15"/>
      <c r="H9" s="15"/>
      <c r="I9" s="15"/>
      <c r="J9" s="18"/>
      <c r="K9" s="10" t="str">
        <f t="shared" si="0"/>
        <v/>
      </c>
      <c r="Y9" s="11">
        <f t="shared" si="1"/>
        <v>0</v>
      </c>
      <c r="Z9" s="4">
        <f t="shared" si="2"/>
        <v>0</v>
      </c>
    </row>
    <row r="10" spans="1:27" x14ac:dyDescent="0.25">
      <c r="A10" s="7" t="s">
        <v>6</v>
      </c>
      <c r="B10" s="5">
        <v>0.105</v>
      </c>
      <c r="D10" s="11"/>
      <c r="E10" s="15"/>
      <c r="F10" s="15"/>
      <c r="G10" s="15"/>
      <c r="H10" s="15"/>
      <c r="I10" s="15"/>
      <c r="J10" s="18"/>
      <c r="K10" s="10" t="str">
        <f t="shared" si="0"/>
        <v/>
      </c>
      <c r="Y10" s="11">
        <f t="shared" si="1"/>
        <v>0</v>
      </c>
      <c r="Z10" s="4">
        <f t="shared" si="2"/>
        <v>0</v>
      </c>
    </row>
    <row r="11" spans="1:27" x14ac:dyDescent="0.25">
      <c r="A11" s="7" t="s">
        <v>101</v>
      </c>
      <c r="B11" s="4">
        <v>100</v>
      </c>
      <c r="D11" s="11"/>
      <c r="E11" s="15"/>
      <c r="F11" s="15"/>
      <c r="G11" s="15"/>
      <c r="H11" s="15"/>
      <c r="I11" s="15"/>
      <c r="J11" s="18"/>
      <c r="K11" s="10" t="str">
        <f t="shared" si="0"/>
        <v/>
      </c>
      <c r="Y11" s="11">
        <f t="shared" si="1"/>
        <v>0</v>
      </c>
      <c r="Z11" s="4">
        <f t="shared" si="2"/>
        <v>0</v>
      </c>
    </row>
    <row r="12" spans="1:27" x14ac:dyDescent="0.25">
      <c r="A12" s="7" t="s">
        <v>85</v>
      </c>
      <c r="B12" s="11">
        <v>46087</v>
      </c>
      <c r="D12" s="11"/>
      <c r="E12" s="15"/>
      <c r="F12" s="15"/>
      <c r="G12" s="15"/>
      <c r="H12" s="15"/>
      <c r="I12" s="15"/>
      <c r="J12" s="18"/>
      <c r="K12" s="10" t="str">
        <f t="shared" si="0"/>
        <v/>
      </c>
      <c r="Y12" s="11">
        <f t="shared" si="1"/>
        <v>0</v>
      </c>
      <c r="Z12" s="4">
        <f t="shared" si="2"/>
        <v>0</v>
      </c>
    </row>
    <row r="13" spans="1:27" x14ac:dyDescent="0.25">
      <c r="A13" s="7" t="s">
        <v>90</v>
      </c>
      <c r="B13" s="10" t="str">
        <f ca="1">IF(B11&lt;&gt;N3,(TODAY()-B12)*-1,"")</f>
        <v/>
      </c>
      <c r="D13" s="11"/>
      <c r="E13" s="15"/>
      <c r="F13" s="15"/>
      <c r="G13" s="15"/>
      <c r="H13" s="15"/>
      <c r="I13" s="15"/>
      <c r="J13" s="18"/>
      <c r="K13" s="10" t="str">
        <f t="shared" si="0"/>
        <v/>
      </c>
      <c r="Y13" s="11">
        <f t="shared" si="1"/>
        <v>0</v>
      </c>
      <c r="Z13" s="4">
        <f t="shared" si="2"/>
        <v>0</v>
      </c>
    </row>
    <row r="14" spans="1:27" x14ac:dyDescent="0.25">
      <c r="A14" s="7" t="s">
        <v>45</v>
      </c>
      <c r="B14" s="11">
        <v>46091</v>
      </c>
      <c r="D14" s="8"/>
      <c r="E14" s="4"/>
      <c r="F14" s="4"/>
      <c r="G14" s="4"/>
      <c r="H14" s="4"/>
      <c r="I14" s="4"/>
      <c r="J14" s="2"/>
      <c r="K14" s="10" t="str">
        <f t="shared" si="0"/>
        <v/>
      </c>
      <c r="Y14" s="11">
        <f t="shared" si="1"/>
        <v>0</v>
      </c>
      <c r="Z14" s="4">
        <f t="shared" si="2"/>
        <v>0</v>
      </c>
    </row>
    <row r="15" spans="1:27" x14ac:dyDescent="0.25">
      <c r="A15" s="7" t="s">
        <v>98</v>
      </c>
      <c r="B15" s="2">
        <f>IF(M3=N3,B14-B12,"")</f>
        <v>4</v>
      </c>
      <c r="D15" s="8"/>
      <c r="E15" s="4"/>
      <c r="F15" s="4"/>
      <c r="G15" s="4"/>
      <c r="H15" s="4"/>
      <c r="I15" s="4"/>
      <c r="J15" s="2"/>
      <c r="K15" s="10" t="str">
        <f t="shared" si="0"/>
        <v/>
      </c>
      <c r="Y15" s="11">
        <f t="shared" ref="Y15:Y41" si="3">J14</f>
        <v>0</v>
      </c>
      <c r="Z15" s="4">
        <f t="shared" ref="Z15:Z41" si="4">G14+H14+I14</f>
        <v>0</v>
      </c>
    </row>
    <row r="16" spans="1:27" x14ac:dyDescent="0.25">
      <c r="D16" s="8"/>
      <c r="E16" s="4"/>
      <c r="F16" s="4"/>
      <c r="G16" s="4"/>
      <c r="H16" s="4"/>
      <c r="I16" s="4"/>
      <c r="J16" s="2"/>
      <c r="K16" s="10" t="str">
        <f t="shared" si="0"/>
        <v/>
      </c>
      <c r="Y16" s="11">
        <f t="shared" si="3"/>
        <v>0</v>
      </c>
      <c r="Z16" s="4">
        <f t="shared" si="4"/>
        <v>0</v>
      </c>
    </row>
    <row r="17" spans="4:26" x14ac:dyDescent="0.25">
      <c r="D17" s="8"/>
      <c r="E17" s="4"/>
      <c r="F17" s="4"/>
      <c r="G17" s="4"/>
      <c r="H17" s="4"/>
      <c r="I17" s="4"/>
      <c r="J17" s="2"/>
      <c r="K17" s="10" t="str">
        <f t="shared" si="0"/>
        <v/>
      </c>
      <c r="Y17" s="11">
        <f t="shared" si="3"/>
        <v>0</v>
      </c>
      <c r="Z17" s="4">
        <f t="shared" si="4"/>
        <v>0</v>
      </c>
    </row>
    <row r="18" spans="4:26" x14ac:dyDescent="0.25">
      <c r="D18" s="8"/>
      <c r="E18" s="4"/>
      <c r="F18" s="4"/>
      <c r="G18" s="4"/>
      <c r="H18" s="4"/>
      <c r="I18" s="4"/>
      <c r="J18" s="2"/>
      <c r="K18" s="10" t="str">
        <f t="shared" si="0"/>
        <v/>
      </c>
      <c r="Y18" s="11">
        <f t="shared" si="3"/>
        <v>0</v>
      </c>
      <c r="Z18" s="4">
        <f t="shared" si="4"/>
        <v>0</v>
      </c>
    </row>
    <row r="19" spans="4:26" x14ac:dyDescent="0.25">
      <c r="D19" s="8"/>
      <c r="E19" s="4"/>
      <c r="F19" s="4"/>
      <c r="G19" s="4"/>
      <c r="H19" s="4"/>
      <c r="I19" s="4"/>
      <c r="J19" s="2"/>
      <c r="K19" s="10" t="str">
        <f t="shared" si="0"/>
        <v/>
      </c>
      <c r="Y19" s="11">
        <f t="shared" si="3"/>
        <v>0</v>
      </c>
      <c r="Z19" s="4">
        <f t="shared" si="4"/>
        <v>0</v>
      </c>
    </row>
    <row r="20" spans="4:26" x14ac:dyDescent="0.25">
      <c r="D20" s="8"/>
      <c r="E20" s="4"/>
      <c r="F20" s="4"/>
      <c r="G20" s="4"/>
      <c r="H20" s="4"/>
      <c r="I20" s="4"/>
      <c r="J20" s="2"/>
      <c r="K20" s="10" t="str">
        <f t="shared" si="0"/>
        <v/>
      </c>
      <c r="Y20" s="11">
        <f t="shared" si="3"/>
        <v>0</v>
      </c>
      <c r="Z20" s="4">
        <f t="shared" si="4"/>
        <v>0</v>
      </c>
    </row>
    <row r="21" spans="4:26" x14ac:dyDescent="0.25">
      <c r="D21" s="8"/>
      <c r="E21" s="4"/>
      <c r="F21" s="4"/>
      <c r="G21" s="4"/>
      <c r="H21" s="4"/>
      <c r="I21" s="4"/>
      <c r="J21" s="2"/>
      <c r="K21" s="10" t="str">
        <f t="shared" si="0"/>
        <v/>
      </c>
      <c r="Y21" s="11">
        <f t="shared" si="3"/>
        <v>0</v>
      </c>
      <c r="Z21" s="4">
        <f t="shared" si="4"/>
        <v>0</v>
      </c>
    </row>
    <row r="22" spans="4:26" x14ac:dyDescent="0.25">
      <c r="D22" s="8"/>
      <c r="E22" s="4"/>
      <c r="F22" s="4"/>
      <c r="G22" s="4"/>
      <c r="H22" s="4"/>
      <c r="I22" s="4"/>
      <c r="J22" s="2"/>
      <c r="K22" s="10" t="str">
        <f t="shared" si="0"/>
        <v/>
      </c>
      <c r="Y22" s="11">
        <f t="shared" si="3"/>
        <v>0</v>
      </c>
      <c r="Z22" s="4">
        <f t="shared" si="4"/>
        <v>0</v>
      </c>
    </row>
    <row r="23" spans="4:26" x14ac:dyDescent="0.25">
      <c r="D23" s="8"/>
      <c r="E23" s="4"/>
      <c r="F23" s="4"/>
      <c r="G23" s="4"/>
      <c r="H23" s="4"/>
      <c r="I23" s="4"/>
      <c r="J23" s="2"/>
      <c r="K23" s="10" t="str">
        <f t="shared" si="0"/>
        <v/>
      </c>
      <c r="Y23" s="11">
        <f t="shared" si="3"/>
        <v>0</v>
      </c>
      <c r="Z23" s="4">
        <f t="shared" si="4"/>
        <v>0</v>
      </c>
    </row>
    <row r="24" spans="4:26" x14ac:dyDescent="0.25">
      <c r="D24" s="8"/>
      <c r="E24" s="4"/>
      <c r="F24" s="4"/>
      <c r="G24" s="4"/>
      <c r="H24" s="4"/>
      <c r="I24" s="4"/>
      <c r="J24" s="2"/>
      <c r="K24" s="10" t="str">
        <f t="shared" si="0"/>
        <v/>
      </c>
      <c r="Y24" s="11">
        <f t="shared" si="3"/>
        <v>0</v>
      </c>
      <c r="Z24" s="4">
        <f t="shared" si="4"/>
        <v>0</v>
      </c>
    </row>
    <row r="25" spans="4:26" x14ac:dyDescent="0.25">
      <c r="D25" s="8"/>
      <c r="E25" s="4"/>
      <c r="F25" s="4"/>
      <c r="G25" s="4"/>
      <c r="H25" s="4"/>
      <c r="I25" s="4"/>
      <c r="J25" s="2"/>
      <c r="K25" s="10" t="str">
        <f t="shared" si="0"/>
        <v/>
      </c>
      <c r="Y25" s="11">
        <f t="shared" si="3"/>
        <v>0</v>
      </c>
      <c r="Z25" s="4">
        <f t="shared" si="4"/>
        <v>0</v>
      </c>
    </row>
    <row r="26" spans="4:26" x14ac:dyDescent="0.25">
      <c r="D26" s="8"/>
      <c r="E26" s="4"/>
      <c r="F26" s="4"/>
      <c r="G26" s="4"/>
      <c r="H26" s="4"/>
      <c r="I26" s="4"/>
      <c r="J26" s="2"/>
      <c r="K26" s="10" t="str">
        <f t="shared" si="0"/>
        <v/>
      </c>
      <c r="Y26" s="11">
        <f t="shared" si="3"/>
        <v>0</v>
      </c>
      <c r="Z26" s="4">
        <f t="shared" si="4"/>
        <v>0</v>
      </c>
    </row>
    <row r="27" spans="4:26" x14ac:dyDescent="0.25">
      <c r="D27" s="8"/>
      <c r="E27" s="4"/>
      <c r="F27" s="4"/>
      <c r="G27" s="4"/>
      <c r="H27" s="4"/>
      <c r="I27" s="4"/>
      <c r="J27" s="2"/>
      <c r="K27" s="10" t="str">
        <f t="shared" si="0"/>
        <v/>
      </c>
      <c r="Y27" s="11">
        <f t="shared" si="3"/>
        <v>0</v>
      </c>
      <c r="Z27" s="4">
        <f t="shared" si="4"/>
        <v>0</v>
      </c>
    </row>
    <row r="28" spans="4:26" x14ac:dyDescent="0.25">
      <c r="D28" s="8"/>
      <c r="E28" s="4"/>
      <c r="F28" s="4"/>
      <c r="G28" s="4"/>
      <c r="H28" s="4"/>
      <c r="I28" s="4"/>
      <c r="J28" s="2"/>
      <c r="K28" s="10" t="str">
        <f t="shared" si="0"/>
        <v/>
      </c>
      <c r="Y28" s="11">
        <f t="shared" si="3"/>
        <v>0</v>
      </c>
      <c r="Z28" s="4">
        <f t="shared" si="4"/>
        <v>0</v>
      </c>
    </row>
    <row r="29" spans="4:26" x14ac:dyDescent="0.25">
      <c r="D29" s="8"/>
      <c r="E29" s="4"/>
      <c r="F29" s="4"/>
      <c r="G29" s="4"/>
      <c r="H29" s="4"/>
      <c r="I29" s="4"/>
      <c r="J29" s="2"/>
      <c r="K29" s="10" t="str">
        <f t="shared" si="0"/>
        <v/>
      </c>
      <c r="Y29" s="11">
        <f t="shared" si="3"/>
        <v>0</v>
      </c>
      <c r="Z29" s="4">
        <f t="shared" si="4"/>
        <v>0</v>
      </c>
    </row>
    <row r="30" spans="4:26" x14ac:dyDescent="0.25">
      <c r="D30" s="8"/>
      <c r="E30" s="4"/>
      <c r="F30" s="4"/>
      <c r="G30" s="4"/>
      <c r="H30" s="4"/>
      <c r="I30" s="4"/>
      <c r="J30" s="2"/>
      <c r="K30" s="10" t="str">
        <f t="shared" si="0"/>
        <v/>
      </c>
      <c r="Y30" s="11">
        <f t="shared" si="3"/>
        <v>0</v>
      </c>
      <c r="Z30" s="4">
        <f t="shared" si="4"/>
        <v>0</v>
      </c>
    </row>
    <row r="31" spans="4:26" x14ac:dyDescent="0.25">
      <c r="D31" s="8"/>
      <c r="E31" s="4"/>
      <c r="F31" s="4"/>
      <c r="G31" s="4"/>
      <c r="H31" s="4"/>
      <c r="I31" s="4"/>
      <c r="J31" s="2"/>
      <c r="K31" s="10" t="str">
        <f t="shared" si="0"/>
        <v/>
      </c>
      <c r="Y31" s="11">
        <f t="shared" si="3"/>
        <v>0</v>
      </c>
      <c r="Z31" s="4">
        <f t="shared" si="4"/>
        <v>0</v>
      </c>
    </row>
    <row r="32" spans="4:26" x14ac:dyDescent="0.25">
      <c r="D32" s="8"/>
      <c r="E32" s="4"/>
      <c r="F32" s="4"/>
      <c r="G32" s="4"/>
      <c r="H32" s="4"/>
      <c r="I32" s="4"/>
      <c r="J32" s="2"/>
      <c r="K32" s="10" t="str">
        <f t="shared" si="0"/>
        <v/>
      </c>
      <c r="Y32" s="11">
        <f t="shared" si="3"/>
        <v>0</v>
      </c>
      <c r="Z32" s="4">
        <f t="shared" si="4"/>
        <v>0</v>
      </c>
    </row>
    <row r="33" spans="4:26" x14ac:dyDescent="0.25">
      <c r="D33" s="8"/>
      <c r="E33" s="4"/>
      <c r="F33" s="4"/>
      <c r="G33" s="4"/>
      <c r="H33" s="4"/>
      <c r="I33" s="4"/>
      <c r="J33" s="2"/>
      <c r="K33" s="10" t="str">
        <f t="shared" si="0"/>
        <v/>
      </c>
      <c r="Y33" s="11">
        <f t="shared" si="3"/>
        <v>0</v>
      </c>
      <c r="Z33" s="4">
        <f t="shared" si="4"/>
        <v>0</v>
      </c>
    </row>
    <row r="34" spans="4:26" x14ac:dyDescent="0.25">
      <c r="D34" s="8"/>
      <c r="E34" s="4"/>
      <c r="F34" s="4"/>
      <c r="G34" s="4"/>
      <c r="H34" s="4"/>
      <c r="I34" s="4"/>
      <c r="J34" s="2"/>
      <c r="K34" s="10" t="str">
        <f t="shared" si="0"/>
        <v/>
      </c>
      <c r="Y34" s="11">
        <f t="shared" si="3"/>
        <v>0</v>
      </c>
      <c r="Z34" s="4">
        <f t="shared" si="4"/>
        <v>0</v>
      </c>
    </row>
    <row r="35" spans="4:26" x14ac:dyDescent="0.25">
      <c r="D35" s="8"/>
      <c r="E35" s="4"/>
      <c r="F35" s="4"/>
      <c r="G35" s="4"/>
      <c r="H35" s="4"/>
      <c r="I35" s="4"/>
      <c r="J35" s="2"/>
      <c r="K35" s="10" t="str">
        <f t="shared" si="0"/>
        <v/>
      </c>
      <c r="Y35" s="11">
        <f t="shared" si="3"/>
        <v>0</v>
      </c>
      <c r="Z35" s="4">
        <f t="shared" si="4"/>
        <v>0</v>
      </c>
    </row>
    <row r="36" spans="4:26" x14ac:dyDescent="0.25">
      <c r="D36" s="8"/>
      <c r="E36" s="4"/>
      <c r="F36" s="4"/>
      <c r="G36" s="4"/>
      <c r="H36" s="4"/>
      <c r="I36" s="4"/>
      <c r="J36" s="2"/>
      <c r="K36" s="10" t="str">
        <f t="shared" si="0"/>
        <v/>
      </c>
      <c r="Y36" s="11">
        <f t="shared" si="3"/>
        <v>0</v>
      </c>
      <c r="Z36" s="4">
        <f t="shared" si="4"/>
        <v>0</v>
      </c>
    </row>
    <row r="37" spans="4:26" x14ac:dyDescent="0.25">
      <c r="D37" s="8"/>
      <c r="E37" s="4"/>
      <c r="F37" s="4"/>
      <c r="G37" s="4"/>
      <c r="H37" s="4"/>
      <c r="I37" s="4"/>
      <c r="J37" s="2"/>
      <c r="K37" s="10" t="str">
        <f t="shared" si="0"/>
        <v/>
      </c>
      <c r="Y37" s="11">
        <f t="shared" si="3"/>
        <v>0</v>
      </c>
      <c r="Z37" s="4">
        <f t="shared" si="4"/>
        <v>0</v>
      </c>
    </row>
    <row r="38" spans="4:26" x14ac:dyDescent="0.25">
      <c r="D38" s="8"/>
      <c r="E38" s="4"/>
      <c r="F38" s="4"/>
      <c r="G38" s="4"/>
      <c r="H38" s="4"/>
      <c r="I38" s="4"/>
      <c r="J38" s="2"/>
      <c r="K38" s="10" t="str">
        <f t="shared" si="0"/>
        <v/>
      </c>
      <c r="Y38" s="11">
        <f t="shared" si="3"/>
        <v>0</v>
      </c>
      <c r="Z38" s="4">
        <f t="shared" si="4"/>
        <v>0</v>
      </c>
    </row>
    <row r="39" spans="4:26" x14ac:dyDescent="0.25">
      <c r="D39" s="8"/>
      <c r="E39" s="4"/>
      <c r="F39" s="4"/>
      <c r="G39" s="4"/>
      <c r="H39" s="4"/>
      <c r="I39" s="4"/>
      <c r="J39" s="2"/>
      <c r="K39" s="10" t="str">
        <f t="shared" si="0"/>
        <v/>
      </c>
      <c r="Y39" s="11">
        <f t="shared" si="3"/>
        <v>0</v>
      </c>
      <c r="Z39" s="4">
        <f t="shared" si="4"/>
        <v>0</v>
      </c>
    </row>
    <row r="40" spans="4:26" x14ac:dyDescent="0.25">
      <c r="D40" s="8"/>
      <c r="E40" s="4"/>
      <c r="F40" s="4"/>
      <c r="G40" s="4"/>
      <c r="H40" s="4"/>
      <c r="I40" s="4"/>
      <c r="J40" s="2"/>
      <c r="K40" s="10" t="str">
        <f t="shared" si="0"/>
        <v/>
      </c>
      <c r="Y40" s="11">
        <f t="shared" si="3"/>
        <v>0</v>
      </c>
      <c r="Z40" s="4">
        <f t="shared" si="4"/>
        <v>0</v>
      </c>
    </row>
    <row r="41" spans="4:26" x14ac:dyDescent="0.25">
      <c r="D41" s="8"/>
      <c r="E41" s="4"/>
      <c r="F41" s="4"/>
      <c r="G41" s="4"/>
      <c r="H41" s="4"/>
      <c r="I41" s="4"/>
      <c r="J41" s="2"/>
      <c r="K41" s="10" t="str">
        <f t="shared" si="0"/>
        <v/>
      </c>
      <c r="Y41" s="11">
        <f t="shared" si="3"/>
        <v>0</v>
      </c>
      <c r="Z41" s="4">
        <f t="shared" si="4"/>
        <v>0</v>
      </c>
    </row>
    <row r="42" spans="4:26" x14ac:dyDescent="0.25">
      <c r="D42" s="8" t="s">
        <v>10</v>
      </c>
      <c r="E42" s="4">
        <f>SUM(E2:E41)</f>
        <v>100</v>
      </c>
      <c r="F42" s="4">
        <f t="shared" ref="F42:I42" si="5">SUM(F2:F41)</f>
        <v>10.6</v>
      </c>
      <c r="G42" s="4">
        <f t="shared" si="5"/>
        <v>100</v>
      </c>
      <c r="H42" s="4">
        <f t="shared" si="5"/>
        <v>10.6</v>
      </c>
      <c r="I42" s="4">
        <f t="shared" si="5"/>
        <v>0.17</v>
      </c>
      <c r="J42" s="2"/>
      <c r="K42" s="2"/>
      <c r="Y42" s="25"/>
      <c r="Z42" s="26"/>
    </row>
  </sheetData>
  <mergeCells count="5">
    <mergeCell ref="M1:N1"/>
    <mergeCell ref="O1:P1"/>
    <mergeCell ref="Q1:Q2"/>
    <mergeCell ref="S1:S2"/>
    <mergeCell ref="R1:R2"/>
  </mergeCells>
  <conditionalFormatting sqref="A1:B1">
    <cfRule type="expression" dxfId="3" priority="2">
      <formula>$M$3=$N$3</formula>
    </cfRule>
    <cfRule type="expression" dxfId="2" priority="3">
      <formula>$AA$2="+"</formula>
    </cfRule>
  </conditionalFormatting>
  <conditionalFormatting sqref="S3">
    <cfRule type="expression" dxfId="1" priority="1">
      <formula>$AA$2="+"</formula>
    </cfRule>
  </conditionalFormatting>
  <conditionalFormatting sqref="AA2">
    <cfRule type="expression" dxfId="0" priority="4">
      <formula>$AA$2="+"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Overview</vt:lpstr>
      <vt:lpstr>Pinigai</vt:lpstr>
      <vt:lpstr>Vienbutis Gilužiuose III</vt:lpstr>
      <vt:lpstr>Užnerio butai XV</vt:lpstr>
      <vt:lpstr>Vakaro 3A K1 III</vt:lpstr>
      <vt:lpstr>Kauno 36-118 II</vt:lpstr>
      <vt:lpstr>Tautvilo kotedžai XIV</vt:lpstr>
      <vt:lpstr>Horizonto 2A XII</vt:lpstr>
      <vt:lpstr>Žemoji 52 XXIX“</vt:lpstr>
      <vt:lpstr>Namas Panevėžyje</vt:lpstr>
      <vt:lpstr>Vanagupės 36A-204 II</vt:lpstr>
      <vt:lpstr>Vingio namai XIV</vt:lpstr>
      <vt:lpstr>Druskonio perlai VII</vt:lpstr>
      <vt:lpstr>Birelių namas II</vt:lpstr>
      <vt:lpstr>Sūduvos 8-2</vt:lpstr>
      <vt:lpstr>Miškininkų 30 II</vt:lpstr>
      <vt:lpstr>Pagojo 1 II</vt:lpstr>
      <vt:lpstr>Vienbutis Minsko 5A</vt:lpstr>
      <vt:lpstr>Dvibutis Sodybų 12</vt:lpstr>
      <vt:lpstr>Sfintii Arhangheli 21</vt:lpstr>
      <vt:lpstr>Girinaičių 7 II</vt:lpstr>
      <vt:lpstr>Girios 112 II</vt:lpstr>
      <vt:lpstr>Piliarožių 10 VI</vt:lpstr>
      <vt:lpstr>Girinaičių 7</vt:lpstr>
      <vt:lpstr>Kauno 36-232</vt:lpstr>
      <vt:lpstr>Sodziaus 7A (1)</vt:lpstr>
      <vt:lpstr>Sodziaus 7A</vt:lpstr>
      <vt:lpstr>Pušynas VII</vt:lpstr>
      <vt:lpstr>Užnerio butai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dcterms:created xsi:type="dcterms:W3CDTF">2025-05-22T07:09:11Z</dcterms:created>
  <dcterms:modified xsi:type="dcterms:W3CDTF">2026-09-30T17:12:23Z</dcterms:modified>
</cp:coreProperties>
</file>