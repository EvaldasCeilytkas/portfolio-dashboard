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Investavimas 2026.08.08\Nordstreet\"/>
    </mc:Choice>
  </mc:AlternateContent>
  <xr:revisionPtr revIDLastSave="0" documentId="13_ncr:1_{66BE6D24-AC1F-4541-B116-20069994B5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žvalga" sheetId="1" r:id="rId1"/>
    <sheet name="Pinigai" sheetId="16" r:id="rId2"/>
    <sheet name="Plento g. 5A, Trakai (2)" sheetId="28" r:id="rId3"/>
    <sheet name="Baltų Avenue (11)" sheetId="27" r:id="rId4"/>
    <sheet name="&quot;Filleo Home&quot;, Palanga (10)" sheetId="26" r:id="rId5"/>
    <sheet name="Mėguvos g. 6 ir 8, Palanga (2)" sheetId="25" r:id="rId6"/>
    <sheet name="Basliupio g. 14, Panevėžys (3)" sheetId="24" r:id="rId7"/>
    <sheet name="Liepų g. 3, Vyšniūnai (1)" sheetId="23" r:id="rId8"/>
    <sheet name="Sklypų masyvas Loo, Parnu (1)" sheetId="22" r:id="rId9"/>
    <sheet name="&quot;Filleo Home&quot;, Palanga (3)" sheetId="21" r:id="rId10"/>
    <sheet name="Baltų Avenue (1)" sheetId="20" r:id="rId11"/>
    <sheet name="Pienių g. 28A-28E (1)" sheetId="19" r:id="rId12"/>
    <sheet name="Parko g. 21 Pergalės g. 36A (1)" sheetId="18" r:id="rId13"/>
    <sheet name="Mozūriškių g. 17 - 3, Vilnius" sheetId="17" r:id="rId14"/>
    <sheet name="Šaltinio g. 7, Panevėžys (1)" sheetId="15" r:id="rId15"/>
    <sheet name="Viensėdžio g. 36A (3)" sheetId="14" r:id="rId16"/>
    <sheet name="Lubānas g. 133A, Ryga, (12)" sheetId="13" r:id="rId17"/>
    <sheet name="Vilniaus g. 38 38A 38B (1)" sheetId="10" r:id="rId18"/>
    <sheet name="Gyvenamasis kvar. Javų g. (1)" sheetId="12" r:id="rId19"/>
    <sheet name="Vidiškių vs., Žemaitkiemio (2)" sheetId="11" r:id="rId20"/>
    <sheet name="Stoties g. 38, Panevėžys" sheetId="9" r:id="rId21"/>
    <sheet name="Lubānas g. 133A, Ryga (7)" sheetId="8" r:id="rId22"/>
    <sheet name="Jono Puzino g. 21-1 (2)" sheetId="7" r:id="rId23"/>
    <sheet name="Jono Puzino g. 21-1 (1)" sheetId="6" r:id="rId24"/>
    <sheet name="Kvartalas &quot;Asiūklės parkas” (2)" sheetId="4" r:id="rId25"/>
    <sheet name="2 MW saulės elektrinių par. (9)" sheetId="5" r:id="rId26"/>
    <sheet name="Bistryčios g. 27 (3)" sheetId="3" r:id="rId27"/>
    <sheet name="Mesiheina tee 5 ir 8 (1)" sheetId="2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6" l="1"/>
  <c r="M14" i="1"/>
  <c r="M13" i="1"/>
  <c r="L14" i="1"/>
  <c r="L13" i="1"/>
  <c r="I28" i="1"/>
  <c r="I19" i="1"/>
  <c r="I17" i="1"/>
  <c r="I14" i="1"/>
  <c r="I13" i="1"/>
  <c r="I12" i="1"/>
  <c r="I10" i="1"/>
  <c r="I9" i="1"/>
  <c r="I8" i="1"/>
  <c r="I7" i="1"/>
  <c r="I5" i="1"/>
  <c r="I3" i="1"/>
  <c r="B15" i="28" l="1"/>
  <c r="Z41" i="28"/>
  <c r="Y41" i="28"/>
  <c r="Z40" i="28"/>
  <c r="Y40" i="28"/>
  <c r="Z39" i="28"/>
  <c r="Y39" i="28"/>
  <c r="Z38" i="28"/>
  <c r="Y38" i="28"/>
  <c r="Z37" i="28"/>
  <c r="Y37" i="28"/>
  <c r="Z36" i="28"/>
  <c r="Y36" i="28"/>
  <c r="Z35" i="28"/>
  <c r="Y35" i="28"/>
  <c r="Z34" i="28"/>
  <c r="Y34" i="28"/>
  <c r="Z33" i="28"/>
  <c r="Y33" i="28"/>
  <c r="Z32" i="28"/>
  <c r="Y32" i="28"/>
  <c r="Z31" i="28"/>
  <c r="Y31" i="28"/>
  <c r="Z30" i="28"/>
  <c r="Y30" i="28"/>
  <c r="Z29" i="28"/>
  <c r="Y29" i="28"/>
  <c r="Z28" i="28"/>
  <c r="Y28" i="28"/>
  <c r="Z27" i="28"/>
  <c r="Y27" i="28"/>
  <c r="Z26" i="28"/>
  <c r="Y26" i="28"/>
  <c r="Z25" i="28"/>
  <c r="Y25" i="28"/>
  <c r="Z24" i="28"/>
  <c r="Y24" i="28"/>
  <c r="Z23" i="28"/>
  <c r="Y23" i="28"/>
  <c r="Z22" i="28"/>
  <c r="Y22" i="28"/>
  <c r="Z21" i="28"/>
  <c r="Y21" i="28"/>
  <c r="Z20" i="28"/>
  <c r="Y20" i="28"/>
  <c r="Z19" i="28"/>
  <c r="Y19" i="28"/>
  <c r="Z18" i="28"/>
  <c r="Y18" i="28"/>
  <c r="Z17" i="28"/>
  <c r="Y17" i="28"/>
  <c r="Z16" i="28"/>
  <c r="Y16" i="28"/>
  <c r="Z15" i="28"/>
  <c r="Y15" i="28"/>
  <c r="Z14" i="28"/>
  <c r="Y14" i="28"/>
  <c r="Z13" i="28"/>
  <c r="Y13" i="28"/>
  <c r="Z12" i="28"/>
  <c r="Y12" i="28"/>
  <c r="Z11" i="28"/>
  <c r="Y11" i="28"/>
  <c r="Z10" i="28"/>
  <c r="Y10" i="28"/>
  <c r="Z9" i="28"/>
  <c r="Y9" i="28"/>
  <c r="Z8" i="28"/>
  <c r="Y8" i="28"/>
  <c r="Z7" i="28"/>
  <c r="Y7" i="28"/>
  <c r="Z6" i="28"/>
  <c r="Y6" i="28"/>
  <c r="Z5" i="28"/>
  <c r="Y5" i="28"/>
  <c r="Z4" i="28"/>
  <c r="Y4" i="28"/>
  <c r="Z3" i="28"/>
  <c r="Y3" i="28"/>
  <c r="S3" i="28"/>
  <c r="K28" i="1" s="1"/>
  <c r="P3" i="28"/>
  <c r="O3" i="28"/>
  <c r="N3" i="28"/>
  <c r="R3" i="28" s="1"/>
  <c r="M3" i="28"/>
  <c r="AA2" i="28"/>
  <c r="AC28" i="1" s="1"/>
  <c r="Z2" i="28"/>
  <c r="Y2" i="28"/>
  <c r="Z41" i="27"/>
  <c r="Y41" i="27"/>
  <c r="Z40" i="27"/>
  <c r="Y40" i="27"/>
  <c r="Z39" i="27"/>
  <c r="Y39" i="27"/>
  <c r="Z38" i="27"/>
  <c r="Y38" i="27"/>
  <c r="Z37" i="27"/>
  <c r="Y37" i="27"/>
  <c r="Z36" i="27"/>
  <c r="Y36" i="27"/>
  <c r="Z35" i="27"/>
  <c r="Y35" i="27"/>
  <c r="Z34" i="27"/>
  <c r="Y34" i="27"/>
  <c r="Z33" i="27"/>
  <c r="Y33" i="27"/>
  <c r="Z32" i="27"/>
  <c r="Y32" i="27"/>
  <c r="Z31" i="27"/>
  <c r="Y31" i="27"/>
  <c r="Z30" i="27"/>
  <c r="Y30" i="27"/>
  <c r="Z29" i="27"/>
  <c r="Y29" i="27"/>
  <c r="Z28" i="27"/>
  <c r="Y28" i="27"/>
  <c r="Z27" i="27"/>
  <c r="Y27" i="27"/>
  <c r="Z26" i="27"/>
  <c r="Y26" i="27"/>
  <c r="Z25" i="27"/>
  <c r="Y25" i="27"/>
  <c r="Z24" i="27"/>
  <c r="Y24" i="27"/>
  <c r="Z23" i="27"/>
  <c r="Y23" i="27"/>
  <c r="Z22" i="27"/>
  <c r="Y22" i="27"/>
  <c r="Z21" i="27"/>
  <c r="Y21" i="27"/>
  <c r="Z20" i="27"/>
  <c r="Y20" i="27"/>
  <c r="Z19" i="27"/>
  <c r="Y19" i="27"/>
  <c r="Z18" i="27"/>
  <c r="Y18" i="27"/>
  <c r="Z17" i="27"/>
  <c r="Y17" i="27"/>
  <c r="Z16" i="27"/>
  <c r="Y16" i="27"/>
  <c r="Z15" i="27"/>
  <c r="Y15" i="27"/>
  <c r="Z14" i="27"/>
  <c r="Y14" i="27"/>
  <c r="Z13" i="27"/>
  <c r="Y13" i="27"/>
  <c r="Z12" i="27"/>
  <c r="Y12" i="27"/>
  <c r="Z11" i="27"/>
  <c r="Y11" i="27"/>
  <c r="Z10" i="27"/>
  <c r="Y10" i="27"/>
  <c r="Z9" i="27"/>
  <c r="Y9" i="27"/>
  <c r="Z8" i="27"/>
  <c r="Y8" i="27"/>
  <c r="Z7" i="27"/>
  <c r="Y7" i="27"/>
  <c r="Z6" i="27"/>
  <c r="Y6" i="27"/>
  <c r="Z5" i="27"/>
  <c r="Y5" i="27"/>
  <c r="Z4" i="27"/>
  <c r="Y4" i="27"/>
  <c r="Z3" i="27"/>
  <c r="Y3" i="27"/>
  <c r="S3" i="27"/>
  <c r="K27" i="1" s="1"/>
  <c r="O3" i="27"/>
  <c r="M3" i="27"/>
  <c r="AA2" i="27"/>
  <c r="AC27" i="1" s="1"/>
  <c r="Z2" i="27"/>
  <c r="Y2" i="27"/>
  <c r="I42" i="27"/>
  <c r="H42" i="27"/>
  <c r="P3" i="27" s="1"/>
  <c r="G42" i="27"/>
  <c r="N3" i="27" s="1"/>
  <c r="F42" i="27"/>
  <c r="E42" i="27"/>
  <c r="K41" i="27"/>
  <c r="K40" i="27"/>
  <c r="K39" i="27"/>
  <c r="K38" i="27"/>
  <c r="K37" i="27"/>
  <c r="K36" i="27"/>
  <c r="K35" i="27"/>
  <c r="K34" i="27"/>
  <c r="K33" i="27"/>
  <c r="K32" i="27"/>
  <c r="K31" i="27"/>
  <c r="K30" i="27"/>
  <c r="K29" i="27"/>
  <c r="K28" i="27"/>
  <c r="K27" i="27"/>
  <c r="K26" i="27"/>
  <c r="K25" i="27"/>
  <c r="K24" i="27"/>
  <c r="K23" i="27"/>
  <c r="K22" i="27"/>
  <c r="Z41" i="26"/>
  <c r="Y41" i="26"/>
  <c r="Z40" i="26"/>
  <c r="Y40" i="26"/>
  <c r="Z39" i="26"/>
  <c r="Y39" i="26"/>
  <c r="Z38" i="26"/>
  <c r="Y38" i="26"/>
  <c r="Z37" i="26"/>
  <c r="Y37" i="26"/>
  <c r="Z36" i="26"/>
  <c r="Y36" i="26"/>
  <c r="Z35" i="26"/>
  <c r="Y35" i="26"/>
  <c r="Z34" i="26"/>
  <c r="Y34" i="26"/>
  <c r="Z33" i="26"/>
  <c r="Y33" i="26"/>
  <c r="Z32" i="26"/>
  <c r="Y32" i="26"/>
  <c r="Z31" i="26"/>
  <c r="Y31" i="26"/>
  <c r="Z30" i="26"/>
  <c r="Y30" i="26"/>
  <c r="Z29" i="26"/>
  <c r="Y29" i="26"/>
  <c r="Z28" i="26"/>
  <c r="Y28" i="26"/>
  <c r="Z27" i="26"/>
  <c r="Y27" i="26"/>
  <c r="Z26" i="26"/>
  <c r="Y26" i="26"/>
  <c r="Z25" i="26"/>
  <c r="Y25" i="26"/>
  <c r="Z24" i="26"/>
  <c r="Y24" i="26"/>
  <c r="Z23" i="26"/>
  <c r="Y23" i="26"/>
  <c r="Z22" i="26"/>
  <c r="Y22" i="26"/>
  <c r="Z21" i="26"/>
  <c r="Y21" i="26"/>
  <c r="Z20" i="26"/>
  <c r="Y20" i="26"/>
  <c r="Z19" i="26"/>
  <c r="Y19" i="26"/>
  <c r="Z18" i="26"/>
  <c r="Y18" i="26"/>
  <c r="Z17" i="26"/>
  <c r="Y17" i="26"/>
  <c r="Z16" i="26"/>
  <c r="Y16" i="26"/>
  <c r="Z15" i="26"/>
  <c r="Y15" i="26"/>
  <c r="Z14" i="26"/>
  <c r="Y14" i="26"/>
  <c r="Z13" i="26"/>
  <c r="Y13" i="26"/>
  <c r="Z12" i="26"/>
  <c r="Y12" i="26"/>
  <c r="Z11" i="26"/>
  <c r="Y11" i="26"/>
  <c r="Z10" i="26"/>
  <c r="Y10" i="26"/>
  <c r="Z9" i="26"/>
  <c r="Y9" i="26"/>
  <c r="Z8" i="26"/>
  <c r="Y8" i="26"/>
  <c r="Z7" i="26"/>
  <c r="Y7" i="26"/>
  <c r="Z6" i="26"/>
  <c r="Y6" i="26"/>
  <c r="Z5" i="26"/>
  <c r="Y5" i="26"/>
  <c r="Z4" i="26"/>
  <c r="Y4" i="26"/>
  <c r="Z3" i="26"/>
  <c r="Y3" i="26"/>
  <c r="S3" i="26"/>
  <c r="K26" i="1" s="1"/>
  <c r="O3" i="26"/>
  <c r="M3" i="26"/>
  <c r="AA2" i="26"/>
  <c r="AC26" i="1" s="1"/>
  <c r="Z2" i="26"/>
  <c r="Y2" i="26"/>
  <c r="I42" i="26"/>
  <c r="H42" i="26"/>
  <c r="G42" i="26"/>
  <c r="N3" i="26" s="1"/>
  <c r="F42" i="26"/>
  <c r="E42" i="26"/>
  <c r="K41" i="26"/>
  <c r="K40" i="26"/>
  <c r="K39" i="26"/>
  <c r="K38" i="26"/>
  <c r="K37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Z41" i="25"/>
  <c r="Y41" i="25"/>
  <c r="Z40" i="25"/>
  <c r="Y40" i="25"/>
  <c r="Z39" i="25"/>
  <c r="Y39" i="25"/>
  <c r="Z38" i="25"/>
  <c r="Y38" i="25"/>
  <c r="Z37" i="25"/>
  <c r="Y37" i="25"/>
  <c r="Z36" i="25"/>
  <c r="Y36" i="25"/>
  <c r="Z35" i="25"/>
  <c r="Y35" i="25"/>
  <c r="Z34" i="25"/>
  <c r="Y34" i="25"/>
  <c r="Z33" i="25"/>
  <c r="Y33" i="25"/>
  <c r="Z32" i="25"/>
  <c r="Y32" i="25"/>
  <c r="Z31" i="25"/>
  <c r="Y31" i="25"/>
  <c r="Z30" i="25"/>
  <c r="Y30" i="25"/>
  <c r="Z29" i="25"/>
  <c r="Y29" i="25"/>
  <c r="Z28" i="25"/>
  <c r="Y28" i="25"/>
  <c r="Z27" i="25"/>
  <c r="Y27" i="25"/>
  <c r="Z26" i="25"/>
  <c r="Y26" i="25"/>
  <c r="Z25" i="25"/>
  <c r="Y25" i="25"/>
  <c r="Z24" i="25"/>
  <c r="Y24" i="25"/>
  <c r="Z23" i="25"/>
  <c r="Y23" i="25"/>
  <c r="Z22" i="25"/>
  <c r="Y22" i="25"/>
  <c r="Z21" i="25"/>
  <c r="Y21" i="25"/>
  <c r="Z20" i="25"/>
  <c r="Y20" i="25"/>
  <c r="Z19" i="25"/>
  <c r="Y19" i="25"/>
  <c r="Z18" i="25"/>
  <c r="Y18" i="25"/>
  <c r="Z17" i="25"/>
  <c r="Y17" i="25"/>
  <c r="Z16" i="25"/>
  <c r="Y16" i="25"/>
  <c r="Z15" i="25"/>
  <c r="Y15" i="25"/>
  <c r="Z14" i="25"/>
  <c r="Y14" i="25"/>
  <c r="Z13" i="25"/>
  <c r="Y13" i="25"/>
  <c r="Z12" i="25"/>
  <c r="Y12" i="25"/>
  <c r="Z11" i="25"/>
  <c r="Y11" i="25"/>
  <c r="Z10" i="25"/>
  <c r="Y10" i="25"/>
  <c r="Z9" i="25"/>
  <c r="Y9" i="25"/>
  <c r="Z8" i="25"/>
  <c r="Y8" i="25"/>
  <c r="Z7" i="25"/>
  <c r="Y7" i="25"/>
  <c r="Z6" i="25"/>
  <c r="Y6" i="25"/>
  <c r="Z5" i="25"/>
  <c r="Y5" i="25"/>
  <c r="Z4" i="25"/>
  <c r="Y4" i="25"/>
  <c r="Z3" i="25"/>
  <c r="Y3" i="25"/>
  <c r="S3" i="25"/>
  <c r="K25" i="1" s="1"/>
  <c r="O3" i="25"/>
  <c r="M3" i="25"/>
  <c r="AA2" i="25"/>
  <c r="AC25" i="1" s="1"/>
  <c r="Z2" i="25"/>
  <c r="Y2" i="25"/>
  <c r="I42" i="25"/>
  <c r="P3" i="25" s="1"/>
  <c r="H42" i="25"/>
  <c r="G42" i="25"/>
  <c r="N3" i="25" s="1"/>
  <c r="F42" i="25"/>
  <c r="E42" i="25"/>
  <c r="K41" i="25"/>
  <c r="K40" i="25"/>
  <c r="K39" i="25"/>
  <c r="K38" i="25"/>
  <c r="K37" i="25"/>
  <c r="K36" i="25"/>
  <c r="K35" i="25"/>
  <c r="K34" i="25"/>
  <c r="K33" i="25"/>
  <c r="K32" i="25"/>
  <c r="K31" i="25"/>
  <c r="K30" i="25"/>
  <c r="K29" i="25"/>
  <c r="K28" i="25"/>
  <c r="K27" i="25"/>
  <c r="K26" i="25"/>
  <c r="Z41" i="24"/>
  <c r="Y41" i="24"/>
  <c r="Z40" i="24"/>
  <c r="Y40" i="24"/>
  <c r="Z39" i="24"/>
  <c r="Y39" i="24"/>
  <c r="Z38" i="24"/>
  <c r="Y38" i="24"/>
  <c r="Z37" i="24"/>
  <c r="Y37" i="24"/>
  <c r="Z36" i="24"/>
  <c r="Y36" i="24"/>
  <c r="Z35" i="24"/>
  <c r="Y35" i="24"/>
  <c r="Z34" i="24"/>
  <c r="Y34" i="24"/>
  <c r="Z33" i="24"/>
  <c r="Y33" i="24"/>
  <c r="Z32" i="24"/>
  <c r="Y32" i="24"/>
  <c r="Z31" i="24"/>
  <c r="Y31" i="24"/>
  <c r="Z30" i="24"/>
  <c r="Y30" i="24"/>
  <c r="Z29" i="24"/>
  <c r="Y29" i="24"/>
  <c r="Z28" i="24"/>
  <c r="Y28" i="24"/>
  <c r="Z27" i="24"/>
  <c r="Y27" i="24"/>
  <c r="Z26" i="24"/>
  <c r="Y26" i="24"/>
  <c r="Z25" i="24"/>
  <c r="Y25" i="24"/>
  <c r="Z24" i="24"/>
  <c r="Y24" i="24"/>
  <c r="Z23" i="24"/>
  <c r="Y23" i="24"/>
  <c r="Z22" i="24"/>
  <c r="Y22" i="24"/>
  <c r="Z21" i="24"/>
  <c r="Y21" i="24"/>
  <c r="Z20" i="24"/>
  <c r="Y20" i="24"/>
  <c r="Z19" i="24"/>
  <c r="Y19" i="24"/>
  <c r="Z18" i="24"/>
  <c r="Y18" i="24"/>
  <c r="Z17" i="24"/>
  <c r="Y17" i="24"/>
  <c r="Z16" i="24"/>
  <c r="Y16" i="24"/>
  <c r="Z15" i="24"/>
  <c r="Y15" i="24"/>
  <c r="Z14" i="24"/>
  <c r="Y14" i="24"/>
  <c r="Z13" i="24"/>
  <c r="Y13" i="24"/>
  <c r="Z12" i="24"/>
  <c r="Y12" i="24"/>
  <c r="Z11" i="24"/>
  <c r="Y11" i="24"/>
  <c r="Z10" i="24"/>
  <c r="Y10" i="24"/>
  <c r="Z9" i="24"/>
  <c r="Y9" i="24"/>
  <c r="Z8" i="24"/>
  <c r="Y8" i="24"/>
  <c r="Z7" i="24"/>
  <c r="Y7" i="24"/>
  <c r="Z6" i="24"/>
  <c r="Y6" i="24"/>
  <c r="Z5" i="24"/>
  <c r="Y5" i="24"/>
  <c r="Z4" i="24"/>
  <c r="Y4" i="24"/>
  <c r="Z3" i="24"/>
  <c r="Y3" i="24"/>
  <c r="S3" i="24"/>
  <c r="K24" i="1" s="1"/>
  <c r="O3" i="24"/>
  <c r="M3" i="24"/>
  <c r="AA2" i="24"/>
  <c r="AC24" i="1" s="1"/>
  <c r="Z2" i="24"/>
  <c r="Y2" i="24"/>
  <c r="I42" i="24"/>
  <c r="H42" i="24"/>
  <c r="G42" i="24"/>
  <c r="N3" i="24" s="1"/>
  <c r="F42" i="24"/>
  <c r="E42" i="24"/>
  <c r="K41" i="24"/>
  <c r="K40" i="24"/>
  <c r="K39" i="24"/>
  <c r="K38" i="24"/>
  <c r="K37" i="24"/>
  <c r="K36" i="24"/>
  <c r="K35" i="24"/>
  <c r="K34" i="24"/>
  <c r="K33" i="24"/>
  <c r="K32" i="24"/>
  <c r="K31" i="24"/>
  <c r="K30" i="24"/>
  <c r="K29" i="24"/>
  <c r="K28" i="24"/>
  <c r="K27" i="24"/>
  <c r="K26" i="24"/>
  <c r="B15" i="23"/>
  <c r="Z41" i="23"/>
  <c r="Y41" i="23"/>
  <c r="Z40" i="23"/>
  <c r="Y40" i="23"/>
  <c r="Z39" i="23"/>
  <c r="Y39" i="23"/>
  <c r="Z38" i="23"/>
  <c r="Y38" i="23"/>
  <c r="Z37" i="23"/>
  <c r="Y37" i="23"/>
  <c r="Z36" i="23"/>
  <c r="Y36" i="23"/>
  <c r="Z35" i="23"/>
  <c r="Y35" i="23"/>
  <c r="Z34" i="23"/>
  <c r="Y34" i="23"/>
  <c r="Z33" i="23"/>
  <c r="Y33" i="23"/>
  <c r="Z32" i="23"/>
  <c r="Y32" i="23"/>
  <c r="Z31" i="23"/>
  <c r="Y31" i="23"/>
  <c r="Z30" i="23"/>
  <c r="Y30" i="23"/>
  <c r="Z29" i="23"/>
  <c r="Y29" i="23"/>
  <c r="Z28" i="23"/>
  <c r="Y28" i="23"/>
  <c r="Z27" i="23"/>
  <c r="Y27" i="23"/>
  <c r="Z26" i="23"/>
  <c r="Y26" i="23"/>
  <c r="Z25" i="23"/>
  <c r="Y25" i="23"/>
  <c r="Z24" i="23"/>
  <c r="Y24" i="23"/>
  <c r="Z23" i="23"/>
  <c r="Y23" i="23"/>
  <c r="Z22" i="23"/>
  <c r="Y22" i="23"/>
  <c r="Z21" i="23"/>
  <c r="Y21" i="23"/>
  <c r="Z20" i="23"/>
  <c r="Y20" i="23"/>
  <c r="Z19" i="23"/>
  <c r="Y19" i="23"/>
  <c r="Z18" i="23"/>
  <c r="Y18" i="23"/>
  <c r="Z17" i="23"/>
  <c r="Y17" i="23"/>
  <c r="Z16" i="23"/>
  <c r="Y16" i="23"/>
  <c r="Z15" i="23"/>
  <c r="Y15" i="23"/>
  <c r="Z14" i="23"/>
  <c r="Y14" i="23"/>
  <c r="Z13" i="23"/>
  <c r="Y13" i="23"/>
  <c r="Z12" i="23"/>
  <c r="Y12" i="23"/>
  <c r="Z11" i="23"/>
  <c r="Y11" i="23"/>
  <c r="Z10" i="23"/>
  <c r="Y10" i="23"/>
  <c r="Z9" i="23"/>
  <c r="Y9" i="23"/>
  <c r="Z8" i="23"/>
  <c r="Y8" i="23"/>
  <c r="Z7" i="23"/>
  <c r="Y7" i="23"/>
  <c r="Z6" i="23"/>
  <c r="Y6" i="23"/>
  <c r="Z5" i="23"/>
  <c r="Y5" i="23"/>
  <c r="Z4" i="23"/>
  <c r="Y4" i="23"/>
  <c r="Z3" i="23"/>
  <c r="Y3" i="23"/>
  <c r="S3" i="23"/>
  <c r="K23" i="1" s="1"/>
  <c r="O3" i="23"/>
  <c r="N3" i="23"/>
  <c r="R3" i="23" s="1"/>
  <c r="I23" i="1" s="1"/>
  <c r="M3" i="23"/>
  <c r="AA2" i="23"/>
  <c r="AC23" i="1" s="1"/>
  <c r="Z2" i="23"/>
  <c r="Y2" i="23"/>
  <c r="I42" i="23"/>
  <c r="P3" i="23" s="1"/>
  <c r="H42" i="23"/>
  <c r="G42" i="23"/>
  <c r="F42" i="23"/>
  <c r="E42" i="23"/>
  <c r="K41" i="23"/>
  <c r="K40" i="23"/>
  <c r="K39" i="23"/>
  <c r="K38" i="23"/>
  <c r="K37" i="23"/>
  <c r="K36" i="23"/>
  <c r="K35" i="23"/>
  <c r="K34" i="23"/>
  <c r="K33" i="23"/>
  <c r="K32" i="23"/>
  <c r="K31" i="23"/>
  <c r="K30" i="23"/>
  <c r="K29" i="23"/>
  <c r="K28" i="23"/>
  <c r="K27" i="23"/>
  <c r="K26" i="23"/>
  <c r="K25" i="23"/>
  <c r="K24" i="23"/>
  <c r="K23" i="23"/>
  <c r="K22" i="23"/>
  <c r="K21" i="23"/>
  <c r="Z41" i="22"/>
  <c r="Y41" i="22"/>
  <c r="Z40" i="22"/>
  <c r="Y40" i="22"/>
  <c r="Z39" i="22"/>
  <c r="Y39" i="22"/>
  <c r="Z38" i="22"/>
  <c r="Y38" i="22"/>
  <c r="Z37" i="22"/>
  <c r="Y37" i="22"/>
  <c r="Z36" i="22"/>
  <c r="Y36" i="22"/>
  <c r="Z35" i="22"/>
  <c r="Y35" i="22"/>
  <c r="Z34" i="22"/>
  <c r="Y34" i="22"/>
  <c r="Z33" i="22"/>
  <c r="Y33" i="22"/>
  <c r="Z32" i="22"/>
  <c r="Y32" i="22"/>
  <c r="Z31" i="22"/>
  <c r="Y31" i="22"/>
  <c r="Z30" i="22"/>
  <c r="Y30" i="22"/>
  <c r="Z29" i="22"/>
  <c r="Y29" i="22"/>
  <c r="Z28" i="22"/>
  <c r="Y28" i="22"/>
  <c r="Z27" i="22"/>
  <c r="Y27" i="22"/>
  <c r="Z26" i="22"/>
  <c r="Y26" i="22"/>
  <c r="Z25" i="22"/>
  <c r="Y25" i="22"/>
  <c r="Z24" i="22"/>
  <c r="Y24" i="22"/>
  <c r="Z23" i="22"/>
  <c r="Y23" i="22"/>
  <c r="Z22" i="22"/>
  <c r="Y22" i="22"/>
  <c r="Z21" i="22"/>
  <c r="Y21" i="22"/>
  <c r="Z20" i="22"/>
  <c r="Y20" i="22"/>
  <c r="Z19" i="22"/>
  <c r="Y19" i="22"/>
  <c r="Z18" i="22"/>
  <c r="Y18" i="22"/>
  <c r="Z17" i="22"/>
  <c r="Y17" i="22"/>
  <c r="Z16" i="22"/>
  <c r="Y16" i="22"/>
  <c r="Z15" i="22"/>
  <c r="Y15" i="22"/>
  <c r="Z14" i="22"/>
  <c r="Y14" i="22"/>
  <c r="Z13" i="22"/>
  <c r="Y13" i="22"/>
  <c r="Z12" i="22"/>
  <c r="Y12" i="22"/>
  <c r="Z11" i="22"/>
  <c r="Y11" i="22"/>
  <c r="Z10" i="22"/>
  <c r="Y10" i="22"/>
  <c r="Z9" i="22"/>
  <c r="Y9" i="22"/>
  <c r="Z8" i="22"/>
  <c r="Y8" i="22"/>
  <c r="Z7" i="22"/>
  <c r="Y7" i="22"/>
  <c r="Z6" i="22"/>
  <c r="Y6" i="22"/>
  <c r="Z5" i="22"/>
  <c r="Y5" i="22"/>
  <c r="Z4" i="22"/>
  <c r="Y4" i="22"/>
  <c r="Z3" i="22"/>
  <c r="Y3" i="22"/>
  <c r="S3" i="22"/>
  <c r="K22" i="1" s="1"/>
  <c r="O3" i="22"/>
  <c r="M3" i="22"/>
  <c r="AA2" i="22"/>
  <c r="AC22" i="1" s="1"/>
  <c r="Z2" i="22"/>
  <c r="Y2" i="22"/>
  <c r="I42" i="22"/>
  <c r="H42" i="22"/>
  <c r="P3" i="22" s="1"/>
  <c r="G42" i="22"/>
  <c r="N3" i="22" s="1"/>
  <c r="R3" i="22" s="1"/>
  <c r="I22" i="1" s="1"/>
  <c r="F42" i="22"/>
  <c r="E42" i="22"/>
  <c r="K41" i="22"/>
  <c r="K40" i="22"/>
  <c r="K39" i="22"/>
  <c r="K38" i="22"/>
  <c r="K37" i="22"/>
  <c r="K36" i="22"/>
  <c r="K35" i="22"/>
  <c r="K34" i="22"/>
  <c r="K33" i="22"/>
  <c r="K32" i="22"/>
  <c r="K31" i="22"/>
  <c r="K30" i="22"/>
  <c r="K29" i="22"/>
  <c r="K28" i="22"/>
  <c r="K27" i="22"/>
  <c r="K26" i="22"/>
  <c r="K25" i="22"/>
  <c r="K24" i="22"/>
  <c r="K23" i="22"/>
  <c r="K22" i="22"/>
  <c r="Z41" i="21"/>
  <c r="Y41" i="21"/>
  <c r="Z40" i="21"/>
  <c r="Y40" i="21"/>
  <c r="Z39" i="21"/>
  <c r="Y39" i="21"/>
  <c r="Z38" i="21"/>
  <c r="Y38" i="21"/>
  <c r="Z37" i="21"/>
  <c r="Y37" i="21"/>
  <c r="Z36" i="21"/>
  <c r="Y36" i="21"/>
  <c r="Z35" i="21"/>
  <c r="Y35" i="21"/>
  <c r="Z34" i="21"/>
  <c r="Y34" i="21"/>
  <c r="Z33" i="21"/>
  <c r="Y33" i="21"/>
  <c r="Z32" i="21"/>
  <c r="Y32" i="21"/>
  <c r="Z31" i="21"/>
  <c r="Y31" i="21"/>
  <c r="Z30" i="21"/>
  <c r="Y30" i="21"/>
  <c r="Z29" i="21"/>
  <c r="Y29" i="21"/>
  <c r="Z28" i="21"/>
  <c r="Y28" i="21"/>
  <c r="Z27" i="21"/>
  <c r="Y27" i="21"/>
  <c r="Z26" i="21"/>
  <c r="Y26" i="21"/>
  <c r="Z25" i="21"/>
  <c r="Y25" i="21"/>
  <c r="Z24" i="21"/>
  <c r="Y24" i="21"/>
  <c r="Z23" i="21"/>
  <c r="Y23" i="21"/>
  <c r="Z22" i="21"/>
  <c r="Y22" i="21"/>
  <c r="Z21" i="21"/>
  <c r="Y21" i="21"/>
  <c r="Z20" i="21"/>
  <c r="Y20" i="21"/>
  <c r="Z19" i="21"/>
  <c r="Y19" i="21"/>
  <c r="Z18" i="21"/>
  <c r="Y18" i="21"/>
  <c r="Z17" i="21"/>
  <c r="Y17" i="21"/>
  <c r="Z16" i="21"/>
  <c r="Y16" i="21"/>
  <c r="Z15" i="21"/>
  <c r="Y15" i="21"/>
  <c r="Z14" i="21"/>
  <c r="Y14" i="21"/>
  <c r="Z13" i="21"/>
  <c r="Y13" i="21"/>
  <c r="Z12" i="21"/>
  <c r="Y12" i="21"/>
  <c r="Z11" i="21"/>
  <c r="Y11" i="21"/>
  <c r="Z10" i="21"/>
  <c r="Y10" i="21"/>
  <c r="Z9" i="21"/>
  <c r="Y9" i="21"/>
  <c r="Z8" i="21"/>
  <c r="Y8" i="21"/>
  <c r="Z7" i="21"/>
  <c r="Y7" i="21"/>
  <c r="Z6" i="21"/>
  <c r="Y6" i="21"/>
  <c r="Z5" i="21"/>
  <c r="Y5" i="21"/>
  <c r="Z4" i="21"/>
  <c r="Y4" i="21"/>
  <c r="Z3" i="21"/>
  <c r="Y3" i="21"/>
  <c r="S3" i="21"/>
  <c r="K21" i="1" s="1"/>
  <c r="O3" i="21"/>
  <c r="M3" i="21"/>
  <c r="AA2" i="21"/>
  <c r="AC21" i="1" s="1"/>
  <c r="Z2" i="21"/>
  <c r="Y2" i="21"/>
  <c r="I42" i="21"/>
  <c r="H42" i="21"/>
  <c r="G42" i="21"/>
  <c r="N3" i="21" s="1"/>
  <c r="F42" i="21"/>
  <c r="E42" i="21"/>
  <c r="K41" i="21"/>
  <c r="K40" i="21"/>
  <c r="K39" i="21"/>
  <c r="K38" i="21"/>
  <c r="K37" i="21"/>
  <c r="K36" i="21"/>
  <c r="K35" i="21"/>
  <c r="K34" i="21"/>
  <c r="K33" i="21"/>
  <c r="K32" i="21"/>
  <c r="K31" i="21"/>
  <c r="K30" i="21"/>
  <c r="K29" i="21"/>
  <c r="K28" i="21"/>
  <c r="K27" i="21"/>
  <c r="K26" i="21"/>
  <c r="Z41" i="20"/>
  <c r="Y41" i="20"/>
  <c r="Z40" i="20"/>
  <c r="Y40" i="20"/>
  <c r="Z39" i="20"/>
  <c r="Y39" i="20"/>
  <c r="Z38" i="20"/>
  <c r="Y38" i="20"/>
  <c r="Z37" i="20"/>
  <c r="Y37" i="20"/>
  <c r="Z36" i="20"/>
  <c r="Y36" i="20"/>
  <c r="Z35" i="20"/>
  <c r="Y35" i="20"/>
  <c r="Z34" i="20"/>
  <c r="Y34" i="20"/>
  <c r="Z33" i="20"/>
  <c r="Y33" i="20"/>
  <c r="Z32" i="20"/>
  <c r="Y32" i="20"/>
  <c r="Z31" i="20"/>
  <c r="Y31" i="20"/>
  <c r="Z30" i="20"/>
  <c r="Y30" i="20"/>
  <c r="Z29" i="20"/>
  <c r="Y29" i="20"/>
  <c r="Z28" i="20"/>
  <c r="Y28" i="20"/>
  <c r="Z27" i="20"/>
  <c r="Y27" i="20"/>
  <c r="Z26" i="20"/>
  <c r="Y26" i="20"/>
  <c r="Z25" i="20"/>
  <c r="Y25" i="20"/>
  <c r="Z24" i="20"/>
  <c r="Y24" i="20"/>
  <c r="Z23" i="20"/>
  <c r="Y23" i="20"/>
  <c r="Z22" i="20"/>
  <c r="Y22" i="20"/>
  <c r="Z21" i="20"/>
  <c r="Y21" i="20"/>
  <c r="Z20" i="20"/>
  <c r="Y20" i="20"/>
  <c r="Z19" i="20"/>
  <c r="Y19" i="20"/>
  <c r="Z18" i="20"/>
  <c r="Y18" i="20"/>
  <c r="Z17" i="20"/>
  <c r="Y17" i="20"/>
  <c r="Z16" i="20"/>
  <c r="Y16" i="20"/>
  <c r="Z15" i="20"/>
  <c r="Y15" i="20"/>
  <c r="Z14" i="20"/>
  <c r="Y14" i="20"/>
  <c r="Z13" i="20"/>
  <c r="Y13" i="20"/>
  <c r="Z12" i="20"/>
  <c r="Y12" i="20"/>
  <c r="Z11" i="20"/>
  <c r="Y11" i="20"/>
  <c r="Z10" i="20"/>
  <c r="Y10" i="20"/>
  <c r="Z9" i="20"/>
  <c r="Y9" i="20"/>
  <c r="Z8" i="20"/>
  <c r="Y8" i="20"/>
  <c r="Z7" i="20"/>
  <c r="Y7" i="20"/>
  <c r="Z6" i="20"/>
  <c r="Y6" i="20"/>
  <c r="Z5" i="20"/>
  <c r="Y5" i="20"/>
  <c r="Z4" i="20"/>
  <c r="Y4" i="20"/>
  <c r="Z3" i="20"/>
  <c r="Y3" i="20"/>
  <c r="S3" i="20"/>
  <c r="K20" i="1" s="1"/>
  <c r="O3" i="20"/>
  <c r="M3" i="20"/>
  <c r="AA2" i="20"/>
  <c r="AC20" i="1" s="1"/>
  <c r="Z2" i="20"/>
  <c r="Y2" i="20"/>
  <c r="I42" i="20"/>
  <c r="H42" i="20"/>
  <c r="G42" i="20"/>
  <c r="N3" i="20" s="1"/>
  <c r="F42" i="20"/>
  <c r="E42" i="20"/>
  <c r="K41" i="20"/>
  <c r="K40" i="20"/>
  <c r="K39" i="20"/>
  <c r="K38" i="20"/>
  <c r="K37" i="20"/>
  <c r="K36" i="20"/>
  <c r="K35" i="20"/>
  <c r="K34" i="20"/>
  <c r="K33" i="20"/>
  <c r="K32" i="20"/>
  <c r="K31" i="20"/>
  <c r="K30" i="20"/>
  <c r="K29" i="20"/>
  <c r="K28" i="20"/>
  <c r="K27" i="20"/>
  <c r="K26" i="20"/>
  <c r="B15" i="19"/>
  <c r="Z41" i="19"/>
  <c r="Y41" i="19"/>
  <c r="Z40" i="19"/>
  <c r="Y40" i="19"/>
  <c r="Z39" i="19"/>
  <c r="Y39" i="19"/>
  <c r="Z38" i="19"/>
  <c r="Y38" i="19"/>
  <c r="Z37" i="19"/>
  <c r="Y37" i="19"/>
  <c r="Z36" i="19"/>
  <c r="Y36" i="19"/>
  <c r="Z35" i="19"/>
  <c r="Y35" i="19"/>
  <c r="Z34" i="19"/>
  <c r="Y34" i="19"/>
  <c r="Z33" i="19"/>
  <c r="Y33" i="19"/>
  <c r="Z32" i="19"/>
  <c r="Y32" i="19"/>
  <c r="Z31" i="19"/>
  <c r="Y31" i="19"/>
  <c r="Z30" i="19"/>
  <c r="Y30" i="19"/>
  <c r="Z29" i="19"/>
  <c r="Y29" i="19"/>
  <c r="Z28" i="19"/>
  <c r="Y28" i="19"/>
  <c r="Z27" i="19"/>
  <c r="Y27" i="19"/>
  <c r="Z26" i="19"/>
  <c r="Y26" i="19"/>
  <c r="Z25" i="19"/>
  <c r="Y25" i="19"/>
  <c r="Z24" i="19"/>
  <c r="Y24" i="19"/>
  <c r="Z23" i="19"/>
  <c r="Y23" i="19"/>
  <c r="Z22" i="19"/>
  <c r="Y22" i="19"/>
  <c r="Z21" i="19"/>
  <c r="Y21" i="19"/>
  <c r="Z20" i="19"/>
  <c r="Y20" i="19"/>
  <c r="Z19" i="19"/>
  <c r="Y19" i="19"/>
  <c r="Z18" i="19"/>
  <c r="Y18" i="19"/>
  <c r="Z17" i="19"/>
  <c r="Y17" i="19"/>
  <c r="Z16" i="19"/>
  <c r="Y16" i="19"/>
  <c r="Z15" i="19"/>
  <c r="Y15" i="19"/>
  <c r="Z14" i="19"/>
  <c r="Y14" i="19"/>
  <c r="Z13" i="19"/>
  <c r="Y13" i="19"/>
  <c r="Z12" i="19"/>
  <c r="Y12" i="19"/>
  <c r="Z11" i="19"/>
  <c r="Y11" i="19"/>
  <c r="Z10" i="19"/>
  <c r="Y10" i="19"/>
  <c r="Z9" i="19"/>
  <c r="Y9" i="19"/>
  <c r="Z8" i="19"/>
  <c r="Y8" i="19"/>
  <c r="Z7" i="19"/>
  <c r="Y7" i="19"/>
  <c r="Z6" i="19"/>
  <c r="Y6" i="19"/>
  <c r="Z5" i="19"/>
  <c r="Y5" i="19"/>
  <c r="Z4" i="19"/>
  <c r="Y4" i="19"/>
  <c r="Z3" i="19"/>
  <c r="Y3" i="19"/>
  <c r="S3" i="19"/>
  <c r="K19" i="1" s="1"/>
  <c r="P3" i="19"/>
  <c r="O3" i="19"/>
  <c r="N3" i="19"/>
  <c r="R3" i="19" s="1"/>
  <c r="M3" i="19"/>
  <c r="AA2" i="19"/>
  <c r="AC19" i="1" s="1"/>
  <c r="Z2" i="19"/>
  <c r="Y2" i="19"/>
  <c r="I42" i="19"/>
  <c r="H42" i="19"/>
  <c r="G42" i="19"/>
  <c r="F42" i="19"/>
  <c r="E42" i="19"/>
  <c r="K41" i="19"/>
  <c r="K40" i="19"/>
  <c r="K39" i="19"/>
  <c r="K38" i="19"/>
  <c r="K37" i="19"/>
  <c r="K36" i="19"/>
  <c r="K35" i="19"/>
  <c r="K34" i="19"/>
  <c r="K33" i="19"/>
  <c r="K32" i="19"/>
  <c r="K31" i="19"/>
  <c r="K30" i="19"/>
  <c r="K29" i="19"/>
  <c r="K28" i="19"/>
  <c r="K27" i="19"/>
  <c r="K26" i="19"/>
  <c r="K25" i="19"/>
  <c r="K24" i="19"/>
  <c r="K23" i="19"/>
  <c r="Z41" i="18"/>
  <c r="Y41" i="18"/>
  <c r="Z40" i="18"/>
  <c r="Y40" i="18"/>
  <c r="Z39" i="18"/>
  <c r="Y39" i="18"/>
  <c r="Z38" i="18"/>
  <c r="Y38" i="18"/>
  <c r="Z37" i="18"/>
  <c r="Y37" i="18"/>
  <c r="Z36" i="18"/>
  <c r="Y36" i="18"/>
  <c r="Z35" i="18"/>
  <c r="Y35" i="18"/>
  <c r="Z34" i="18"/>
  <c r="Y34" i="18"/>
  <c r="Z33" i="18"/>
  <c r="Y33" i="18"/>
  <c r="Z32" i="18"/>
  <c r="Y32" i="18"/>
  <c r="Z31" i="18"/>
  <c r="Y31" i="18"/>
  <c r="Z30" i="18"/>
  <c r="Y30" i="18"/>
  <c r="Z29" i="18"/>
  <c r="Y29" i="18"/>
  <c r="Z28" i="18"/>
  <c r="Y28" i="18"/>
  <c r="Z27" i="18"/>
  <c r="Y27" i="18"/>
  <c r="Z26" i="18"/>
  <c r="Y26" i="18"/>
  <c r="Z25" i="18"/>
  <c r="Y25" i="18"/>
  <c r="Z24" i="18"/>
  <c r="Y24" i="18"/>
  <c r="Z23" i="18"/>
  <c r="Y23" i="18"/>
  <c r="Z22" i="18"/>
  <c r="Y22" i="18"/>
  <c r="Z21" i="18"/>
  <c r="Y21" i="18"/>
  <c r="Z20" i="18"/>
  <c r="Y20" i="18"/>
  <c r="Z19" i="18"/>
  <c r="Y19" i="18"/>
  <c r="Z18" i="18"/>
  <c r="Y18" i="18"/>
  <c r="Z17" i="18"/>
  <c r="Y17" i="18"/>
  <c r="Z16" i="18"/>
  <c r="Y16" i="18"/>
  <c r="Z15" i="18"/>
  <c r="Y15" i="18"/>
  <c r="Z14" i="18"/>
  <c r="Y14" i="18"/>
  <c r="Z13" i="18"/>
  <c r="Y13" i="18"/>
  <c r="Z12" i="18"/>
  <c r="Y12" i="18"/>
  <c r="Z11" i="18"/>
  <c r="Y11" i="18"/>
  <c r="Z10" i="18"/>
  <c r="Y10" i="18"/>
  <c r="Z9" i="18"/>
  <c r="Y9" i="18"/>
  <c r="Z8" i="18"/>
  <c r="Y8" i="18"/>
  <c r="Z7" i="18"/>
  <c r="Y7" i="18"/>
  <c r="Z6" i="18"/>
  <c r="Y6" i="18"/>
  <c r="Z5" i="18"/>
  <c r="Y5" i="18"/>
  <c r="Z4" i="18"/>
  <c r="Y4" i="18"/>
  <c r="Z3" i="18"/>
  <c r="Y3" i="18"/>
  <c r="S3" i="18"/>
  <c r="K18" i="1" s="1"/>
  <c r="O3" i="18"/>
  <c r="M3" i="18"/>
  <c r="AA2" i="18"/>
  <c r="AC18" i="1" s="1"/>
  <c r="Z2" i="18"/>
  <c r="Y2" i="18"/>
  <c r="I42" i="18"/>
  <c r="H42" i="18"/>
  <c r="P3" i="18" s="1"/>
  <c r="G42" i="18"/>
  <c r="N3" i="18" s="1"/>
  <c r="F42" i="18"/>
  <c r="E42" i="18"/>
  <c r="K41" i="18"/>
  <c r="K40" i="18"/>
  <c r="K39" i="18"/>
  <c r="K38" i="18"/>
  <c r="K37" i="18"/>
  <c r="K36" i="18"/>
  <c r="K35" i="18"/>
  <c r="K34" i="18"/>
  <c r="K33" i="18"/>
  <c r="K32" i="18"/>
  <c r="K31" i="18"/>
  <c r="K30" i="18"/>
  <c r="K29" i="18"/>
  <c r="K28" i="18"/>
  <c r="K27" i="18"/>
  <c r="K26" i="18"/>
  <c r="K25" i="18"/>
  <c r="K24" i="18"/>
  <c r="K23" i="18"/>
  <c r="B15" i="17"/>
  <c r="Z41" i="17"/>
  <c r="Y41" i="17"/>
  <c r="Z40" i="17"/>
  <c r="Y40" i="17"/>
  <c r="Z39" i="17"/>
  <c r="Y39" i="17"/>
  <c r="Z38" i="17"/>
  <c r="Y38" i="17"/>
  <c r="Z37" i="17"/>
  <c r="Y37" i="17"/>
  <c r="Z36" i="17"/>
  <c r="Y36" i="17"/>
  <c r="Z35" i="17"/>
  <c r="Y35" i="17"/>
  <c r="Z34" i="17"/>
  <c r="Y34" i="17"/>
  <c r="Z33" i="17"/>
  <c r="Y33" i="17"/>
  <c r="Z32" i="17"/>
  <c r="Y32" i="17"/>
  <c r="Z31" i="17"/>
  <c r="Y31" i="17"/>
  <c r="Z30" i="17"/>
  <c r="Y30" i="17"/>
  <c r="Z29" i="17"/>
  <c r="Y29" i="17"/>
  <c r="Z28" i="17"/>
  <c r="Y28" i="17"/>
  <c r="Z27" i="17"/>
  <c r="Y27" i="17"/>
  <c r="Z26" i="17"/>
  <c r="Y26" i="17"/>
  <c r="Z25" i="17"/>
  <c r="Y25" i="17"/>
  <c r="Z24" i="17"/>
  <c r="Y24" i="17"/>
  <c r="Z23" i="17"/>
  <c r="Y23" i="17"/>
  <c r="Z22" i="17"/>
  <c r="Y22" i="17"/>
  <c r="Z21" i="17"/>
  <c r="Y21" i="17"/>
  <c r="Z20" i="17"/>
  <c r="Y20" i="17"/>
  <c r="Z19" i="17"/>
  <c r="Y19" i="17"/>
  <c r="Z18" i="17"/>
  <c r="Y18" i="17"/>
  <c r="Z17" i="17"/>
  <c r="Y17" i="17"/>
  <c r="Z16" i="17"/>
  <c r="Y16" i="17"/>
  <c r="Z15" i="17"/>
  <c r="Y15" i="17"/>
  <c r="Z14" i="17"/>
  <c r="Y14" i="17"/>
  <c r="Z13" i="17"/>
  <c r="Y13" i="17"/>
  <c r="Z12" i="17"/>
  <c r="Y12" i="17"/>
  <c r="Z11" i="17"/>
  <c r="Y11" i="17"/>
  <c r="Z10" i="17"/>
  <c r="Y10" i="17"/>
  <c r="Z9" i="17"/>
  <c r="Y9" i="17"/>
  <c r="Z8" i="17"/>
  <c r="Y8" i="17"/>
  <c r="Z7" i="17"/>
  <c r="Y7" i="17"/>
  <c r="Z6" i="17"/>
  <c r="Y6" i="17"/>
  <c r="Z5" i="17"/>
  <c r="Y5" i="17"/>
  <c r="Z4" i="17"/>
  <c r="Y4" i="17"/>
  <c r="Z3" i="17"/>
  <c r="Y3" i="17"/>
  <c r="S3" i="17"/>
  <c r="K17" i="1" s="1"/>
  <c r="O3" i="17"/>
  <c r="N3" i="17"/>
  <c r="R3" i="17" s="1"/>
  <c r="M3" i="17"/>
  <c r="AA2" i="17"/>
  <c r="AC17" i="1" s="1"/>
  <c r="Z2" i="17"/>
  <c r="Y2" i="17"/>
  <c r="I42" i="17"/>
  <c r="P3" i="17" s="1"/>
  <c r="H42" i="17"/>
  <c r="G42" i="17"/>
  <c r="F42" i="17"/>
  <c r="E42" i="17"/>
  <c r="K41" i="17"/>
  <c r="K40" i="17"/>
  <c r="K39" i="17"/>
  <c r="K38" i="17"/>
  <c r="K37" i="17"/>
  <c r="K36" i="17"/>
  <c r="K35" i="17"/>
  <c r="K34" i="17"/>
  <c r="K33" i="17"/>
  <c r="K32" i="17"/>
  <c r="K31" i="17"/>
  <c r="K30" i="17"/>
  <c r="K29" i="17"/>
  <c r="K28" i="17"/>
  <c r="K27" i="17"/>
  <c r="K26" i="17"/>
  <c r="Z41" i="15"/>
  <c r="Y41" i="15"/>
  <c r="Z40" i="15"/>
  <c r="Y40" i="15"/>
  <c r="Z39" i="15"/>
  <c r="Y39" i="15"/>
  <c r="Z38" i="15"/>
  <c r="Y38" i="15"/>
  <c r="Z37" i="15"/>
  <c r="Y37" i="15"/>
  <c r="Z36" i="15"/>
  <c r="Y36" i="15"/>
  <c r="Z35" i="15"/>
  <c r="Y35" i="15"/>
  <c r="Z34" i="15"/>
  <c r="Y34" i="15"/>
  <c r="Z33" i="15"/>
  <c r="Y33" i="15"/>
  <c r="Z32" i="15"/>
  <c r="Y32" i="15"/>
  <c r="Z31" i="15"/>
  <c r="Y31" i="15"/>
  <c r="Z30" i="15"/>
  <c r="Y30" i="15"/>
  <c r="Z29" i="15"/>
  <c r="Y29" i="15"/>
  <c r="Z28" i="15"/>
  <c r="Y28" i="15"/>
  <c r="Z27" i="15"/>
  <c r="Y27" i="15"/>
  <c r="Z26" i="15"/>
  <c r="Y26" i="15"/>
  <c r="Z25" i="15"/>
  <c r="Y25" i="15"/>
  <c r="Z24" i="15"/>
  <c r="Y24" i="15"/>
  <c r="Z23" i="15"/>
  <c r="Y23" i="15"/>
  <c r="Z22" i="15"/>
  <c r="Y22" i="15"/>
  <c r="Z21" i="15"/>
  <c r="Y21" i="15"/>
  <c r="Z20" i="15"/>
  <c r="Y20" i="15"/>
  <c r="Z19" i="15"/>
  <c r="Y19" i="15"/>
  <c r="Z18" i="15"/>
  <c r="Y18" i="15"/>
  <c r="Z17" i="15"/>
  <c r="Y17" i="15"/>
  <c r="Z16" i="15"/>
  <c r="Y16" i="15"/>
  <c r="Z15" i="15"/>
  <c r="Y15" i="15"/>
  <c r="Z14" i="15"/>
  <c r="Y14" i="15"/>
  <c r="Z13" i="15"/>
  <c r="Y13" i="15"/>
  <c r="Z12" i="15"/>
  <c r="Y12" i="15"/>
  <c r="Z11" i="15"/>
  <c r="Y11" i="15"/>
  <c r="Z10" i="15"/>
  <c r="Y10" i="15"/>
  <c r="Z9" i="15"/>
  <c r="Y9" i="15"/>
  <c r="Z8" i="15"/>
  <c r="Y8" i="15"/>
  <c r="Z7" i="15"/>
  <c r="Y7" i="15"/>
  <c r="Z6" i="15"/>
  <c r="Y6" i="15"/>
  <c r="Z5" i="15"/>
  <c r="Y5" i="15"/>
  <c r="Z4" i="15"/>
  <c r="Y4" i="15"/>
  <c r="Z3" i="15"/>
  <c r="Y3" i="15"/>
  <c r="S3" i="15"/>
  <c r="K16" i="1" s="1"/>
  <c r="P3" i="15"/>
  <c r="O3" i="15"/>
  <c r="M3" i="15"/>
  <c r="AA2" i="15"/>
  <c r="AC16" i="1" s="1"/>
  <c r="Z2" i="15"/>
  <c r="Y2" i="15"/>
  <c r="I42" i="15"/>
  <c r="H42" i="15"/>
  <c r="G42" i="15"/>
  <c r="N3" i="15" s="1"/>
  <c r="F42" i="15"/>
  <c r="E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B15" i="14"/>
  <c r="Z41" i="14"/>
  <c r="Y41" i="14"/>
  <c r="Z40" i="14"/>
  <c r="Y40" i="14"/>
  <c r="Z39" i="14"/>
  <c r="Y39" i="14"/>
  <c r="Z38" i="14"/>
  <c r="Y38" i="14"/>
  <c r="Z37" i="14"/>
  <c r="Y37" i="14"/>
  <c r="Z36" i="14"/>
  <c r="Y36" i="14"/>
  <c r="Z35" i="14"/>
  <c r="Y35" i="14"/>
  <c r="Z34" i="14"/>
  <c r="Y34" i="14"/>
  <c r="Z33" i="14"/>
  <c r="Y33" i="14"/>
  <c r="Z32" i="14"/>
  <c r="Y32" i="14"/>
  <c r="Z31" i="14"/>
  <c r="Y31" i="14"/>
  <c r="Z30" i="14"/>
  <c r="Y30" i="14"/>
  <c r="Z29" i="14"/>
  <c r="Y29" i="14"/>
  <c r="Z28" i="14"/>
  <c r="Y28" i="14"/>
  <c r="Z27" i="14"/>
  <c r="Y27" i="14"/>
  <c r="Z26" i="14"/>
  <c r="Y26" i="14"/>
  <c r="Z25" i="14"/>
  <c r="Y25" i="14"/>
  <c r="Z24" i="14"/>
  <c r="Y24" i="14"/>
  <c r="Z23" i="14"/>
  <c r="Y23" i="14"/>
  <c r="Z22" i="14"/>
  <c r="Y22" i="14"/>
  <c r="Z21" i="14"/>
  <c r="Y21" i="14"/>
  <c r="Z20" i="14"/>
  <c r="Y20" i="14"/>
  <c r="Z19" i="14"/>
  <c r="Y19" i="14"/>
  <c r="Z18" i="14"/>
  <c r="Y18" i="14"/>
  <c r="Z17" i="14"/>
  <c r="Y17" i="14"/>
  <c r="Z16" i="14"/>
  <c r="Y16" i="14"/>
  <c r="Z15" i="14"/>
  <c r="Y15" i="14"/>
  <c r="Z14" i="14"/>
  <c r="Y14" i="14"/>
  <c r="Z13" i="14"/>
  <c r="Y13" i="14"/>
  <c r="Z12" i="14"/>
  <c r="Y12" i="14"/>
  <c r="Z11" i="14"/>
  <c r="Y11" i="14"/>
  <c r="Z10" i="14"/>
  <c r="Y10" i="14"/>
  <c r="Z9" i="14"/>
  <c r="Y9" i="14"/>
  <c r="Z8" i="14"/>
  <c r="Y8" i="14"/>
  <c r="Z7" i="14"/>
  <c r="Y7" i="14"/>
  <c r="Z6" i="14"/>
  <c r="Y6" i="14"/>
  <c r="Z5" i="14"/>
  <c r="Y5" i="14"/>
  <c r="Z4" i="14"/>
  <c r="Y4" i="14"/>
  <c r="Z3" i="14"/>
  <c r="Y3" i="14"/>
  <c r="S3" i="14"/>
  <c r="K15" i="1" s="1"/>
  <c r="O3" i="14"/>
  <c r="N3" i="14"/>
  <c r="R3" i="14" s="1"/>
  <c r="I15" i="1" s="1"/>
  <c r="M3" i="14"/>
  <c r="AA2" i="14"/>
  <c r="AC15" i="1" s="1"/>
  <c r="Z2" i="14"/>
  <c r="Y2" i="14"/>
  <c r="I42" i="14"/>
  <c r="P3" i="14" s="1"/>
  <c r="H42" i="14"/>
  <c r="G42" i="14"/>
  <c r="F42" i="14"/>
  <c r="E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B15" i="13"/>
  <c r="B13" i="13"/>
  <c r="B13" i="10"/>
  <c r="Z41" i="13"/>
  <c r="Y41" i="13"/>
  <c r="Z40" i="13"/>
  <c r="Y40" i="13"/>
  <c r="Z39" i="13"/>
  <c r="Y39" i="13"/>
  <c r="Z38" i="13"/>
  <c r="Y38" i="13"/>
  <c r="Z37" i="13"/>
  <c r="Y37" i="13"/>
  <c r="Z36" i="13"/>
  <c r="Y36" i="13"/>
  <c r="Z35" i="13"/>
  <c r="Y35" i="13"/>
  <c r="Z34" i="13"/>
  <c r="Y34" i="13"/>
  <c r="Z33" i="13"/>
  <c r="Y33" i="13"/>
  <c r="Z32" i="13"/>
  <c r="Y32" i="13"/>
  <c r="Z31" i="13"/>
  <c r="Y31" i="13"/>
  <c r="Z30" i="13"/>
  <c r="Y30" i="13"/>
  <c r="Z29" i="13"/>
  <c r="Y29" i="13"/>
  <c r="Z28" i="13"/>
  <c r="Y28" i="13"/>
  <c r="Z27" i="13"/>
  <c r="Y27" i="13"/>
  <c r="Z26" i="13"/>
  <c r="Y26" i="13"/>
  <c r="Z25" i="13"/>
  <c r="Y25" i="13"/>
  <c r="Z24" i="13"/>
  <c r="Y24" i="13"/>
  <c r="Z23" i="13"/>
  <c r="Y23" i="13"/>
  <c r="Z22" i="13"/>
  <c r="Y22" i="13"/>
  <c r="Z21" i="13"/>
  <c r="Y21" i="13"/>
  <c r="Z20" i="13"/>
  <c r="Y20" i="13"/>
  <c r="Z19" i="13"/>
  <c r="Y19" i="13"/>
  <c r="Z18" i="13"/>
  <c r="Y18" i="13"/>
  <c r="Z17" i="13"/>
  <c r="Y17" i="13"/>
  <c r="Z16" i="13"/>
  <c r="Y16" i="13"/>
  <c r="Z15" i="13"/>
  <c r="Y15" i="13"/>
  <c r="Z14" i="13"/>
  <c r="Y14" i="13"/>
  <c r="Z13" i="13"/>
  <c r="Y13" i="13"/>
  <c r="Z12" i="13"/>
  <c r="Y12" i="13"/>
  <c r="Z11" i="13"/>
  <c r="Y11" i="13"/>
  <c r="Z10" i="13"/>
  <c r="Y10" i="13"/>
  <c r="Z9" i="13"/>
  <c r="Y9" i="13"/>
  <c r="Z8" i="13"/>
  <c r="Y8" i="13"/>
  <c r="Z7" i="13"/>
  <c r="Y7" i="13"/>
  <c r="Z6" i="13"/>
  <c r="Y6" i="13"/>
  <c r="Z5" i="13"/>
  <c r="Y5" i="13"/>
  <c r="Z4" i="13"/>
  <c r="Y4" i="13"/>
  <c r="Z3" i="13"/>
  <c r="Y3" i="13"/>
  <c r="S3" i="13"/>
  <c r="K14" i="1" s="1"/>
  <c r="P3" i="13"/>
  <c r="M3" i="13"/>
  <c r="AA2" i="13"/>
  <c r="AC14" i="1" s="1"/>
  <c r="Z2" i="13"/>
  <c r="Y2" i="13"/>
  <c r="I42" i="13"/>
  <c r="H42" i="13"/>
  <c r="G42" i="13"/>
  <c r="N3" i="13" s="1"/>
  <c r="F42" i="13"/>
  <c r="O3" i="13" s="1"/>
  <c r="E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7" i="13"/>
  <c r="K26" i="13"/>
  <c r="K25" i="13"/>
  <c r="K24" i="13"/>
  <c r="K23" i="13"/>
  <c r="K22" i="13"/>
  <c r="K21" i="13"/>
  <c r="K20" i="13"/>
  <c r="K19" i="13"/>
  <c r="K18" i="13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Z34" i="10"/>
  <c r="Y34" i="10"/>
  <c r="Z33" i="10"/>
  <c r="Y33" i="10"/>
  <c r="Z32" i="10"/>
  <c r="Y32" i="10"/>
  <c r="Z31" i="10"/>
  <c r="Y31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5" i="10"/>
  <c r="Y5" i="10"/>
  <c r="Z4" i="10"/>
  <c r="Y4" i="10"/>
  <c r="Z3" i="10"/>
  <c r="Y3" i="10"/>
  <c r="S3" i="10"/>
  <c r="K13" i="1" s="1"/>
  <c r="M3" i="10"/>
  <c r="AA2" i="10"/>
  <c r="AC13" i="1" s="1"/>
  <c r="Z2" i="10"/>
  <c r="Y2" i="10"/>
  <c r="I42" i="10"/>
  <c r="H42" i="10"/>
  <c r="P3" i="10" s="1"/>
  <c r="G42" i="10"/>
  <c r="N3" i="10" s="1"/>
  <c r="B15" i="10" s="1"/>
  <c r="F42" i="10"/>
  <c r="O3" i="10" s="1"/>
  <c r="E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B15" i="12"/>
  <c r="Z41" i="12"/>
  <c r="Y41" i="12"/>
  <c r="Z40" i="12"/>
  <c r="Y40" i="12"/>
  <c r="Z39" i="12"/>
  <c r="Y39" i="12"/>
  <c r="Z38" i="12"/>
  <c r="Y38" i="12"/>
  <c r="Z37" i="12"/>
  <c r="Y37" i="12"/>
  <c r="Z36" i="12"/>
  <c r="Y36" i="12"/>
  <c r="Z35" i="12"/>
  <c r="Y35" i="12"/>
  <c r="Z34" i="12"/>
  <c r="Y34" i="12"/>
  <c r="Z33" i="12"/>
  <c r="Y33" i="12"/>
  <c r="Z32" i="12"/>
  <c r="Y32" i="12"/>
  <c r="Z31" i="12"/>
  <c r="Y31" i="12"/>
  <c r="Z30" i="12"/>
  <c r="Y30" i="12"/>
  <c r="Z29" i="12"/>
  <c r="Y29" i="12"/>
  <c r="Z28" i="12"/>
  <c r="Y28" i="12"/>
  <c r="Z27" i="12"/>
  <c r="Y27" i="12"/>
  <c r="Z26" i="12"/>
  <c r="Y26" i="12"/>
  <c r="Z25" i="12"/>
  <c r="Y25" i="12"/>
  <c r="Z24" i="12"/>
  <c r="Y24" i="12"/>
  <c r="Z23" i="12"/>
  <c r="Y23" i="12"/>
  <c r="Z22" i="12"/>
  <c r="Y22" i="12"/>
  <c r="Z21" i="12"/>
  <c r="Y21" i="12"/>
  <c r="Z20" i="12"/>
  <c r="Y20" i="12"/>
  <c r="Z19" i="12"/>
  <c r="Y19" i="12"/>
  <c r="Z18" i="12"/>
  <c r="Y18" i="12"/>
  <c r="Z17" i="12"/>
  <c r="Y17" i="12"/>
  <c r="Z16" i="12"/>
  <c r="Y16" i="12"/>
  <c r="Z15" i="12"/>
  <c r="Y15" i="12"/>
  <c r="Z14" i="12"/>
  <c r="Y14" i="12"/>
  <c r="Z13" i="12"/>
  <c r="Y13" i="12"/>
  <c r="Z12" i="12"/>
  <c r="Y12" i="12"/>
  <c r="Z11" i="12"/>
  <c r="Y11" i="12"/>
  <c r="Z10" i="12"/>
  <c r="Y10" i="12"/>
  <c r="Z9" i="12"/>
  <c r="Y9" i="12"/>
  <c r="Z8" i="12"/>
  <c r="Y8" i="12"/>
  <c r="Z7" i="12"/>
  <c r="Y7" i="12"/>
  <c r="Z6" i="12"/>
  <c r="Y6" i="12"/>
  <c r="Z5" i="12"/>
  <c r="Y5" i="12"/>
  <c r="Z4" i="12"/>
  <c r="Y4" i="12"/>
  <c r="Z3" i="12"/>
  <c r="Y3" i="12"/>
  <c r="S3" i="12"/>
  <c r="K12" i="1" s="1"/>
  <c r="P3" i="12"/>
  <c r="O3" i="12"/>
  <c r="N3" i="12"/>
  <c r="R3" i="12" s="1"/>
  <c r="M3" i="12"/>
  <c r="AA2" i="12"/>
  <c r="AC12" i="1" s="1"/>
  <c r="Z2" i="12"/>
  <c r="Y2" i="12"/>
  <c r="I42" i="12"/>
  <c r="H42" i="12"/>
  <c r="G42" i="12"/>
  <c r="F42" i="12"/>
  <c r="E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Z41" i="11"/>
  <c r="Y41" i="11"/>
  <c r="Z40" i="11"/>
  <c r="Y40" i="11"/>
  <c r="Z39" i="11"/>
  <c r="Y39" i="11"/>
  <c r="Z38" i="11"/>
  <c r="Y38" i="11"/>
  <c r="Z37" i="11"/>
  <c r="Y37" i="11"/>
  <c r="Z36" i="11"/>
  <c r="Y36" i="11"/>
  <c r="Z35" i="11"/>
  <c r="Y35" i="11"/>
  <c r="Z34" i="11"/>
  <c r="Y34" i="11"/>
  <c r="Z33" i="11"/>
  <c r="Y33" i="11"/>
  <c r="Z32" i="11"/>
  <c r="Y32" i="11"/>
  <c r="Z31" i="11"/>
  <c r="Y31" i="11"/>
  <c r="Z30" i="11"/>
  <c r="Y30" i="11"/>
  <c r="Z29" i="11"/>
  <c r="Y29" i="11"/>
  <c r="Z28" i="11"/>
  <c r="Y28" i="11"/>
  <c r="Z27" i="11"/>
  <c r="Y27" i="11"/>
  <c r="Z26" i="11"/>
  <c r="Y26" i="11"/>
  <c r="Z25" i="11"/>
  <c r="Y25" i="11"/>
  <c r="Z24" i="11"/>
  <c r="Y24" i="11"/>
  <c r="Z23" i="11"/>
  <c r="Y23" i="11"/>
  <c r="Z22" i="11"/>
  <c r="Y22" i="11"/>
  <c r="Z21" i="11"/>
  <c r="Y21" i="11"/>
  <c r="Z20" i="11"/>
  <c r="Y20" i="11"/>
  <c r="Z19" i="11"/>
  <c r="Y19" i="11"/>
  <c r="Z18" i="11"/>
  <c r="Y18" i="11"/>
  <c r="Z17" i="11"/>
  <c r="Y17" i="11"/>
  <c r="Z16" i="11"/>
  <c r="Y16" i="11"/>
  <c r="Z15" i="11"/>
  <c r="Y15" i="11"/>
  <c r="Z14" i="11"/>
  <c r="Y14" i="11"/>
  <c r="Z13" i="11"/>
  <c r="Y13" i="11"/>
  <c r="Z12" i="11"/>
  <c r="Y12" i="11"/>
  <c r="Z11" i="11"/>
  <c r="Y11" i="11"/>
  <c r="Z10" i="11"/>
  <c r="Y10" i="11"/>
  <c r="Z9" i="11"/>
  <c r="Y9" i="11"/>
  <c r="Z8" i="11"/>
  <c r="Y8" i="11"/>
  <c r="Z7" i="11"/>
  <c r="Y7" i="11"/>
  <c r="Z6" i="11"/>
  <c r="Y6" i="11"/>
  <c r="Z5" i="11"/>
  <c r="Y5" i="11"/>
  <c r="Z4" i="11"/>
  <c r="Y4" i="11"/>
  <c r="Z3" i="11"/>
  <c r="Y3" i="11"/>
  <c r="S3" i="11"/>
  <c r="K11" i="1" s="1"/>
  <c r="O3" i="11"/>
  <c r="M3" i="11"/>
  <c r="AA2" i="11"/>
  <c r="AC11" i="1" s="1"/>
  <c r="Z2" i="11"/>
  <c r="Y2" i="11"/>
  <c r="I42" i="11"/>
  <c r="H42" i="11"/>
  <c r="G42" i="11"/>
  <c r="N3" i="11" s="1"/>
  <c r="R3" i="11" s="1"/>
  <c r="I11" i="1" s="1"/>
  <c r="F42" i="11"/>
  <c r="E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B15" i="9"/>
  <c r="Z41" i="9"/>
  <c r="Y41" i="9"/>
  <c r="Z40" i="9"/>
  <c r="Y40" i="9"/>
  <c r="Z39" i="9"/>
  <c r="Y39" i="9"/>
  <c r="Z38" i="9"/>
  <c r="Y38" i="9"/>
  <c r="Z37" i="9"/>
  <c r="Y37" i="9"/>
  <c r="Z36" i="9"/>
  <c r="Y36" i="9"/>
  <c r="Z35" i="9"/>
  <c r="Y35" i="9"/>
  <c r="Z34" i="9"/>
  <c r="Y34" i="9"/>
  <c r="Z33" i="9"/>
  <c r="Y33" i="9"/>
  <c r="Z32" i="9"/>
  <c r="Y32" i="9"/>
  <c r="Z31" i="9"/>
  <c r="Y31" i="9"/>
  <c r="Z30" i="9"/>
  <c r="Y30" i="9"/>
  <c r="Z29" i="9"/>
  <c r="Y29" i="9"/>
  <c r="Z28" i="9"/>
  <c r="Y28" i="9"/>
  <c r="Z27" i="9"/>
  <c r="Y27" i="9"/>
  <c r="Z26" i="9"/>
  <c r="Y26" i="9"/>
  <c r="Z25" i="9"/>
  <c r="Y25" i="9"/>
  <c r="Z24" i="9"/>
  <c r="Y24" i="9"/>
  <c r="Z23" i="9"/>
  <c r="Y23" i="9"/>
  <c r="Z22" i="9"/>
  <c r="Y22" i="9"/>
  <c r="Z21" i="9"/>
  <c r="Y21" i="9"/>
  <c r="Z20" i="9"/>
  <c r="Y20" i="9"/>
  <c r="Z19" i="9"/>
  <c r="Y19" i="9"/>
  <c r="Z18" i="9"/>
  <c r="Y18" i="9"/>
  <c r="Z17" i="9"/>
  <c r="Y17" i="9"/>
  <c r="Z16" i="9"/>
  <c r="Y16" i="9"/>
  <c r="Z15" i="9"/>
  <c r="Y15" i="9"/>
  <c r="Z14" i="9"/>
  <c r="Y14" i="9"/>
  <c r="Z13" i="9"/>
  <c r="Y13" i="9"/>
  <c r="Z12" i="9"/>
  <c r="Y12" i="9"/>
  <c r="Z11" i="9"/>
  <c r="Y11" i="9"/>
  <c r="Z10" i="9"/>
  <c r="Y10" i="9"/>
  <c r="Z9" i="9"/>
  <c r="Y9" i="9"/>
  <c r="Z8" i="9"/>
  <c r="Y8" i="9"/>
  <c r="Z7" i="9"/>
  <c r="Y7" i="9"/>
  <c r="Z6" i="9"/>
  <c r="Y6" i="9"/>
  <c r="Z5" i="9"/>
  <c r="Y5" i="9"/>
  <c r="Z4" i="9"/>
  <c r="Y4" i="9"/>
  <c r="Z3" i="9"/>
  <c r="Y3" i="9"/>
  <c r="S3" i="9"/>
  <c r="K10" i="1" s="1"/>
  <c r="P3" i="9"/>
  <c r="O3" i="9"/>
  <c r="N3" i="9"/>
  <c r="R3" i="9" s="1"/>
  <c r="M3" i="9"/>
  <c r="AA2" i="9"/>
  <c r="AC10" i="1" s="1"/>
  <c r="Z2" i="9"/>
  <c r="Y2" i="9"/>
  <c r="I42" i="9"/>
  <c r="H42" i="9"/>
  <c r="G42" i="9"/>
  <c r="F42" i="9"/>
  <c r="E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B15" i="8"/>
  <c r="Z41" i="8"/>
  <c r="Y41" i="8"/>
  <c r="Z40" i="8"/>
  <c r="Y40" i="8"/>
  <c r="Z39" i="8"/>
  <c r="Y39" i="8"/>
  <c r="Z38" i="8"/>
  <c r="Y38" i="8"/>
  <c r="Z37" i="8"/>
  <c r="Y37" i="8"/>
  <c r="Z36" i="8"/>
  <c r="Y36" i="8"/>
  <c r="Z35" i="8"/>
  <c r="Y35" i="8"/>
  <c r="Z34" i="8"/>
  <c r="Y34" i="8"/>
  <c r="Z33" i="8"/>
  <c r="Y33" i="8"/>
  <c r="Z32" i="8"/>
  <c r="Y32" i="8"/>
  <c r="Z31" i="8"/>
  <c r="Y31" i="8"/>
  <c r="Z30" i="8"/>
  <c r="Y30" i="8"/>
  <c r="Z29" i="8"/>
  <c r="Y29" i="8"/>
  <c r="Z28" i="8"/>
  <c r="Y28" i="8"/>
  <c r="Z27" i="8"/>
  <c r="Y27" i="8"/>
  <c r="Z26" i="8"/>
  <c r="Y26" i="8"/>
  <c r="Z25" i="8"/>
  <c r="Y25" i="8"/>
  <c r="Z24" i="8"/>
  <c r="Y24" i="8"/>
  <c r="Z23" i="8"/>
  <c r="Y23" i="8"/>
  <c r="Z22" i="8"/>
  <c r="Y22" i="8"/>
  <c r="Z21" i="8"/>
  <c r="Y21" i="8"/>
  <c r="Z20" i="8"/>
  <c r="Y20" i="8"/>
  <c r="Z19" i="8"/>
  <c r="Y19" i="8"/>
  <c r="Z18" i="8"/>
  <c r="Y18" i="8"/>
  <c r="Z17" i="8"/>
  <c r="Y17" i="8"/>
  <c r="Z16" i="8"/>
  <c r="Y16" i="8"/>
  <c r="Z15" i="8"/>
  <c r="Y15" i="8"/>
  <c r="Z14" i="8"/>
  <c r="Y14" i="8"/>
  <c r="Z13" i="8"/>
  <c r="Y13" i="8"/>
  <c r="Z12" i="8"/>
  <c r="Y12" i="8"/>
  <c r="Z11" i="8"/>
  <c r="Y11" i="8"/>
  <c r="Z10" i="8"/>
  <c r="Y10" i="8"/>
  <c r="Z9" i="8"/>
  <c r="Y9" i="8"/>
  <c r="Z8" i="8"/>
  <c r="Y8" i="8"/>
  <c r="Z7" i="8"/>
  <c r="Y7" i="8"/>
  <c r="Z6" i="8"/>
  <c r="Y6" i="8"/>
  <c r="Z5" i="8"/>
  <c r="Y5" i="8"/>
  <c r="Z4" i="8"/>
  <c r="Y4" i="8"/>
  <c r="Z3" i="8"/>
  <c r="Y3" i="8"/>
  <c r="S3" i="8"/>
  <c r="K9" i="1" s="1"/>
  <c r="P3" i="8"/>
  <c r="O3" i="8"/>
  <c r="N3" i="8"/>
  <c r="R3" i="8" s="1"/>
  <c r="M3" i="8"/>
  <c r="AA2" i="8"/>
  <c r="AC9" i="1" s="1"/>
  <c r="Z2" i="8"/>
  <c r="Y2" i="8"/>
  <c r="I42" i="8"/>
  <c r="H42" i="8"/>
  <c r="G42" i="8"/>
  <c r="F42" i="8"/>
  <c r="E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B15" i="7"/>
  <c r="Z41" i="7"/>
  <c r="Y41" i="7"/>
  <c r="Z40" i="7"/>
  <c r="Y40" i="7"/>
  <c r="Z39" i="7"/>
  <c r="Y39" i="7"/>
  <c r="Z38" i="7"/>
  <c r="Y38" i="7"/>
  <c r="Z37" i="7"/>
  <c r="Y37" i="7"/>
  <c r="Z36" i="7"/>
  <c r="Y36" i="7"/>
  <c r="Z35" i="7"/>
  <c r="Y35" i="7"/>
  <c r="Z34" i="7"/>
  <c r="Y34" i="7"/>
  <c r="Z33" i="7"/>
  <c r="Y33" i="7"/>
  <c r="Z32" i="7"/>
  <c r="Y32" i="7"/>
  <c r="Z31" i="7"/>
  <c r="Y31" i="7"/>
  <c r="Z30" i="7"/>
  <c r="Y30" i="7"/>
  <c r="Z29" i="7"/>
  <c r="Y29" i="7"/>
  <c r="Z28" i="7"/>
  <c r="Y28" i="7"/>
  <c r="Z27" i="7"/>
  <c r="Y27" i="7"/>
  <c r="Z26" i="7"/>
  <c r="Y26" i="7"/>
  <c r="Z25" i="7"/>
  <c r="Y25" i="7"/>
  <c r="Z24" i="7"/>
  <c r="Y24" i="7"/>
  <c r="Z23" i="7"/>
  <c r="Y23" i="7"/>
  <c r="Z22" i="7"/>
  <c r="Y22" i="7"/>
  <c r="Z21" i="7"/>
  <c r="Y21" i="7"/>
  <c r="Z20" i="7"/>
  <c r="Y20" i="7"/>
  <c r="Z19" i="7"/>
  <c r="Y19" i="7"/>
  <c r="Z18" i="7"/>
  <c r="Y18" i="7"/>
  <c r="Z17" i="7"/>
  <c r="Y17" i="7"/>
  <c r="Z16" i="7"/>
  <c r="Y16" i="7"/>
  <c r="Z15" i="7"/>
  <c r="Y15" i="7"/>
  <c r="Z14" i="7"/>
  <c r="Y14" i="7"/>
  <c r="Z13" i="7"/>
  <c r="Y13" i="7"/>
  <c r="Z12" i="7"/>
  <c r="Y12" i="7"/>
  <c r="Z11" i="7"/>
  <c r="Y11" i="7"/>
  <c r="Z10" i="7"/>
  <c r="Y10" i="7"/>
  <c r="Z9" i="7"/>
  <c r="Y9" i="7"/>
  <c r="Z8" i="7"/>
  <c r="Y8" i="7"/>
  <c r="Z7" i="7"/>
  <c r="Y7" i="7"/>
  <c r="Z6" i="7"/>
  <c r="Y6" i="7"/>
  <c r="Z5" i="7"/>
  <c r="Y5" i="7"/>
  <c r="Z4" i="7"/>
  <c r="Y4" i="7"/>
  <c r="Z3" i="7"/>
  <c r="Y3" i="7"/>
  <c r="S3" i="7"/>
  <c r="K8" i="1" s="1"/>
  <c r="P3" i="7"/>
  <c r="O3" i="7"/>
  <c r="N3" i="7"/>
  <c r="R3" i="7" s="1"/>
  <c r="M3" i="7"/>
  <c r="AA2" i="7"/>
  <c r="AC8" i="1" s="1"/>
  <c r="Z2" i="7"/>
  <c r="Y2" i="7"/>
  <c r="I42" i="7"/>
  <c r="H42" i="7"/>
  <c r="G42" i="7"/>
  <c r="F42" i="7"/>
  <c r="E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B15" i="6"/>
  <c r="B15" i="5"/>
  <c r="Z41" i="6"/>
  <c r="Y41" i="6"/>
  <c r="Z40" i="6"/>
  <c r="Y40" i="6"/>
  <c r="Z39" i="6"/>
  <c r="Y39" i="6"/>
  <c r="Z38" i="6"/>
  <c r="Y38" i="6"/>
  <c r="Z37" i="6"/>
  <c r="Y37" i="6"/>
  <c r="Z36" i="6"/>
  <c r="Y36" i="6"/>
  <c r="Z35" i="6"/>
  <c r="Y35" i="6"/>
  <c r="Z34" i="6"/>
  <c r="Y34" i="6"/>
  <c r="Z33" i="6"/>
  <c r="Y33" i="6"/>
  <c r="Z32" i="6"/>
  <c r="Y32" i="6"/>
  <c r="Z31" i="6"/>
  <c r="Y31" i="6"/>
  <c r="Z30" i="6"/>
  <c r="Y30" i="6"/>
  <c r="Z29" i="6"/>
  <c r="Y29" i="6"/>
  <c r="Z28" i="6"/>
  <c r="Y28" i="6"/>
  <c r="Z27" i="6"/>
  <c r="Y27" i="6"/>
  <c r="Z26" i="6"/>
  <c r="Y26" i="6"/>
  <c r="Z25" i="6"/>
  <c r="Y25" i="6"/>
  <c r="Z24" i="6"/>
  <c r="Y24" i="6"/>
  <c r="Z23" i="6"/>
  <c r="Y23" i="6"/>
  <c r="Z22" i="6"/>
  <c r="Y22" i="6"/>
  <c r="Z21" i="6"/>
  <c r="Y21" i="6"/>
  <c r="Z20" i="6"/>
  <c r="Y20" i="6"/>
  <c r="Z19" i="6"/>
  <c r="Y19" i="6"/>
  <c r="Z18" i="6"/>
  <c r="Y18" i="6"/>
  <c r="Z17" i="6"/>
  <c r="Y17" i="6"/>
  <c r="Z16" i="6"/>
  <c r="Y16" i="6"/>
  <c r="Z15" i="6"/>
  <c r="Y15" i="6"/>
  <c r="Z14" i="6"/>
  <c r="Y14" i="6"/>
  <c r="Z13" i="6"/>
  <c r="Y13" i="6"/>
  <c r="Z12" i="6"/>
  <c r="Y12" i="6"/>
  <c r="Z11" i="6"/>
  <c r="Y11" i="6"/>
  <c r="Z10" i="6"/>
  <c r="Y10" i="6"/>
  <c r="Z9" i="6"/>
  <c r="Y9" i="6"/>
  <c r="Z8" i="6"/>
  <c r="Y8" i="6"/>
  <c r="Z7" i="6"/>
  <c r="Y7" i="6"/>
  <c r="Z6" i="6"/>
  <c r="Y6" i="6"/>
  <c r="Z5" i="6"/>
  <c r="Y5" i="6"/>
  <c r="Z4" i="6"/>
  <c r="Y4" i="6"/>
  <c r="Z3" i="6"/>
  <c r="Y3" i="6"/>
  <c r="S3" i="6"/>
  <c r="K7" i="1" s="1"/>
  <c r="P3" i="6"/>
  <c r="O3" i="6"/>
  <c r="N3" i="6"/>
  <c r="R3" i="6" s="1"/>
  <c r="M3" i="6"/>
  <c r="AA2" i="6"/>
  <c r="AC7" i="1" s="1"/>
  <c r="Z2" i="6"/>
  <c r="Y2" i="6"/>
  <c r="I42" i="6"/>
  <c r="H42" i="6"/>
  <c r="G42" i="6"/>
  <c r="F42" i="6"/>
  <c r="E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Z41" i="4"/>
  <c r="Y41" i="4"/>
  <c r="Z40" i="4"/>
  <c r="Y40" i="4"/>
  <c r="Z39" i="4"/>
  <c r="Y39" i="4"/>
  <c r="Z38" i="4"/>
  <c r="Y38" i="4"/>
  <c r="Z37" i="4"/>
  <c r="Y37" i="4"/>
  <c r="Z36" i="4"/>
  <c r="Y36" i="4"/>
  <c r="Z35" i="4"/>
  <c r="Y35" i="4"/>
  <c r="Z34" i="4"/>
  <c r="Y34" i="4"/>
  <c r="Z33" i="4"/>
  <c r="Y33" i="4"/>
  <c r="Z32" i="4"/>
  <c r="Y32" i="4"/>
  <c r="Z31" i="4"/>
  <c r="Y31" i="4"/>
  <c r="Z30" i="4"/>
  <c r="Y30" i="4"/>
  <c r="Z29" i="4"/>
  <c r="Y29" i="4"/>
  <c r="Z28" i="4"/>
  <c r="Y28" i="4"/>
  <c r="Z27" i="4"/>
  <c r="Y27" i="4"/>
  <c r="Z26" i="4"/>
  <c r="Y26" i="4"/>
  <c r="Z25" i="4"/>
  <c r="Y25" i="4"/>
  <c r="Z24" i="4"/>
  <c r="Y24" i="4"/>
  <c r="Z23" i="4"/>
  <c r="Y23" i="4"/>
  <c r="Z22" i="4"/>
  <c r="Y22" i="4"/>
  <c r="Z21" i="4"/>
  <c r="Y21" i="4"/>
  <c r="Z20" i="4"/>
  <c r="Y20" i="4"/>
  <c r="Z19" i="4"/>
  <c r="Y19" i="4"/>
  <c r="Z18" i="4"/>
  <c r="Y18" i="4"/>
  <c r="Z17" i="4"/>
  <c r="Y17" i="4"/>
  <c r="Z16" i="4"/>
  <c r="Y16" i="4"/>
  <c r="Z15" i="4"/>
  <c r="Y15" i="4"/>
  <c r="Z14" i="4"/>
  <c r="Y14" i="4"/>
  <c r="Z13" i="4"/>
  <c r="Y13" i="4"/>
  <c r="Z12" i="4"/>
  <c r="Y12" i="4"/>
  <c r="Z11" i="4"/>
  <c r="Y11" i="4"/>
  <c r="Z10" i="4"/>
  <c r="Y10" i="4"/>
  <c r="Z9" i="4"/>
  <c r="Y9" i="4"/>
  <c r="Z8" i="4"/>
  <c r="Y8" i="4"/>
  <c r="Z7" i="4"/>
  <c r="Y7" i="4"/>
  <c r="Z6" i="4"/>
  <c r="Y6" i="4"/>
  <c r="Z5" i="4"/>
  <c r="Y5" i="4"/>
  <c r="Z4" i="4"/>
  <c r="Y4" i="4"/>
  <c r="Z3" i="4"/>
  <c r="Y3" i="4"/>
  <c r="S3" i="4"/>
  <c r="K6" i="1" s="1"/>
  <c r="O3" i="4"/>
  <c r="M3" i="4"/>
  <c r="AA2" i="4"/>
  <c r="AC6" i="1" s="1"/>
  <c r="Z2" i="4"/>
  <c r="Y2" i="4"/>
  <c r="I42" i="4"/>
  <c r="H42" i="4"/>
  <c r="G42" i="4"/>
  <c r="N3" i="4" s="1"/>
  <c r="F42" i="4"/>
  <c r="E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I42" i="5"/>
  <c r="H42" i="5"/>
  <c r="G42" i="5"/>
  <c r="F42" i="5"/>
  <c r="E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Z41" i="5"/>
  <c r="Y41" i="5"/>
  <c r="Z40" i="5"/>
  <c r="Y40" i="5"/>
  <c r="Z39" i="5"/>
  <c r="Y39" i="5"/>
  <c r="Z38" i="5"/>
  <c r="Y38" i="5"/>
  <c r="Z37" i="5"/>
  <c r="Y37" i="5"/>
  <c r="Z36" i="5"/>
  <c r="Y36" i="5"/>
  <c r="Z35" i="5"/>
  <c r="Y35" i="5"/>
  <c r="Z34" i="5"/>
  <c r="Y34" i="5"/>
  <c r="Z33" i="5"/>
  <c r="Y33" i="5"/>
  <c r="Z32" i="5"/>
  <c r="Y32" i="5"/>
  <c r="Z31" i="5"/>
  <c r="Y31" i="5"/>
  <c r="Z30" i="5"/>
  <c r="Y30" i="5"/>
  <c r="Z29" i="5"/>
  <c r="Y29" i="5"/>
  <c r="Z28" i="5"/>
  <c r="Y28" i="5"/>
  <c r="Z27" i="5"/>
  <c r="Y27" i="5"/>
  <c r="Z26" i="5"/>
  <c r="Y26" i="5"/>
  <c r="Z25" i="5"/>
  <c r="Y25" i="5"/>
  <c r="Z24" i="5"/>
  <c r="Y24" i="5"/>
  <c r="Z23" i="5"/>
  <c r="Y23" i="5"/>
  <c r="Z22" i="5"/>
  <c r="Y22" i="5"/>
  <c r="Z21" i="5"/>
  <c r="Y21" i="5"/>
  <c r="Z20" i="5"/>
  <c r="Y20" i="5"/>
  <c r="Z19" i="5"/>
  <c r="Y19" i="5"/>
  <c r="Z18" i="5"/>
  <c r="Y18" i="5"/>
  <c r="Z17" i="5"/>
  <c r="Y17" i="5"/>
  <c r="Z16" i="5"/>
  <c r="Y16" i="5"/>
  <c r="Z15" i="5"/>
  <c r="Y15" i="5"/>
  <c r="Z14" i="5"/>
  <c r="Y14" i="5"/>
  <c r="Z13" i="5"/>
  <c r="Y13" i="5"/>
  <c r="Z12" i="5"/>
  <c r="Y12" i="5"/>
  <c r="Z11" i="5"/>
  <c r="Y11" i="5"/>
  <c r="Z10" i="5"/>
  <c r="Y10" i="5"/>
  <c r="Z9" i="5"/>
  <c r="Y9" i="5"/>
  <c r="Z8" i="5"/>
  <c r="Y8" i="5"/>
  <c r="Z7" i="5"/>
  <c r="Y7" i="5"/>
  <c r="Z6" i="5"/>
  <c r="Y6" i="5"/>
  <c r="Z5" i="5"/>
  <c r="Y5" i="5"/>
  <c r="Z4" i="5"/>
  <c r="Y4" i="5"/>
  <c r="Z3" i="5"/>
  <c r="Y3" i="5"/>
  <c r="S3" i="5"/>
  <c r="K5" i="1" s="1"/>
  <c r="P3" i="5"/>
  <c r="O3" i="5"/>
  <c r="N3" i="5"/>
  <c r="R3" i="5" s="1"/>
  <c r="M3" i="5"/>
  <c r="AA2" i="5"/>
  <c r="AC5" i="1" s="1"/>
  <c r="Z2" i="5"/>
  <c r="Y2" i="5"/>
  <c r="Z41" i="3"/>
  <c r="Y41" i="3"/>
  <c r="Z40" i="3"/>
  <c r="Y40" i="3"/>
  <c r="Z39" i="3"/>
  <c r="Y39" i="3"/>
  <c r="Z38" i="3"/>
  <c r="Y38" i="3"/>
  <c r="Z37" i="3"/>
  <c r="Y37" i="3"/>
  <c r="Z36" i="3"/>
  <c r="Y36" i="3"/>
  <c r="Z35" i="3"/>
  <c r="Y35" i="3"/>
  <c r="Z34" i="3"/>
  <c r="Y34" i="3"/>
  <c r="Z33" i="3"/>
  <c r="Y33" i="3"/>
  <c r="Z32" i="3"/>
  <c r="Y32" i="3"/>
  <c r="Z31" i="3"/>
  <c r="Y31" i="3"/>
  <c r="Z30" i="3"/>
  <c r="Y30" i="3"/>
  <c r="Z29" i="3"/>
  <c r="Y29" i="3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Z6" i="3"/>
  <c r="Y6" i="3"/>
  <c r="Z5" i="3"/>
  <c r="Y5" i="3"/>
  <c r="Z4" i="3"/>
  <c r="Y4" i="3"/>
  <c r="Z3" i="3"/>
  <c r="Y3" i="3"/>
  <c r="S3" i="3"/>
  <c r="K4" i="1" s="1"/>
  <c r="O3" i="3"/>
  <c r="M3" i="3"/>
  <c r="AA2" i="3"/>
  <c r="AC4" i="1" s="1"/>
  <c r="Z2" i="3"/>
  <c r="Y2" i="3"/>
  <c r="P3" i="2"/>
  <c r="I42" i="3"/>
  <c r="H42" i="3"/>
  <c r="G42" i="3"/>
  <c r="N3" i="3" s="1"/>
  <c r="F42" i="3"/>
  <c r="E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3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2" i="2"/>
  <c r="Z2" i="2"/>
  <c r="AA2" i="2"/>
  <c r="M3" i="2"/>
  <c r="R3" i="2" s="1"/>
  <c r="N3" i="2"/>
  <c r="O3" i="2"/>
  <c r="S3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I42" i="2"/>
  <c r="H42" i="2"/>
  <c r="G42" i="2"/>
  <c r="F42" i="2"/>
  <c r="E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37" i="16"/>
  <c r="A200" i="16"/>
  <c r="K3" i="16"/>
  <c r="K4" i="16"/>
  <c r="K5" i="16"/>
  <c r="K6" i="16"/>
  <c r="K7" i="16"/>
  <c r="K8" i="16"/>
  <c r="K9" i="16"/>
  <c r="K10" i="16"/>
  <c r="K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K35" i="16"/>
  <c r="K36" i="16"/>
  <c r="K2" i="16"/>
  <c r="H28" i="1"/>
  <c r="G28" i="1"/>
  <c r="F28" i="1"/>
  <c r="E28" i="1"/>
  <c r="D28" i="1"/>
  <c r="C28" i="1"/>
  <c r="B28" i="1"/>
  <c r="I27" i="28"/>
  <c r="H27" i="28"/>
  <c r="G27" i="28"/>
  <c r="F27" i="28"/>
  <c r="E27" i="28"/>
  <c r="K26" i="28"/>
  <c r="K25" i="28"/>
  <c r="K24" i="28"/>
  <c r="K23" i="28"/>
  <c r="K22" i="28"/>
  <c r="K21" i="28"/>
  <c r="K20" i="28"/>
  <c r="K19" i="28"/>
  <c r="K18" i="28"/>
  <c r="K17" i="28"/>
  <c r="K16" i="28"/>
  <c r="K15" i="28"/>
  <c r="K14" i="28"/>
  <c r="K13" i="28"/>
  <c r="K12" i="28"/>
  <c r="K11" i="28"/>
  <c r="K10" i="28"/>
  <c r="K9" i="28"/>
  <c r="K8" i="28"/>
  <c r="K7" i="28"/>
  <c r="K6" i="28"/>
  <c r="K5" i="28"/>
  <c r="K4" i="28"/>
  <c r="M28" i="1"/>
  <c r="K3" i="28"/>
  <c r="K2" i="28"/>
  <c r="H27" i="1"/>
  <c r="G27" i="1"/>
  <c r="F27" i="1"/>
  <c r="E27" i="1"/>
  <c r="D27" i="1"/>
  <c r="C27" i="1"/>
  <c r="B27" i="1"/>
  <c r="K21" i="27"/>
  <c r="K20" i="27"/>
  <c r="K19" i="27"/>
  <c r="K18" i="27"/>
  <c r="K17" i="27"/>
  <c r="K16" i="27"/>
  <c r="K15" i="27"/>
  <c r="K14" i="27"/>
  <c r="K13" i="27"/>
  <c r="K12" i="27"/>
  <c r="K11" i="27"/>
  <c r="K10" i="27"/>
  <c r="K9" i="27"/>
  <c r="K8" i="27"/>
  <c r="K7" i="27"/>
  <c r="K6" i="27"/>
  <c r="K5" i="27"/>
  <c r="K4" i="27"/>
  <c r="K3" i="27"/>
  <c r="K2" i="27"/>
  <c r="P3" i="3" l="1"/>
  <c r="R3" i="3"/>
  <c r="I4" i="1" s="1"/>
  <c r="B15" i="3"/>
  <c r="R3" i="18"/>
  <c r="I18" i="1" s="1"/>
  <c r="B15" i="18"/>
  <c r="P3" i="4"/>
  <c r="P3" i="11"/>
  <c r="P3" i="26"/>
  <c r="R3" i="26"/>
  <c r="I26" i="1" s="1"/>
  <c r="B15" i="26"/>
  <c r="P3" i="21"/>
  <c r="P3" i="24"/>
  <c r="B15" i="11"/>
  <c r="R3" i="4"/>
  <c r="I6" i="1" s="1"/>
  <c r="B15" i="4"/>
  <c r="P3" i="20"/>
  <c r="R3" i="20"/>
  <c r="I20" i="1" s="1"/>
  <c r="B15" i="20"/>
  <c r="R3" i="24"/>
  <c r="I24" i="1" s="1"/>
  <c r="B15" i="24"/>
  <c r="R3" i="15"/>
  <c r="I16" i="1" s="1"/>
  <c r="B15" i="15"/>
  <c r="R3" i="21"/>
  <c r="I21" i="1" s="1"/>
  <c r="B15" i="21"/>
  <c r="R3" i="27"/>
  <c r="I27" i="1" s="1"/>
  <c r="B15" i="27"/>
  <c r="B15" i="22"/>
  <c r="R3" i="25"/>
  <c r="I25" i="1" s="1"/>
  <c r="B15" i="25"/>
  <c r="Q3" i="28"/>
  <c r="B13" i="28"/>
  <c r="J28" i="1" s="1"/>
  <c r="L28" i="1"/>
  <c r="Q3" i="27"/>
  <c r="Q3" i="26"/>
  <c r="Q3" i="25"/>
  <c r="Q3" i="24"/>
  <c r="Q3" i="23"/>
  <c r="Q3" i="22"/>
  <c r="Q3" i="21"/>
  <c r="Q3" i="20"/>
  <c r="Q3" i="19"/>
  <c r="Q3" i="18"/>
  <c r="Q3" i="17"/>
  <c r="Q3" i="15"/>
  <c r="Q3" i="14"/>
  <c r="R3" i="13"/>
  <c r="Q3" i="13"/>
  <c r="R3" i="10"/>
  <c r="Q3" i="10"/>
  <c r="Q3" i="12"/>
  <c r="Q3" i="11"/>
  <c r="Q3" i="9"/>
  <c r="Q3" i="8"/>
  <c r="Q3" i="7"/>
  <c r="Q3" i="6"/>
  <c r="Q3" i="4"/>
  <c r="Q3" i="5"/>
  <c r="Q3" i="3"/>
  <c r="Q3" i="2"/>
  <c r="M27" i="1"/>
  <c r="B13" i="27"/>
  <c r="J27" i="1" s="1"/>
  <c r="L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" i="26"/>
  <c r="K3" i="25"/>
  <c r="K4" i="25"/>
  <c r="K5" i="25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22" i="25"/>
  <c r="K23" i="25"/>
  <c r="K24" i="25"/>
  <c r="K25" i="25"/>
  <c r="K2" i="25"/>
  <c r="K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" i="24"/>
  <c r="K3" i="23"/>
  <c r="K4" i="23"/>
  <c r="K5" i="23"/>
  <c r="K6" i="23"/>
  <c r="K7" i="23"/>
  <c r="K8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" i="23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" i="22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" i="21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" i="20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" i="19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" i="18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" i="17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" i="15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" i="14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2" i="13"/>
  <c r="K3" i="10"/>
  <c r="K4" i="10"/>
  <c r="K5" i="10"/>
  <c r="K6" i="10"/>
  <c r="K7" i="10"/>
  <c r="K8" i="10"/>
  <c r="K9" i="10"/>
  <c r="K10" i="10"/>
  <c r="K11" i="10"/>
  <c r="K12" i="10"/>
  <c r="K14" i="10"/>
  <c r="K15" i="10"/>
  <c r="K16" i="10"/>
  <c r="K17" i="10"/>
  <c r="K18" i="10"/>
  <c r="K19" i="10"/>
  <c r="K20" i="10"/>
  <c r="K2" i="10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" i="12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" i="1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" i="9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" i="7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" i="6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" i="4"/>
  <c r="K3" i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" i="5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2" i="2"/>
  <c r="G26" i="1"/>
  <c r="F26" i="1"/>
  <c r="E26" i="1"/>
  <c r="D26" i="1"/>
  <c r="C26" i="1"/>
  <c r="B26" i="1"/>
  <c r="G25" i="1"/>
  <c r="F25" i="1"/>
  <c r="E25" i="1"/>
  <c r="D25" i="1"/>
  <c r="C25" i="1"/>
  <c r="B25" i="1"/>
  <c r="L26" i="1" l="1"/>
  <c r="B13" i="26"/>
  <c r="J26" i="1" s="1"/>
  <c r="L25" i="1"/>
  <c r="B13" i="25"/>
  <c r="J25" i="1" s="1"/>
  <c r="AC3" i="1"/>
  <c r="M26" i="1"/>
  <c r="M25" i="1"/>
  <c r="B13" i="24"/>
  <c r="J24" i="1" s="1"/>
  <c r="B13" i="23"/>
  <c r="J23" i="1" s="1"/>
  <c r="B13" i="21"/>
  <c r="J21" i="1" s="1"/>
  <c r="E7" i="20"/>
  <c r="B13" i="20"/>
  <c r="J20" i="1" s="1"/>
  <c r="E7" i="19"/>
  <c r="E8" i="19" s="1"/>
  <c r="E7" i="18"/>
  <c r="E7" i="17"/>
  <c r="B13" i="17"/>
  <c r="J17" i="1" s="1"/>
  <c r="B13" i="15"/>
  <c r="J16" i="1" s="1"/>
  <c r="B13" i="14"/>
  <c r="J15" i="1" s="1"/>
  <c r="J14" i="1"/>
  <c r="J13" i="1"/>
  <c r="B13" i="12"/>
  <c r="J12" i="1" s="1"/>
  <c r="B13" i="9"/>
  <c r="J10" i="1" s="1"/>
  <c r="B13" i="4"/>
  <c r="J6" i="1" s="1"/>
  <c r="L19" i="1" l="1"/>
  <c r="B13" i="19"/>
  <c r="J19" i="1" s="1"/>
  <c r="L18" i="1"/>
  <c r="B13" i="18"/>
  <c r="J18" i="1" s="1"/>
  <c r="L9" i="1"/>
  <c r="B13" i="8"/>
  <c r="J9" i="1" s="1"/>
  <c r="L8" i="1"/>
  <c r="B13" i="7"/>
  <c r="J8" i="1" s="1"/>
  <c r="L7" i="1"/>
  <c r="B13" i="6"/>
  <c r="J7" i="1" s="1"/>
  <c r="L22" i="1"/>
  <c r="B13" i="22"/>
  <c r="J22" i="1" s="1"/>
  <c r="L11" i="1"/>
  <c r="B13" i="11"/>
  <c r="J11" i="1" s="1"/>
  <c r="L24" i="1"/>
  <c r="M24" i="1"/>
  <c r="L23" i="1"/>
  <c r="L20" i="1"/>
  <c r="L17" i="1"/>
  <c r="L16" i="1"/>
  <c r="L15" i="1"/>
  <c r="L12" i="1"/>
  <c r="L10" i="1"/>
  <c r="M20" i="1"/>
  <c r="L6" i="1"/>
  <c r="M6" i="1"/>
  <c r="L21" i="1"/>
  <c r="M23" i="1"/>
  <c r="M22" i="1"/>
  <c r="M21" i="1"/>
  <c r="E8" i="20"/>
  <c r="M19" i="1"/>
  <c r="E9" i="19"/>
  <c r="E8" i="18"/>
  <c r="M18" i="1"/>
  <c r="M17" i="1"/>
  <c r="E8" i="17"/>
  <c r="M16" i="1"/>
  <c r="M15" i="1"/>
  <c r="M12" i="1"/>
  <c r="M11" i="1"/>
  <c r="M10" i="1"/>
  <c r="M9" i="1"/>
  <c r="M8" i="1"/>
  <c r="M7" i="1"/>
  <c r="B13" i="5"/>
  <c r="J5" i="1" s="1"/>
  <c r="B13" i="3"/>
  <c r="J4" i="1" s="1"/>
  <c r="B13" i="2" l="1"/>
  <c r="J3" i="1" s="1"/>
  <c r="B15" i="2"/>
  <c r="L4" i="1"/>
  <c r="L5" i="1"/>
  <c r="L3" i="1"/>
  <c r="E9" i="20"/>
  <c r="E10" i="19"/>
  <c r="E11" i="19" s="1"/>
  <c r="E9" i="18"/>
  <c r="E10" i="18" s="1"/>
  <c r="E9" i="17"/>
  <c r="E10" i="17" s="1"/>
  <c r="M3" i="1"/>
  <c r="M5" i="1"/>
  <c r="M4" i="1"/>
  <c r="D24" i="1"/>
  <c r="T3" i="1" l="1"/>
  <c r="S3" i="1"/>
  <c r="E10" i="20"/>
  <c r="E12" i="19"/>
  <c r="E11" i="18"/>
  <c r="E12" i="18" s="1"/>
  <c r="E11" i="17"/>
  <c r="E12" i="17" s="1"/>
  <c r="G24" i="1"/>
  <c r="F24" i="1"/>
  <c r="E24" i="1"/>
  <c r="C24" i="1"/>
  <c r="B24" i="1"/>
  <c r="G23" i="1"/>
  <c r="F23" i="1"/>
  <c r="E23" i="1"/>
  <c r="D23" i="1"/>
  <c r="C23" i="1"/>
  <c r="B23" i="1"/>
  <c r="E11" i="20" l="1"/>
  <c r="E12" i="20" s="1"/>
  <c r="E13" i="20" s="1"/>
  <c r="E14" i="20" l="1"/>
  <c r="E15" i="20" l="1"/>
  <c r="G22" i="1"/>
  <c r="F22" i="1"/>
  <c r="E22" i="1"/>
  <c r="D22" i="1"/>
  <c r="C21" i="1"/>
  <c r="C22" i="1"/>
  <c r="B22" i="1"/>
  <c r="G21" i="1"/>
  <c r="F21" i="1"/>
  <c r="E21" i="1"/>
  <c r="D21" i="1"/>
  <c r="B21" i="1"/>
  <c r="H2" i="16"/>
  <c r="Q3" i="1" s="1"/>
  <c r="E16" i="20" l="1"/>
  <c r="E17" i="20" l="1"/>
  <c r="E18" i="20" l="1"/>
  <c r="E19" i="20"/>
  <c r="G20" i="1"/>
  <c r="F20" i="1"/>
  <c r="E20" i="1"/>
  <c r="D20" i="1"/>
  <c r="C20" i="1"/>
  <c r="B20" i="1"/>
  <c r="E20" i="20" l="1"/>
  <c r="E21" i="20" s="1"/>
  <c r="G19" i="1"/>
  <c r="F19" i="1"/>
  <c r="E19" i="1"/>
  <c r="D19" i="1"/>
  <c r="C19" i="1"/>
  <c r="B19" i="1"/>
  <c r="E22" i="20" l="1"/>
  <c r="E23" i="20" s="1"/>
  <c r="E24" i="20" s="1"/>
  <c r="G18" i="1" l="1"/>
  <c r="F18" i="1"/>
  <c r="E18" i="1"/>
  <c r="D18" i="1"/>
  <c r="C18" i="1"/>
  <c r="B18" i="1"/>
  <c r="G17" i="1" l="1"/>
  <c r="F17" i="1"/>
  <c r="E17" i="1"/>
  <c r="D17" i="1"/>
  <c r="C17" i="1"/>
  <c r="B17" i="1"/>
  <c r="G2" i="16"/>
  <c r="F2" i="16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I2" i="16" l="1"/>
  <c r="O3" i="1" s="1"/>
  <c r="G16" i="1" l="1"/>
  <c r="F16" i="1"/>
  <c r="D16" i="1"/>
  <c r="C16" i="1"/>
  <c r="B16" i="1"/>
  <c r="G15" i="1" l="1"/>
  <c r="F15" i="1"/>
  <c r="D15" i="1"/>
  <c r="C15" i="1"/>
  <c r="B15" i="1"/>
  <c r="G14" i="1" l="1"/>
  <c r="F14" i="1"/>
  <c r="D14" i="1"/>
  <c r="C14" i="1"/>
  <c r="B14" i="1"/>
  <c r="G12" i="1" l="1"/>
  <c r="F12" i="1"/>
  <c r="D12" i="1"/>
  <c r="C12" i="1"/>
  <c r="B12" i="1"/>
  <c r="G11" i="1" l="1"/>
  <c r="F11" i="1"/>
  <c r="D11" i="1"/>
  <c r="B11" i="1"/>
  <c r="C11" i="1"/>
  <c r="B13" i="1" l="1"/>
  <c r="B10" i="1"/>
  <c r="G13" i="1"/>
  <c r="F13" i="1"/>
  <c r="D13" i="1"/>
  <c r="C13" i="1"/>
  <c r="G10" i="1"/>
  <c r="F10" i="1"/>
  <c r="D10" i="1"/>
  <c r="C10" i="1"/>
  <c r="G9" i="1"/>
  <c r="F9" i="1"/>
  <c r="D9" i="1"/>
  <c r="C9" i="1"/>
  <c r="B9" i="1"/>
  <c r="G8" i="1"/>
  <c r="F8" i="1"/>
  <c r="D8" i="1"/>
  <c r="C8" i="1"/>
  <c r="B8" i="1"/>
  <c r="G7" i="1"/>
  <c r="F7" i="1"/>
  <c r="D7" i="1"/>
  <c r="C7" i="1"/>
  <c r="B7" i="1"/>
  <c r="G6" i="1"/>
  <c r="F6" i="1"/>
  <c r="D6" i="1"/>
  <c r="C6" i="1"/>
  <c r="B6" i="1"/>
  <c r="G5" i="1"/>
  <c r="F5" i="1"/>
  <c r="D5" i="1"/>
  <c r="C5" i="1"/>
  <c r="B5" i="1"/>
  <c r="G4" i="1"/>
  <c r="F4" i="1"/>
  <c r="D4" i="1"/>
  <c r="C4" i="1"/>
  <c r="B4" i="1"/>
  <c r="G3" i="1"/>
  <c r="F3" i="1"/>
  <c r="D3" i="1"/>
  <c r="C3" i="1"/>
  <c r="B3" i="1"/>
  <c r="P3" i="1" l="1"/>
  <c r="U3" i="1"/>
  <c r="V3" i="1" s="1"/>
  <c r="W3" i="1" l="1"/>
  <c r="K200" i="16"/>
  <c r="L1" i="16" s="1"/>
  <c r="R3" i="1"/>
  <c r="X3" i="1" l="1"/>
</calcChain>
</file>

<file path=xl/sharedStrings.xml><?xml version="1.0" encoding="utf-8"?>
<sst xmlns="http://schemas.openxmlformats.org/spreadsheetml/2006/main" count="1104" uniqueCount="105">
  <si>
    <t>Paskola</t>
  </si>
  <si>
    <t>Objektas</t>
  </si>
  <si>
    <t>Projekto reitingas</t>
  </si>
  <si>
    <t>A</t>
  </si>
  <si>
    <t>Investicijos laikotarpis, mėn.</t>
  </si>
  <si>
    <t>Palūkanų mokėjimas</t>
  </si>
  <si>
    <t>Palūkanos</t>
  </si>
  <si>
    <t>Palūkanos, %</t>
  </si>
  <si>
    <t>Investicijos data</t>
  </si>
  <si>
    <t>Data</t>
  </si>
  <si>
    <t>Palūkanų pradžia</t>
  </si>
  <si>
    <t>LTV, %</t>
  </si>
  <si>
    <t>LTV max, %</t>
  </si>
  <si>
    <t>Mesiheina tee 5 ir 8, Pärnu miestas, Estija (1 etapas)</t>
  </si>
  <si>
    <t>B</t>
  </si>
  <si>
    <t>M</t>
  </si>
  <si>
    <t>Bistryčios g. 27, Vilnius, Lietuva (3 etapas)</t>
  </si>
  <si>
    <t>Project ID - 969 (LT)</t>
  </si>
  <si>
    <t>Project ID - 974 (LT)</t>
  </si>
  <si>
    <t>Project ID - 981 (LT)</t>
  </si>
  <si>
    <t>Kvartalas "Asiūklės parkas” (2 etapas)</t>
  </si>
  <si>
    <t>Project ID - 987 (LT)</t>
  </si>
  <si>
    <t>2 MW saulės elektrinių parkas Narvydžių k. (9 etapas)</t>
  </si>
  <si>
    <t>C</t>
  </si>
  <si>
    <t>-</t>
  </si>
  <si>
    <t>Jono Puzino g. 21 - 1, Vilnius, Lietuva (1 etapas)</t>
  </si>
  <si>
    <t>Project ID - 1027 (LT)</t>
  </si>
  <si>
    <t>Project ID - 1029 (LT)</t>
  </si>
  <si>
    <t>Jono Puzino g. 21 - 1, Vilnius, Lietuva (2 etapas)</t>
  </si>
  <si>
    <t>Project ID - 1035 (LT)</t>
  </si>
  <si>
    <t>Lubānas g. 133A, Ryga, Latvija (7 etapas)</t>
  </si>
  <si>
    <t>Stoties g. 38, Panevėžys, Lietuva</t>
  </si>
  <si>
    <t>Vilniaus g. 38/38A/38B, Putiniškių k. (1 etapas)</t>
  </si>
  <si>
    <t>Pavadinimas</t>
  </si>
  <si>
    <t>Laikotarpis</t>
  </si>
  <si>
    <t>Viso:</t>
  </si>
  <si>
    <t>Project ID - 1047 (LT)</t>
  </si>
  <si>
    <t xml:space="preserve">Premijos </t>
  </si>
  <si>
    <t>Vertė</t>
  </si>
  <si>
    <t>%</t>
  </si>
  <si>
    <t>Gryni</t>
  </si>
  <si>
    <t>Premija</t>
  </si>
  <si>
    <t>Vidiškių vs., Žemaitkiemio sen., Ukmergės r. (2 etapas)</t>
  </si>
  <si>
    <t>Gyvenamasis kvartalas Javų g., Šiauliai, Lietuva (1 etapas)</t>
  </si>
  <si>
    <t>Project ID - 1066 (LT)</t>
  </si>
  <si>
    <t>Project ID - 1067 (LT)</t>
  </si>
  <si>
    <t>Vėlavimas</t>
  </si>
  <si>
    <t>Project ID - 1041 (LT)</t>
  </si>
  <si>
    <t>Lubānas g. 133A, Ryga, Latvija (12 etapas)</t>
  </si>
  <si>
    <t>Project ID - 1103 (LT)</t>
  </si>
  <si>
    <t>Kompens.</t>
  </si>
  <si>
    <t>Viensėdžio g. 36A, Krikšioniškių k., (3 etapas)</t>
  </si>
  <si>
    <t>Šaltinio g. 7, Panevėžys, Lietuva (1 etapas)</t>
  </si>
  <si>
    <t>Project ID -  1118 (LT)</t>
  </si>
  <si>
    <t>Project ID - 1125 (LT)</t>
  </si>
  <si>
    <t>Reitingas</t>
  </si>
  <si>
    <t>Grąžinta</t>
  </si>
  <si>
    <t>Įnešta</t>
  </si>
  <si>
    <t>Išimta</t>
  </si>
  <si>
    <t>Skirtumas</t>
  </si>
  <si>
    <t>Mozūriškių g. 17 - 3, Vilnius, Lietuva</t>
  </si>
  <si>
    <t>Project ID - 1131 (LT)</t>
  </si>
  <si>
    <t>Parko g. 21 / Pergalės g. 36A, Vilnius, Lietuva (1 etapas)</t>
  </si>
  <si>
    <t>Pienių g. 28A-28E, Užliedžių k., Užliedžių sen., (1 etapas)</t>
  </si>
  <si>
    <t>"Filleo Home" - Klevų 8-oji g., Palanga, Lietuva (3 etapas)</t>
  </si>
  <si>
    <t>Project ID - 1137 (LT)</t>
  </si>
  <si>
    <t>Project ID - 1148 (LT)</t>
  </si>
  <si>
    <t>Project ID - 1152 (LT)</t>
  </si>
  <si>
    <t>Sklypų masyvas Loo tee, Elu tee, Pärnu, Estija (1 etapas)</t>
  </si>
  <si>
    <t>Project ID - 1198 (LT)</t>
  </si>
  <si>
    <t>Liepų g. 3, Vyšniūnai, Stakliškių sen., Prienų r. (1 etapas)</t>
  </si>
  <si>
    <t>Basliupio g. 14, Panevėžys, Lietuva (3 etapas)</t>
  </si>
  <si>
    <t>"Baltų Avenue" - Baltų pr. 87B ir 87C, Kaunas(1 etapas)</t>
  </si>
  <si>
    <t>Project ID - 1194 (LT)</t>
  </si>
  <si>
    <t>Project ID - 1250 (LT)</t>
  </si>
  <si>
    <t>XIRR</t>
  </si>
  <si>
    <t>Suma</t>
  </si>
  <si>
    <t>Suteikta</t>
  </si>
  <si>
    <t>Planuotos</t>
  </si>
  <si>
    <t>Realios</t>
  </si>
  <si>
    <t>Mėguvos g. 6 ir 8, Palanga, Lietuva (2 etapas)</t>
  </si>
  <si>
    <t>Project ID - 1253 (LT)</t>
  </si>
  <si>
    <t>"Filleo Home" - Klevų 8-oji g., Palanga (10 etapas)</t>
  </si>
  <si>
    <t>Vėluoja</t>
  </si>
  <si>
    <t>Project ID - 1303 (LT)</t>
  </si>
  <si>
    <t>Planuojamas</t>
  </si>
  <si>
    <t>Grąžinimas</t>
  </si>
  <si>
    <t>Investicijos pabaiga</t>
  </si>
  <si>
    <t>Nr.</t>
  </si>
  <si>
    <t>Liko</t>
  </si>
  <si>
    <t>Liko dienų</t>
  </si>
  <si>
    <t>Project ID -  (LT)</t>
  </si>
  <si>
    <t>"Baltų Avenue" - Baltų pr. 87B ir 87C, Kaunas(11 etapas)</t>
  </si>
  <si>
    <t>Plento g. 5A, Trakai, Lietuva (2 etapas)</t>
  </si>
  <si>
    <t>Project ID - 1337 (LT)</t>
  </si>
  <si>
    <t>Project ID - 1314 (LT)</t>
  </si>
  <si>
    <t>Investuota</t>
  </si>
  <si>
    <t>Pinigai</t>
  </si>
  <si>
    <t>Eur.</t>
  </si>
  <si>
    <t>Viso</t>
  </si>
  <si>
    <t>Vėlavo/Anksčiau</t>
  </si>
  <si>
    <t>Sutartis</t>
  </si>
  <si>
    <t>Paskolos pabaiga</t>
  </si>
  <si>
    <t>Realus</t>
  </si>
  <si>
    <t>Investuota,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</si>
</sst>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.mm\.dd;@"/>
    <numFmt numFmtId="165" formatCode="0.0%"/>
    <numFmt numFmtId="166" formatCode="yyyy/mm/dd;@"/>
  </numFmts>
  <fonts count="5" x14ac:knownFonts="1">
    <font>
      <sz val="11"/>
      <color theme="1"/>
      <name val="Calibri"/>
      <family val="2"/>
      <charset val="186"/>
      <scheme val="minor"/>
    </font>
    <font>
      <b/>
      <sz val="11"/>
      <color rgb="FF000000"/>
      <name val="Calibri"/>
      <family val="2"/>
    </font>
    <font>
      <sz val="8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0" fillId="0" borderId="0" xfId="0" applyProtection="1">
      <protection locked="0"/>
    </xf>
    <xf numFmtId="165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1" xfId="1" applyBorder="1" applyAlignment="1">
      <alignment horizontal="left"/>
    </xf>
    <xf numFmtId="164" fontId="4" fillId="0" borderId="1" xfId="1" applyNumberFormat="1" applyBorder="1" applyAlignment="1">
      <alignment horizontal="left"/>
    </xf>
    <xf numFmtId="0" fontId="4" fillId="0" borderId="1" xfId="1" applyBorder="1"/>
    <xf numFmtId="166" fontId="0" fillId="0" borderId="1" xfId="0" applyNumberFormat="1" applyBorder="1" applyAlignment="1">
      <alignment horizontal="center"/>
    </xf>
    <xf numFmtId="0" fontId="4" fillId="0" borderId="1" xfId="1" applyFill="1" applyBorder="1"/>
    <xf numFmtId="10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1" xfId="0" applyNumberFormat="1" applyBorder="1"/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3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Ap&#382;valg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3" name="Graphic 2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0EC7BB-DA49-425A-802E-7A9F8509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271603-99EF-4EF6-A585-B13720E4D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8AC43C-2E52-45A4-83A0-2F7CFCD0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1979EE-34FE-4231-8EF2-486254939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8E1185-9CB7-4298-B67E-72962CFB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A0C673-CB8A-46CE-97A3-6B39398F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226546-C60D-4528-A678-B6639395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AF187-DA50-427F-B52B-D3F6AC329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4919E-B850-47A5-93D4-60CBD26A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64349B-B6F7-4221-A842-EF77DAD5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7E5DEB-7ED2-4B05-85AB-49D3395A1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25A9FB-E162-496D-84FA-9FF0A134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094248-744A-4EDD-892E-9AAE9C1CA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1FF847-D6E9-4BAD-9EC2-BA841B905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E23A6-190E-4896-945F-E6097796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778BD-4BFD-4A34-BB00-3AFD2BC7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82BA74-04A5-443F-A3AE-1837694DB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852151-33FF-4A59-9CA6-3BBD2AEFB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5AF9-5DDD-45CD-A2C7-C0BF54DD7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EBDCBE4-8A5E-4EE4-99A0-1BEDE96FD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B47DE4-523E-45A7-A8E4-BFEF7CD13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D8A49-1787-4D41-8979-21E6AA61D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43E06-4C34-4BA3-8BED-D6E9AF160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4" name="Graphic 3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5795A7-97B2-47FF-B711-055017202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DDE80B-EB7E-4453-9784-C8AA4EAAB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914400</xdr:colOff>
      <xdr:row>23</xdr:row>
      <xdr:rowOff>152400</xdr:rowOff>
    </xdr:to>
    <xdr:pic>
      <xdr:nvPicPr>
        <xdr:cNvPr id="2" name="Graphic 1" descr="Arrow: Rotate left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B312FA-7869-4DEB-9F47-90105BB21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19500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8"/>
  <sheetViews>
    <sheetView tabSelected="1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5" sqref="K5"/>
    </sheetView>
  </sheetViews>
  <sheetFormatPr defaultRowHeight="15" x14ac:dyDescent="0.25"/>
  <cols>
    <col min="1" max="1" width="5.7109375" customWidth="1"/>
    <col min="2" max="2" width="12.7109375" customWidth="1"/>
    <col min="3" max="3" width="50.7109375" customWidth="1"/>
    <col min="4" max="7" width="10.7109375" customWidth="1"/>
    <col min="8" max="9" width="12.7109375" customWidth="1"/>
    <col min="10" max="13" width="10.7109375" customWidth="1"/>
    <col min="14" max="14" width="5.7109375" customWidth="1"/>
    <col min="15" max="24" width="10.7109375" customWidth="1"/>
  </cols>
  <sheetData>
    <row r="1" spans="1:29" x14ac:dyDescent="0.25">
      <c r="A1" s="35" t="s">
        <v>0</v>
      </c>
      <c r="B1" s="36"/>
      <c r="C1" s="36"/>
      <c r="D1" s="36"/>
      <c r="E1" s="36"/>
      <c r="F1" s="36"/>
      <c r="G1" s="37"/>
      <c r="H1" s="38" t="s">
        <v>86</v>
      </c>
      <c r="I1" s="38"/>
      <c r="J1" s="38"/>
      <c r="K1" s="38"/>
      <c r="L1" s="38"/>
      <c r="M1" s="38"/>
      <c r="O1" s="38" t="s">
        <v>97</v>
      </c>
      <c r="P1" s="38"/>
      <c r="Q1" s="38"/>
      <c r="R1" s="38"/>
      <c r="S1" s="39" t="s">
        <v>56</v>
      </c>
      <c r="T1" s="40"/>
      <c r="U1" s="39" t="s">
        <v>38</v>
      </c>
      <c r="V1" s="41"/>
      <c r="W1" s="41"/>
      <c r="X1" s="40"/>
    </row>
    <row r="2" spans="1:29" s="11" customFormat="1" ht="15" customHeight="1" x14ac:dyDescent="0.25">
      <c r="A2" s="10" t="s">
        <v>88</v>
      </c>
      <c r="B2" s="10" t="s">
        <v>9</v>
      </c>
      <c r="C2" s="10" t="s">
        <v>33</v>
      </c>
      <c r="D2" s="10" t="s">
        <v>34</v>
      </c>
      <c r="E2" s="10" t="s">
        <v>55</v>
      </c>
      <c r="F2" s="10" t="s">
        <v>6</v>
      </c>
      <c r="G2" s="10" t="s">
        <v>96</v>
      </c>
      <c r="H2" s="33" t="s">
        <v>85</v>
      </c>
      <c r="I2" s="33" t="s">
        <v>103</v>
      </c>
      <c r="J2" s="33" t="s">
        <v>89</v>
      </c>
      <c r="K2" s="33" t="s">
        <v>83</v>
      </c>
      <c r="L2" s="10" t="s">
        <v>0</v>
      </c>
      <c r="M2" s="10" t="s">
        <v>6</v>
      </c>
      <c r="O2" s="10" t="s">
        <v>57</v>
      </c>
      <c r="P2" s="10" t="s">
        <v>96</v>
      </c>
      <c r="Q2" s="10" t="s">
        <v>37</v>
      </c>
      <c r="R2" s="10" t="s">
        <v>40</v>
      </c>
      <c r="S2" s="10" t="s">
        <v>0</v>
      </c>
      <c r="T2" s="10" t="s">
        <v>6</v>
      </c>
      <c r="U2" s="10" t="s">
        <v>99</v>
      </c>
      <c r="V2" s="10" t="s">
        <v>98</v>
      </c>
      <c r="W2" s="10" t="s">
        <v>39</v>
      </c>
      <c r="X2" s="16" t="s">
        <v>75</v>
      </c>
      <c r="AC2" s="16" t="s">
        <v>83</v>
      </c>
    </row>
    <row r="3" spans="1:29" x14ac:dyDescent="0.25">
      <c r="A3" s="3">
        <v>1</v>
      </c>
      <c r="B3" s="8">
        <f>'Mesiheina tee 5 ir 8 (1)'!B4</f>
        <v>45716</v>
      </c>
      <c r="C3" s="21" t="str">
        <f>'Mesiheina tee 5 ir 8 (1)'!B2</f>
        <v>Mesiheina tee 5 ir 8, Pärnu miestas, Estija (1 etapas)</v>
      </c>
      <c r="D3" s="3">
        <f>'Mesiheina tee 5 ir 8 (1)'!B8</f>
        <v>14</v>
      </c>
      <c r="E3" s="3" t="str">
        <f>'Mesiheina tee 5 ir 8 (1)'!B5</f>
        <v>B</v>
      </c>
      <c r="F3" s="14">
        <f>'Mesiheina tee 5 ir 8 (1)'!B10</f>
        <v>0.13</v>
      </c>
      <c r="G3" s="5">
        <f>'Mesiheina tee 5 ir 8 (1)'!B11</f>
        <v>50</v>
      </c>
      <c r="H3" s="24">
        <f>'Mesiheina tee 5 ir 8 (1)'!B12</f>
        <v>46140</v>
      </c>
      <c r="I3" s="8">
        <f>'Mesiheina tee 5 ir 8 (1)'!R3</f>
        <v>46140</v>
      </c>
      <c r="J3" s="9" t="str">
        <f ca="1">'Mesiheina tee 5 ir 8 (1)'!B13</f>
        <v/>
      </c>
      <c r="K3" s="9" t="str">
        <f ca="1">'Mesiheina tee 5 ir 8 (1)'!S3</f>
        <v/>
      </c>
      <c r="L3" s="5">
        <f>'Mesiheina tee 5 ir 8 (1)'!N3</f>
        <v>50</v>
      </c>
      <c r="M3" s="5">
        <f>'Mesiheina tee 5 ir 8 (1)'!P3</f>
        <v>7.54</v>
      </c>
      <c r="O3" s="5">
        <f>Pinigai!I2</f>
        <v>854.83</v>
      </c>
      <c r="P3" s="5">
        <f>SUM(G3:G200)-S3</f>
        <v>1023.79</v>
      </c>
      <c r="Q3" s="5">
        <f>Pinigai!H2</f>
        <v>48.940000000000005</v>
      </c>
      <c r="R3" s="5">
        <f>U3-P3</f>
        <v>9.9100000000000819</v>
      </c>
      <c r="S3" s="5">
        <f>SUM(L3:L200)</f>
        <v>432.21</v>
      </c>
      <c r="T3" s="5">
        <f>SUM(M3:M200)</f>
        <v>129.93</v>
      </c>
      <c r="U3" s="5">
        <f>O3+T3+Q3</f>
        <v>1033.7</v>
      </c>
      <c r="V3" s="5">
        <f>U3-O3</f>
        <v>178.87</v>
      </c>
      <c r="W3" s="15">
        <f>(U3-O3)/O3</f>
        <v>0.20924628288665581</v>
      </c>
      <c r="X3" s="15">
        <f ca="1">XIRR(Pinigai!K2:K200,Pinigai!A2:A200)</f>
        <v>0.14506028294563295</v>
      </c>
      <c r="AC3" s="5" t="str">
        <f ca="1">'Mesiheina tee 5 ir 8 (1)'!AA2</f>
        <v/>
      </c>
    </row>
    <row r="4" spans="1:29" x14ac:dyDescent="0.25">
      <c r="A4" s="3">
        <v>2</v>
      </c>
      <c r="B4" s="8">
        <f>'Bistryčios g. 27 (3)'!B4</f>
        <v>45721</v>
      </c>
      <c r="C4" s="21" t="str">
        <f>'Bistryčios g. 27 (3)'!B2</f>
        <v>Bistryčios g. 27, Vilnius, Lietuva (3 etapas)</v>
      </c>
      <c r="D4" s="3">
        <f>'Bistryčios g. 27 (3)'!B8</f>
        <v>17</v>
      </c>
      <c r="E4" s="3" t="str">
        <f>'Bistryčios g. 27 (3)'!B5</f>
        <v>B</v>
      </c>
      <c r="F4" s="14">
        <f>'Bistryčios g. 27 (3)'!B10</f>
        <v>0.13</v>
      </c>
      <c r="G4" s="5">
        <f>'Bistryčios g. 27 (3)'!B11</f>
        <v>50</v>
      </c>
      <c r="H4" s="8">
        <f>'Bistryčios g. 27 (3)'!B12</f>
        <v>46213</v>
      </c>
      <c r="I4" s="8" t="str">
        <f>'Bistryčios g. 27 (3)'!R3</f>
        <v/>
      </c>
      <c r="J4" s="9">
        <f ca="1">'Bistryčios g. 27 (3)'!B13</f>
        <v>-82</v>
      </c>
      <c r="K4" s="9" t="str">
        <f ca="1">'Bistryčios g. 27 (3)'!S3</f>
        <v/>
      </c>
      <c r="L4" s="5">
        <f>'Bistryčios g. 27 (3)'!N3</f>
        <v>0</v>
      </c>
      <c r="M4" s="5">
        <f>'Bistryčios g. 27 (3)'!P3</f>
        <v>9.1300000000000008</v>
      </c>
      <c r="AC4" s="5" t="str">
        <f ca="1">'Bistryčios g. 27 (3)'!AA2</f>
        <v/>
      </c>
    </row>
    <row r="5" spans="1:29" x14ac:dyDescent="0.25">
      <c r="A5" s="3">
        <v>3</v>
      </c>
      <c r="B5" s="8">
        <f>'2 MW saulės elektrinių par. (9)'!B4</f>
        <v>45721</v>
      </c>
      <c r="C5" s="21" t="str">
        <f>'2 MW saulės elektrinių par. (9)'!B2</f>
        <v>2 MW saulės elektrinių parkas Narvydžių k. (9 etapas)</v>
      </c>
      <c r="D5" s="3">
        <f>'2 MW saulės elektrinių par. (9)'!B8</f>
        <v>11</v>
      </c>
      <c r="E5" s="3" t="str">
        <f>'2 MW saulės elektrinių par. (9)'!B5</f>
        <v>C</v>
      </c>
      <c r="F5" s="14">
        <f>'2 MW saulės elektrinių par. (9)'!B10</f>
        <v>0.14000000000000001</v>
      </c>
      <c r="G5" s="5">
        <f>'2 MW saulės elektrinių par. (9)'!B11</f>
        <v>50</v>
      </c>
      <c r="H5" s="8">
        <f>'2 MW saulės elektrinių par. (9)'!B12</f>
        <v>46028</v>
      </c>
      <c r="I5" s="8" t="str">
        <f>'2 MW saulės elektrinių par. (9)'!R3</f>
        <v/>
      </c>
      <c r="J5" s="9">
        <f ca="1">'2 MW saulės elektrinių par. (9)'!B13</f>
        <v>-267</v>
      </c>
      <c r="K5" s="9">
        <f ca="1">'2 MW saulės elektrinių par. (9)'!S3</f>
        <v>390</v>
      </c>
      <c r="L5" s="5">
        <f>'2 MW saulės elektrinių par. (9)'!N3</f>
        <v>0</v>
      </c>
      <c r="M5" s="5">
        <f>'2 MW saulės elektrinių par. (9)'!P3</f>
        <v>2.9299999999999997</v>
      </c>
      <c r="AC5" s="5" t="str">
        <f ca="1">'2 MW saulės elektrinių par. (9)'!AA2</f>
        <v>+</v>
      </c>
    </row>
    <row r="6" spans="1:29" x14ac:dyDescent="0.25">
      <c r="A6" s="3">
        <v>4</v>
      </c>
      <c r="B6" s="8">
        <f>'Kvartalas "Asiūklės parkas” (2)'!B4</f>
        <v>45736</v>
      </c>
      <c r="C6" s="21" t="str">
        <f>'Kvartalas "Asiūklės parkas” (2)'!B2</f>
        <v>Kvartalas "Asiūklės parkas” (2 etapas)</v>
      </c>
      <c r="D6" s="3">
        <f>'Kvartalas "Asiūklės parkas” (2)'!B8</f>
        <v>24</v>
      </c>
      <c r="E6" s="3" t="str">
        <f>'Kvartalas "Asiūklės parkas” (2)'!B5</f>
        <v>A</v>
      </c>
      <c r="F6" s="14">
        <f>'Kvartalas "Asiūklės parkas” (2)'!B10</f>
        <v>0.11</v>
      </c>
      <c r="G6" s="5">
        <f>'Kvartalas "Asiūklės parkas” (2)'!B11</f>
        <v>50</v>
      </c>
      <c r="H6" s="8">
        <f>'Kvartalas "Asiūklės parkas” (2)'!B12</f>
        <v>46439</v>
      </c>
      <c r="I6" s="8" t="str">
        <f>'Kvartalas "Asiūklės parkas” (2)'!R3</f>
        <v/>
      </c>
      <c r="J6" s="9">
        <f ca="1">'Kvartalas "Asiūklės parkas” (2)'!B13</f>
        <v>144</v>
      </c>
      <c r="K6" s="9" t="str">
        <f ca="1">'Kvartalas "Asiūklės parkas” (2)'!S3</f>
        <v/>
      </c>
      <c r="L6" s="5">
        <f>'Kvartalas "Asiūklės parkas” (2)'!N3</f>
        <v>0.51</v>
      </c>
      <c r="M6" s="5">
        <f>'Kvartalas "Asiūklės parkas” (2)'!P3</f>
        <v>8.1700000000000017</v>
      </c>
      <c r="AC6" s="5" t="str">
        <f ca="1">'Kvartalas "Asiūklės parkas” (2)'!AA2</f>
        <v/>
      </c>
    </row>
    <row r="7" spans="1:29" x14ac:dyDescent="0.25">
      <c r="A7" s="3">
        <v>5</v>
      </c>
      <c r="B7" s="8">
        <f>'Jono Puzino g. 21-1 (1)'!B4</f>
        <v>45772</v>
      </c>
      <c r="C7" s="21" t="str">
        <f>'Jono Puzino g. 21-1 (1)'!B2</f>
        <v>Jono Puzino g. 21 - 1, Vilnius, Lietuva (1 etapas)</v>
      </c>
      <c r="D7" s="3">
        <f>'Jono Puzino g. 21-1 (1)'!B8</f>
        <v>12</v>
      </c>
      <c r="E7" s="3" t="str">
        <f>'Jono Puzino g. 21-1 (1)'!B5</f>
        <v>B</v>
      </c>
      <c r="F7" s="14">
        <f>'Jono Puzino g. 21-1 (1)'!B10</f>
        <v>0.12</v>
      </c>
      <c r="G7" s="5">
        <f>'Jono Puzino g. 21-1 (1)'!B11</f>
        <v>50</v>
      </c>
      <c r="H7" s="8">
        <f>'Jono Puzino g. 21-1 (1)'!B12</f>
        <v>46137</v>
      </c>
      <c r="I7" s="8">
        <f>'Jono Puzino g. 21-1 (1)'!R3</f>
        <v>46125</v>
      </c>
      <c r="J7" s="9" t="str">
        <f ca="1">'Jono Puzino g. 21-1 (1)'!B13</f>
        <v/>
      </c>
      <c r="K7" s="9" t="str">
        <f ca="1">'Jono Puzino g. 21-1 (1)'!S3</f>
        <v/>
      </c>
      <c r="L7" s="5">
        <f>'Jono Puzino g. 21-1 (1)'!N3</f>
        <v>50</v>
      </c>
      <c r="M7" s="5">
        <f>'Jono Puzino g. 21-1 (1)'!P3</f>
        <v>5.6099999999999994</v>
      </c>
      <c r="AC7" s="5" t="str">
        <f ca="1">'Jono Puzino g. 21-1 (1)'!AA2</f>
        <v/>
      </c>
    </row>
    <row r="8" spans="1:29" x14ac:dyDescent="0.25">
      <c r="A8" s="3">
        <v>6</v>
      </c>
      <c r="B8" s="8">
        <f>'Jono Puzino g. 21-1 (2)'!B4</f>
        <v>45777</v>
      </c>
      <c r="C8" s="21" t="str">
        <f>'Jono Puzino g. 21-1 (2)'!B2</f>
        <v>Jono Puzino g. 21 - 1, Vilnius, Lietuva (2 etapas)</v>
      </c>
      <c r="D8" s="3">
        <f>'Jono Puzino g. 21-1 (2)'!B8</f>
        <v>12</v>
      </c>
      <c r="E8" s="3" t="str">
        <f>'Jono Puzino g. 21-1 (2)'!B5</f>
        <v>B</v>
      </c>
      <c r="F8" s="14">
        <f>'Jono Puzino g. 21-1 (2)'!B10</f>
        <v>0.12</v>
      </c>
      <c r="G8" s="5">
        <f>'Jono Puzino g. 21-1 (2)'!B11</f>
        <v>54</v>
      </c>
      <c r="H8" s="8">
        <f>'Jono Puzino g. 21-1 (2)'!B12</f>
        <v>46137</v>
      </c>
      <c r="I8" s="8">
        <f>'Jono Puzino g. 21-1 (2)'!R3</f>
        <v>46125</v>
      </c>
      <c r="J8" s="9" t="str">
        <f ca="1">'Jono Puzino g. 21-1 (2)'!B13</f>
        <v/>
      </c>
      <c r="K8" s="9" t="str">
        <f ca="1">'Jono Puzino g. 21-1 (2)'!S3</f>
        <v/>
      </c>
      <c r="L8" s="5">
        <f>'Jono Puzino g. 21-1 (2)'!N3</f>
        <v>54</v>
      </c>
      <c r="M8" s="5">
        <f>'Jono Puzino g. 21-1 (2)'!P3</f>
        <v>6.09</v>
      </c>
      <c r="AC8" s="5" t="str">
        <f ca="1">'Jono Puzino g. 21-1 (2)'!AA2</f>
        <v/>
      </c>
    </row>
    <row r="9" spans="1:29" x14ac:dyDescent="0.25">
      <c r="A9" s="3">
        <v>7</v>
      </c>
      <c r="B9" s="8">
        <f>'Lubānas g. 133A, Ryga (7)'!B4</f>
        <v>45782</v>
      </c>
      <c r="C9" s="21" t="str">
        <f>'Lubānas g. 133A, Ryga (7)'!B2</f>
        <v>Lubānas g. 133A, Ryga, Latvija (7 etapas)</v>
      </c>
      <c r="D9" s="3">
        <f>'Lubānas g. 133A, Ryga (7)'!B8</f>
        <v>7</v>
      </c>
      <c r="E9" s="3" t="str">
        <f>'Lubānas g. 133A, Ryga (7)'!B5</f>
        <v>B</v>
      </c>
      <c r="F9" s="14">
        <f>'Lubānas g. 133A, Ryga (7)'!B10</f>
        <v>0.12</v>
      </c>
      <c r="G9" s="5">
        <f>'Lubānas g. 133A, Ryga (7)'!B11</f>
        <v>51</v>
      </c>
      <c r="H9" s="8">
        <f>'Lubānas g. 133A, Ryga (7)'!B12</f>
        <v>45983</v>
      </c>
      <c r="I9" s="8">
        <f>'Lubānas g. 133A, Ryga (7)'!R3</f>
        <v>46010</v>
      </c>
      <c r="J9" s="9" t="str">
        <f ca="1">'Lubānas g. 133A, Ryga (7)'!B13</f>
        <v/>
      </c>
      <c r="K9" s="9" t="str">
        <f ca="1">'Lubānas g. 133A, Ryga (7)'!S3</f>
        <v/>
      </c>
      <c r="L9" s="5">
        <f>'Lubānas g. 133A, Ryga (7)'!N3</f>
        <v>51</v>
      </c>
      <c r="M9" s="5">
        <f>'Lubānas g. 133A, Ryga (7)'!P3</f>
        <v>3.77</v>
      </c>
      <c r="AC9" s="5" t="str">
        <f ca="1">'Lubānas g. 133A, Ryga (7)'!AA2</f>
        <v/>
      </c>
    </row>
    <row r="10" spans="1:29" x14ac:dyDescent="0.25">
      <c r="A10" s="3">
        <v>8</v>
      </c>
      <c r="B10" s="8">
        <f>'Stoties g. 38, Panevėžys'!B4</f>
        <v>45807</v>
      </c>
      <c r="C10" s="21" t="str">
        <f>'Stoties g. 38, Panevėžys'!B2</f>
        <v>Stoties g. 38, Panevėžys, Lietuva</v>
      </c>
      <c r="D10" s="3">
        <f>'Stoties g. 38, Panevėžys'!B8</f>
        <v>12</v>
      </c>
      <c r="E10" s="3" t="str">
        <f>'Stoties g. 38, Panevėžys'!B5</f>
        <v>B</v>
      </c>
      <c r="F10" s="14">
        <f>'Stoties g. 38, Panevėžys'!B10</f>
        <v>0.13</v>
      </c>
      <c r="G10" s="5">
        <f>'Stoties g. 38, Panevėžys'!B11</f>
        <v>50</v>
      </c>
      <c r="H10" s="8">
        <f>'Stoties g. 38, Panevėžys'!B12</f>
        <v>46168</v>
      </c>
      <c r="I10" s="8">
        <f>'Stoties g. 38, Panevėžys'!R3</f>
        <v>46171</v>
      </c>
      <c r="J10" s="9" t="str">
        <f ca="1">'Stoties g. 38, Panevėžys'!B13</f>
        <v/>
      </c>
      <c r="K10" s="9" t="str">
        <f ca="1">'Stoties g. 38, Panevėžys'!S3</f>
        <v/>
      </c>
      <c r="L10" s="5">
        <f>'Stoties g. 38, Panevėžys'!N3</f>
        <v>50</v>
      </c>
      <c r="M10" s="5">
        <f>'Stoties g. 38, Panevėžys'!P3</f>
        <v>6.6899999999999995</v>
      </c>
      <c r="AC10" s="5" t="str">
        <f ca="1">'Stoties g. 38, Panevėžys'!AA2</f>
        <v/>
      </c>
    </row>
    <row r="11" spans="1:29" x14ac:dyDescent="0.25">
      <c r="A11" s="3">
        <v>9</v>
      </c>
      <c r="B11" s="8">
        <f>'Vidiškių vs., Žemaitkiemio (2)'!B4</f>
        <v>45834</v>
      </c>
      <c r="C11" s="21" t="str">
        <f>'Vidiškių vs., Žemaitkiemio (2)'!B2</f>
        <v>Vidiškių vs., Žemaitkiemio sen., Ukmergės r. (2 etapas)</v>
      </c>
      <c r="D11" s="3">
        <f>'Vidiškių vs., Žemaitkiemio (2)'!B8</f>
        <v>24</v>
      </c>
      <c r="E11" s="3" t="str">
        <f>'Vidiškių vs., Žemaitkiemio (2)'!B5</f>
        <v>C</v>
      </c>
      <c r="F11" s="14">
        <f>'Vidiškių vs., Žemaitkiemio (2)'!B10</f>
        <v>0.15</v>
      </c>
      <c r="G11" s="5">
        <f>'Vidiškių vs., Žemaitkiemio (2)'!B11</f>
        <v>55</v>
      </c>
      <c r="H11" s="8">
        <f>'Vidiškių vs., Žemaitkiemio (2)'!B12</f>
        <v>46564</v>
      </c>
      <c r="I11" s="8" t="str">
        <f>'Vidiškių vs., Žemaitkiemio (2)'!R3</f>
        <v/>
      </c>
      <c r="J11" s="9">
        <f ca="1">'Vidiškių vs., Žemaitkiemio (2)'!B13</f>
        <v>269</v>
      </c>
      <c r="K11" s="9" t="str">
        <f ca="1">'Vidiškių vs., Žemaitkiemio (2)'!S3</f>
        <v/>
      </c>
      <c r="L11" s="5">
        <f>'Vidiškių vs., Žemaitkiemio (2)'!N3</f>
        <v>0</v>
      </c>
      <c r="M11" s="5">
        <f>'Vidiškių vs., Žemaitkiemio (2)'!P3</f>
        <v>11.51</v>
      </c>
      <c r="AC11" s="5" t="str">
        <f ca="1">'Vidiškių vs., Žemaitkiemio (2)'!AA2</f>
        <v/>
      </c>
    </row>
    <row r="12" spans="1:29" x14ac:dyDescent="0.25">
      <c r="A12" s="3">
        <v>10</v>
      </c>
      <c r="B12" s="8">
        <f>'Gyvenamasis kvar. Javų g. (1)'!B4</f>
        <v>45835</v>
      </c>
      <c r="C12" s="21" t="str">
        <f>'Gyvenamasis kvar. Javų g. (1)'!B2</f>
        <v>Gyvenamasis kvartalas Javų g., Šiauliai, Lietuva (1 etapas)</v>
      </c>
      <c r="D12" s="3">
        <f>'Gyvenamasis kvar. Javų g. (1)'!B8</f>
        <v>12</v>
      </c>
      <c r="E12" s="3" t="str">
        <f>'Gyvenamasis kvar. Javų g. (1)'!B5</f>
        <v>C</v>
      </c>
      <c r="F12" s="14">
        <f>'Gyvenamasis kvar. Javų g. (1)'!B10</f>
        <v>0.14000000000000001</v>
      </c>
      <c r="G12" s="5">
        <f>'Gyvenamasis kvar. Javų g. (1)'!B11</f>
        <v>50</v>
      </c>
      <c r="H12" s="8">
        <f>'Gyvenamasis kvar. Javų g. (1)'!B12</f>
        <v>46383</v>
      </c>
      <c r="I12" s="8">
        <f>'Gyvenamasis kvar. Javų g. (1)'!R3</f>
        <v>46220</v>
      </c>
      <c r="J12" s="9" t="str">
        <f ca="1">'Gyvenamasis kvar. Javų g. (1)'!B13</f>
        <v/>
      </c>
      <c r="K12" s="9" t="str">
        <f ca="1">'Gyvenamasis kvar. Javų g. (1)'!S3</f>
        <v/>
      </c>
      <c r="L12" s="5">
        <f>'Gyvenamasis kvar. Javų g. (1)'!N3</f>
        <v>50</v>
      </c>
      <c r="M12" s="5">
        <f>'Gyvenamasis kvar. Javų g. (1)'!P3</f>
        <v>8.5</v>
      </c>
      <c r="AC12" s="5" t="str">
        <f ca="1">'Gyvenamasis kvar. Javų g. (1)'!AA2</f>
        <v/>
      </c>
    </row>
    <row r="13" spans="1:29" x14ac:dyDescent="0.25">
      <c r="A13" s="3">
        <v>11</v>
      </c>
      <c r="B13" s="8">
        <f>'Vilniaus g. 38 38A 38B (1)'!B4</f>
        <v>45842</v>
      </c>
      <c r="C13" s="21" t="str">
        <f>'Vilniaus g. 38 38A 38B (1)'!B2</f>
        <v>Vilniaus g. 38/38A/38B, Putiniškių k. (1 etapas)</v>
      </c>
      <c r="D13" s="3">
        <f>'Vilniaus g. 38 38A 38B (1)'!B8</f>
        <v>12</v>
      </c>
      <c r="E13" s="3" t="str">
        <f>'Vilniaus g. 38 38A 38B (1)'!B5</f>
        <v>B</v>
      </c>
      <c r="F13" s="14">
        <f>'Vilniaus g. 38 38A 38B (1)'!B10</f>
        <v>0.12</v>
      </c>
      <c r="G13" s="5">
        <f>'Vilniaus g. 38 38A 38B (1)'!B11</f>
        <v>52</v>
      </c>
      <c r="H13" s="8">
        <f>'Vilniaus g. 38 38A 38B (1)'!B12</f>
        <v>46207</v>
      </c>
      <c r="I13" s="8" t="str">
        <f>'Vilniaus g. 38 38A 38B (1)'!R3</f>
        <v/>
      </c>
      <c r="J13" s="9">
        <f ca="1">'Vilniaus g. 38 38A 38B (1)'!B13</f>
        <v>-88</v>
      </c>
      <c r="K13" s="9">
        <f ca="1">'Vilniaus g. 38 38A 38B (1)'!S3</f>
        <v>118</v>
      </c>
      <c r="L13" s="5">
        <f>'Vilniaus g. 38 38A 38B (1)'!N3</f>
        <v>0</v>
      </c>
      <c r="M13" s="5">
        <f>'Vilniaus g. 38 38A 38B (1)'!P3</f>
        <v>5.169999999999999</v>
      </c>
      <c r="AC13" s="5" t="str">
        <f ca="1">'Vilniaus g. 38 38A 38B (1)'!AA2</f>
        <v>+</v>
      </c>
    </row>
    <row r="14" spans="1:29" x14ac:dyDescent="0.25">
      <c r="A14" s="3">
        <v>12</v>
      </c>
      <c r="B14" s="8">
        <f>'Lubānas g. 133A, Ryga, (12)'!B4</f>
        <v>45859</v>
      </c>
      <c r="C14" s="21" t="str">
        <f>'Lubānas g. 133A, Ryga, (12)'!B2</f>
        <v>Lubānas g. 133A, Ryga, Latvija (12 etapas)</v>
      </c>
      <c r="D14" s="3">
        <f>'Lubānas g. 133A, Ryga, (12)'!B8</f>
        <v>5</v>
      </c>
      <c r="E14" s="3" t="str">
        <f>'Lubānas g. 133A, Ryga, (12)'!B5</f>
        <v>B</v>
      </c>
      <c r="F14" s="14">
        <f>'Lubānas g. 133A, Ryga, (12)'!B10</f>
        <v>0.11</v>
      </c>
      <c r="G14" s="5">
        <f>'Lubānas g. 133A, Ryga, (12)'!B11</f>
        <v>56</v>
      </c>
      <c r="H14" s="8">
        <f>'Lubānas g. 133A, Ryga, (12)'!B12</f>
        <v>45983</v>
      </c>
      <c r="I14" s="8">
        <f>'Lubānas g. 133A, Ryga, (12)'!R3</f>
        <v>46010</v>
      </c>
      <c r="J14" s="9" t="str">
        <f ca="1">'Lubānas g. 133A, Ryga, (12)'!B13</f>
        <v/>
      </c>
      <c r="K14" s="9" t="str">
        <f ca="1">'Lubānas g. 133A, Ryga, (12)'!S3</f>
        <v/>
      </c>
      <c r="L14" s="5">
        <f>'Lubānas g. 133A, Ryga, (12)'!N3</f>
        <v>56</v>
      </c>
      <c r="M14" s="5">
        <f>'Lubānas g. 133A, Ryga, (12)'!P3</f>
        <v>2.5299999999999998</v>
      </c>
      <c r="AC14" s="5" t="str">
        <f ca="1">'Lubānas g. 133A, Ryga, (12)'!AA2</f>
        <v/>
      </c>
    </row>
    <row r="15" spans="1:29" x14ac:dyDescent="0.25">
      <c r="A15" s="3">
        <v>13</v>
      </c>
      <c r="B15" s="8">
        <f>'Viensėdžio g. 36A (3)'!B4</f>
        <v>45902</v>
      </c>
      <c r="C15" s="21" t="str">
        <f>'Viensėdžio g. 36A (3)'!B2</f>
        <v>Viensėdžio g. 36A, Krikšioniškių k., (3 etapas)</v>
      </c>
      <c r="D15" s="3">
        <f>'Viensėdžio g. 36A (3)'!B8</f>
        <v>12</v>
      </c>
      <c r="E15" s="3" t="str">
        <f>'Viensėdžio g. 36A (3)'!B5</f>
        <v>A</v>
      </c>
      <c r="F15" s="14">
        <f>'Viensėdžio g. 36A (3)'!B10</f>
        <v>0.11</v>
      </c>
      <c r="G15" s="5">
        <f>'Viensėdžio g. 36A (3)'!B11</f>
        <v>56</v>
      </c>
      <c r="H15" s="8">
        <f>'Viensėdžio g. 36A (3)'!B12</f>
        <v>46248</v>
      </c>
      <c r="I15" s="8" t="str">
        <f>'Viensėdžio g. 36A (3)'!R3</f>
        <v/>
      </c>
      <c r="J15" s="9">
        <f ca="1">'Viensėdžio g. 36A (3)'!B13</f>
        <v>-47</v>
      </c>
      <c r="K15" s="9">
        <f ca="1">'Viensėdžio g. 36A (3)'!S3</f>
        <v>47</v>
      </c>
      <c r="L15" s="5">
        <f>'Viensėdžio g. 36A (3)'!N3</f>
        <v>0</v>
      </c>
      <c r="M15" s="5">
        <f>'Viensėdžio g. 36A (3)'!P3</f>
        <v>5.59</v>
      </c>
      <c r="AC15" s="5" t="str">
        <f ca="1">'Viensėdžio g. 36A (3)'!AA2</f>
        <v>+</v>
      </c>
    </row>
    <row r="16" spans="1:29" x14ac:dyDescent="0.25">
      <c r="A16" s="3">
        <v>14</v>
      </c>
      <c r="B16" s="8">
        <f>'Šaltinio g. 7, Panevėžys (1)'!B4</f>
        <v>45908</v>
      </c>
      <c r="C16" s="21" t="str">
        <f>'Šaltinio g. 7, Panevėžys (1)'!B2</f>
        <v>Šaltinio g. 7, Panevėžys, Lietuva (1 etapas)</v>
      </c>
      <c r="D16" s="3">
        <f>'Šaltinio g. 7, Panevėžys (1)'!B8</f>
        <v>24</v>
      </c>
      <c r="E16" s="3" t="str">
        <f>'Šaltinio g. 7, Panevėžys (1)'!B5</f>
        <v>A</v>
      </c>
      <c r="F16" s="14">
        <f>'Šaltinio g. 7, Panevėžys (1)'!B10</f>
        <v>0.12</v>
      </c>
      <c r="G16" s="5">
        <f>'Šaltinio g. 7, Panevėžys (1)'!B11</f>
        <v>54</v>
      </c>
      <c r="H16" s="8">
        <f>'Šaltinio g. 7, Panevėžys (1)'!B12</f>
        <v>46638</v>
      </c>
      <c r="I16" s="8" t="str">
        <f>'Šaltinio g. 7, Panevėžys (1)'!R3</f>
        <v/>
      </c>
      <c r="J16" s="9">
        <f ca="1">'Šaltinio g. 7, Panevėžys (1)'!B13</f>
        <v>343</v>
      </c>
      <c r="K16" s="9" t="str">
        <f ca="1">'Šaltinio g. 7, Panevėžys (1)'!S3</f>
        <v/>
      </c>
      <c r="L16" s="5">
        <f>'Šaltinio g. 7, Panevėžys (1)'!N3</f>
        <v>0</v>
      </c>
      <c r="M16" s="5">
        <f>'Šaltinio g. 7, Panevėžys (1)'!P3</f>
        <v>6.46</v>
      </c>
      <c r="AC16" s="5" t="str">
        <f ca="1">'Šaltinio g. 7, Panevėžys (1)'!AA2</f>
        <v/>
      </c>
    </row>
    <row r="17" spans="1:29" x14ac:dyDescent="0.25">
      <c r="A17" s="3">
        <v>15</v>
      </c>
      <c r="B17" s="8">
        <f>'Mozūriškių g. 17 - 3, Vilnius'!B4</f>
        <v>45919</v>
      </c>
      <c r="C17" s="22" t="str">
        <f>'Mozūriškių g. 17 - 3, Vilnius'!B2</f>
        <v>Mozūriškių g. 17 - 3, Vilnius, Lietuva</v>
      </c>
      <c r="D17" s="3">
        <f>'Mozūriškių g. 17 - 3, Vilnius'!B8</f>
        <v>12</v>
      </c>
      <c r="E17" s="3" t="str">
        <f>'Mozūriškių g. 17 - 3, Vilnius'!B5</f>
        <v>B</v>
      </c>
      <c r="F17" s="14">
        <f>'Mozūriškių g. 17 - 3, Vilnius'!B10</f>
        <v>0.12</v>
      </c>
      <c r="G17" s="5">
        <f>'Mozūriškių g. 17 - 3, Vilnius'!B11</f>
        <v>53</v>
      </c>
      <c r="H17" s="8">
        <f>'Mozūriškių g. 17 - 3, Vilnius'!B12</f>
        <v>46284</v>
      </c>
      <c r="I17" s="8" t="str">
        <f>'Mozūriškių g. 17 - 3, Vilnius'!R3</f>
        <v/>
      </c>
      <c r="J17" s="9">
        <f ca="1">'Mozūriškių g. 17 - 3, Vilnius'!B13</f>
        <v>-11</v>
      </c>
      <c r="K17" s="9">
        <f ca="1">'Mozūriškių g. 17 - 3, Vilnius'!S3</f>
        <v>73</v>
      </c>
      <c r="L17" s="5">
        <f>'Mozūriškių g. 17 - 3, Vilnius'!N3</f>
        <v>0</v>
      </c>
      <c r="M17" s="5">
        <f>'Mozūriškių g. 17 - 3, Vilnius'!P3</f>
        <v>4.83</v>
      </c>
      <c r="AC17" s="5" t="str">
        <f ca="1">'Mozūriškių g. 17 - 3, Vilnius'!AA2</f>
        <v>+</v>
      </c>
    </row>
    <row r="18" spans="1:29" x14ac:dyDescent="0.25">
      <c r="A18" s="3">
        <v>16</v>
      </c>
      <c r="B18" s="8">
        <f>'Parko g. 21 Pergalės g. 36A (1)'!B4</f>
        <v>45959</v>
      </c>
      <c r="C18" s="22" t="str">
        <f>'Parko g. 21 Pergalės g. 36A (1)'!B2</f>
        <v>Parko g. 21 / Pergalės g. 36A, Vilnius, Lietuva (1 etapas)</v>
      </c>
      <c r="D18" s="3">
        <f>'Parko g. 21 Pergalės g. 36A (1)'!B8</f>
        <v>12</v>
      </c>
      <c r="E18" s="3" t="str">
        <f>'Parko g. 21 Pergalės g. 36A (1)'!B5</f>
        <v>B</v>
      </c>
      <c r="F18" s="14">
        <f>'Parko g. 21 Pergalės g. 36A (1)'!B10</f>
        <v>0.12</v>
      </c>
      <c r="G18" s="5">
        <f>'Parko g. 21 Pergalės g. 36A (1)'!B11</f>
        <v>54</v>
      </c>
      <c r="H18" s="8">
        <f>'Parko g. 21 Pergalės g. 36A (1)'!B12</f>
        <v>46323</v>
      </c>
      <c r="I18" s="8" t="str">
        <f>'Parko g. 21 Pergalės g. 36A (1)'!R3</f>
        <v/>
      </c>
      <c r="J18" s="9">
        <f ca="1">'Parko g. 21 Pergalės g. 36A (1)'!B13</f>
        <v>28</v>
      </c>
      <c r="K18" s="9">
        <f ca="1">'Parko g. 21 Pergalės g. 36A (1)'!S3</f>
        <v>121</v>
      </c>
      <c r="L18" s="5">
        <f>'Parko g. 21 Pergalės g. 36A (1)'!N3</f>
        <v>0</v>
      </c>
      <c r="M18" s="5">
        <f>'Parko g. 21 Pergalės g. 36A (1)'!P3</f>
        <v>3.4500000000000006</v>
      </c>
      <c r="AC18" s="5" t="str">
        <f ca="1">'Parko g. 21 Pergalės g. 36A (1)'!AA2</f>
        <v>+</v>
      </c>
    </row>
    <row r="19" spans="1:29" x14ac:dyDescent="0.25">
      <c r="A19" s="3">
        <v>17</v>
      </c>
      <c r="B19" s="8">
        <f>'Pienių g. 28A-28E (1)'!B4</f>
        <v>45960</v>
      </c>
      <c r="C19" s="21" t="str">
        <f>'Pienių g. 28A-28E (1)'!B2</f>
        <v>Pienių g. 28A-28E, Užliedžių k., Užliedžių sen., (1 etapas)</v>
      </c>
      <c r="D19" s="3">
        <f>'Pienių g. 28A-28E (1)'!B8</f>
        <v>12</v>
      </c>
      <c r="E19" s="3" t="str">
        <f>'Pienių g. 28A-28E (1)'!B5</f>
        <v>C</v>
      </c>
      <c r="F19" s="14">
        <f>'Pienių g. 28A-28E (1)'!B10</f>
        <v>0.14000000000000001</v>
      </c>
      <c r="G19" s="5">
        <f>'Pienių g. 28A-28E (1)'!B11</f>
        <v>53</v>
      </c>
      <c r="H19" s="8">
        <f>'Pienių g. 28A-28E (1)'!B12</f>
        <v>46325</v>
      </c>
      <c r="I19" s="8">
        <f>'Pienių g. 28A-28E (1)'!R3</f>
        <v>46059</v>
      </c>
      <c r="J19" s="9" t="str">
        <f ca="1">'Pienių g. 28A-28E (1)'!B13</f>
        <v/>
      </c>
      <c r="K19" s="9" t="str">
        <f ca="1">'Pienių g. 28A-28E (1)'!S3</f>
        <v/>
      </c>
      <c r="L19" s="5">
        <f>'Pienių g. 28A-28E (1)'!N3</f>
        <v>53</v>
      </c>
      <c r="M19" s="5">
        <f>'Pienių g. 28A-28E (1)'!P3</f>
        <v>2.5299999999999998</v>
      </c>
      <c r="AC19" s="5" t="str">
        <f ca="1">'Pienių g. 28A-28E (1)'!AA2</f>
        <v/>
      </c>
    </row>
    <row r="20" spans="1:29" x14ac:dyDescent="0.25">
      <c r="A20" s="3">
        <v>18</v>
      </c>
      <c r="B20" s="8">
        <f>'Baltų Avenue (1)'!B4</f>
        <v>45980</v>
      </c>
      <c r="C20" s="21" t="str">
        <f>'Baltų Avenue (1)'!B2</f>
        <v>"Baltų Avenue" - Baltų pr. 87B ir 87C, Kaunas(1 etapas)</v>
      </c>
      <c r="D20" s="3">
        <f>'Baltų Avenue (1)'!B8</f>
        <v>24</v>
      </c>
      <c r="E20" s="3" t="str">
        <f>'Baltų Avenue (1)'!B5</f>
        <v>A</v>
      </c>
      <c r="F20" s="14">
        <f>'Baltų Avenue (1)'!B10</f>
        <v>0.11</v>
      </c>
      <c r="G20" s="5">
        <f>'Baltų Avenue (1)'!B11</f>
        <v>77</v>
      </c>
      <c r="H20" s="8">
        <f>'Baltų Avenue (1)'!B12</f>
        <v>46709</v>
      </c>
      <c r="I20" s="8" t="str">
        <f>'Baltų Avenue (1)'!R3</f>
        <v/>
      </c>
      <c r="J20" s="9">
        <f ca="1">'Baltų Avenue (1)'!B13</f>
        <v>414</v>
      </c>
      <c r="K20" s="9" t="str">
        <f ca="1">'Baltų Avenue (1)'!S3</f>
        <v/>
      </c>
      <c r="L20" s="5">
        <f>'Baltų Avenue (1)'!N3</f>
        <v>0</v>
      </c>
      <c r="M20" s="5">
        <f>'Baltų Avenue (1)'!P3</f>
        <v>6.9700000000000006</v>
      </c>
      <c r="AC20" s="5" t="str">
        <f ca="1">'Baltų Avenue (1)'!AA2</f>
        <v/>
      </c>
    </row>
    <row r="21" spans="1:29" x14ac:dyDescent="0.25">
      <c r="A21" s="3">
        <v>19</v>
      </c>
      <c r="B21" s="8">
        <f>'"Filleo Home", Palanga (3)'!B4</f>
        <v>46020</v>
      </c>
      <c r="C21" s="21" t="str">
        <f>'"Filleo Home", Palanga (3)'!B2</f>
        <v>"Filleo Home" - Klevų 8-oji g., Palanga, Lietuva (3 etapas)</v>
      </c>
      <c r="D21" s="3">
        <f>'"Filleo Home", Palanga (3)'!B8</f>
        <v>12</v>
      </c>
      <c r="E21" s="3" t="str">
        <f>'"Filleo Home", Palanga (3)'!B5</f>
        <v>B</v>
      </c>
      <c r="F21" s="14">
        <f>'"Filleo Home", Palanga (3)'!B10</f>
        <v>0.12</v>
      </c>
      <c r="G21" s="5">
        <f>'"Filleo Home", Palanga (3)'!B11</f>
        <v>66</v>
      </c>
      <c r="H21" s="8">
        <f>'"Filleo Home", Palanga (3)'!B12</f>
        <v>46371</v>
      </c>
      <c r="I21" s="8" t="str">
        <f>'"Filleo Home", Palanga (3)'!R3</f>
        <v/>
      </c>
      <c r="J21" s="9">
        <f ca="1">'"Filleo Home", Palanga (3)'!B13</f>
        <v>76</v>
      </c>
      <c r="K21" s="9" t="str">
        <f ca="1">'"Filleo Home", Palanga (3)'!S3</f>
        <v/>
      </c>
      <c r="L21" s="5">
        <f>'"Filleo Home", Palanga (3)'!N3</f>
        <v>0</v>
      </c>
      <c r="M21" s="5">
        <f>'"Filleo Home", Palanga (3)'!P3</f>
        <v>5.33</v>
      </c>
      <c r="AC21" s="5" t="str">
        <f ca="1">'"Filleo Home", Palanga (3)'!AA2</f>
        <v/>
      </c>
    </row>
    <row r="22" spans="1:29" x14ac:dyDescent="0.25">
      <c r="A22" s="3">
        <v>20</v>
      </c>
      <c r="B22" s="8">
        <f>'Sklypų masyvas Loo, Parnu (1)'!B4</f>
        <v>46029</v>
      </c>
      <c r="C22" s="21" t="str">
        <f>'Sklypų masyvas Loo, Parnu (1)'!B2</f>
        <v>Sklypų masyvas Loo tee, Elu tee, Pärnu, Estija (1 etapas)</v>
      </c>
      <c r="D22" s="3">
        <f>'Sklypų masyvas Loo, Parnu (1)'!B8</f>
        <v>14</v>
      </c>
      <c r="E22" s="3" t="str">
        <f>'Sklypų masyvas Loo, Parnu (1)'!B5</f>
        <v>B</v>
      </c>
      <c r="F22" s="14">
        <f>'Sklypų masyvas Loo, Parnu (1)'!B10</f>
        <v>0.13</v>
      </c>
      <c r="G22" s="5">
        <f>'Sklypų masyvas Loo, Parnu (1)'!B11</f>
        <v>60</v>
      </c>
      <c r="H22" s="8">
        <f>'Sklypų masyvas Loo, Parnu (1)'!B12</f>
        <v>46447</v>
      </c>
      <c r="I22" s="8" t="str">
        <f>'Sklypų masyvas Loo, Parnu (1)'!R3</f>
        <v/>
      </c>
      <c r="J22" s="9">
        <f ca="1">'Sklypų masyvas Loo, Parnu (1)'!B13</f>
        <v>152</v>
      </c>
      <c r="K22" s="9">
        <f ca="1">'Sklypų masyvas Loo, Parnu (1)'!S3</f>
        <v>54</v>
      </c>
      <c r="L22" s="5">
        <f>'Sklypų masyvas Loo, Parnu (1)'!N3</f>
        <v>17.7</v>
      </c>
      <c r="M22" s="5">
        <f>'Sklypų masyvas Loo, Parnu (1)'!P3</f>
        <v>4.2900000000000009</v>
      </c>
      <c r="AC22" s="5" t="str">
        <f ca="1">'Sklypų masyvas Loo, Parnu (1)'!AA2</f>
        <v>+</v>
      </c>
    </row>
    <row r="23" spans="1:29" x14ac:dyDescent="0.25">
      <c r="A23" s="3">
        <v>21</v>
      </c>
      <c r="B23" s="8">
        <f>'Liepų g. 3, Vyšniūnai (1)'!B4</f>
        <v>46065</v>
      </c>
      <c r="C23" s="21" t="str">
        <f>'Liepų g. 3, Vyšniūnai (1)'!B2</f>
        <v>Liepų g. 3, Vyšniūnai, Stakliškių sen., Prienų r. (1 etapas)</v>
      </c>
      <c r="D23" s="3">
        <f>'Liepų g. 3, Vyšniūnai (1)'!B8</f>
        <v>12</v>
      </c>
      <c r="E23" s="3" t="str">
        <f>'Liepų g. 3, Vyšniūnai (1)'!B5</f>
        <v>A</v>
      </c>
      <c r="F23" s="14">
        <f>'Liepų g. 3, Vyšniūnai (1)'!B10</f>
        <v>0.12</v>
      </c>
      <c r="G23" s="5">
        <f>'Liepų g. 3, Vyšniūnai (1)'!B11</f>
        <v>68</v>
      </c>
      <c r="H23" s="8">
        <f>'Liepų g. 3, Vyšniūnai (1)'!B12</f>
        <v>46429</v>
      </c>
      <c r="I23" s="8" t="str">
        <f>'Liepų g. 3, Vyšniūnai (1)'!R3</f>
        <v/>
      </c>
      <c r="J23" s="9">
        <f ca="1">'Liepų g. 3, Vyšniūnai (1)'!B13</f>
        <v>134</v>
      </c>
      <c r="K23" s="9">
        <f ca="1">'Liepų g. 3, Vyšniūnai (1)'!S3</f>
        <v>80</v>
      </c>
      <c r="L23" s="5">
        <f>'Liepų g. 3, Vyšniūnai (1)'!N3</f>
        <v>0</v>
      </c>
      <c r="M23" s="5">
        <f>'Liepų g. 3, Vyšniūnai (1)'!P3</f>
        <v>2.92</v>
      </c>
      <c r="AC23" s="5" t="str">
        <f ca="1">'Liepų g. 3, Vyšniūnai (1)'!AA2</f>
        <v>+</v>
      </c>
    </row>
    <row r="24" spans="1:29" x14ac:dyDescent="0.25">
      <c r="A24" s="3">
        <v>22</v>
      </c>
      <c r="B24" s="8">
        <f>'Basliupio g. 14, Panevėžys (3)'!B4</f>
        <v>46090</v>
      </c>
      <c r="C24" s="21" t="str">
        <f>'Basliupio g. 14, Panevėžys (3)'!B2</f>
        <v>Basliupio g. 14, Panevėžys, Lietuva (3 etapas)</v>
      </c>
      <c r="D24" s="3">
        <f>'Basliupio g. 14, Panevėžys (3)'!B8</f>
        <v>24</v>
      </c>
      <c r="E24" s="3" t="str">
        <f>'Basliupio g. 14, Panevėžys (3)'!B5</f>
        <v>B</v>
      </c>
      <c r="F24" s="14">
        <f>'Basliupio g. 14, Panevėžys (3)'!B10</f>
        <v>0.13</v>
      </c>
      <c r="G24" s="5">
        <f>'Basliupio g. 14, Panevėžys (3)'!B11</f>
        <v>55</v>
      </c>
      <c r="H24" s="8">
        <f>'Basliupio g. 14, Panevėžys (3)'!B12</f>
        <v>46796</v>
      </c>
      <c r="I24" s="8" t="str">
        <f>'Basliupio g. 14, Panevėžys (3)'!R3</f>
        <v/>
      </c>
      <c r="J24" s="9">
        <f ca="1">'Basliupio g. 14, Panevėžys (3)'!B13</f>
        <v>501</v>
      </c>
      <c r="K24" s="9" t="str">
        <f ca="1">'Basliupio g. 14, Panevėžys (3)'!S3</f>
        <v/>
      </c>
      <c r="L24" s="5">
        <f>'Basliupio g. 14, Panevėžys (3)'!N3</f>
        <v>0</v>
      </c>
      <c r="M24" s="5">
        <f>'Basliupio g. 14, Panevėžys (3)'!P3</f>
        <v>3.56</v>
      </c>
      <c r="AC24" s="5" t="str">
        <f ca="1">'Basliupio g. 14, Panevėžys (3)'!AA2</f>
        <v/>
      </c>
    </row>
    <row r="25" spans="1:29" x14ac:dyDescent="0.25">
      <c r="A25" s="3">
        <v>23</v>
      </c>
      <c r="B25" s="8">
        <f>'Mėguvos g. 6 ir 8, Palanga (2)'!B4</f>
        <v>46127</v>
      </c>
      <c r="C25" s="21" t="str">
        <f>'Mėguvos g. 6 ir 8, Palanga (2)'!B2</f>
        <v>Mėguvos g. 6 ir 8, Palanga, Lietuva (2 etapas)</v>
      </c>
      <c r="D25" s="3">
        <f>'Mėguvos g. 6 ir 8, Palanga (2)'!B8</f>
        <v>12</v>
      </c>
      <c r="E25" s="3" t="str">
        <f>'Mėguvos g. 6 ir 8, Palanga (2)'!B5</f>
        <v>B</v>
      </c>
      <c r="F25" s="14">
        <f>'Mėguvos g. 6 ir 8, Palanga (2)'!B10</f>
        <v>0.12</v>
      </c>
      <c r="G25" s="5">
        <f>'Mėguvos g. 6 ir 8, Palanga (2)'!B11</f>
        <v>52</v>
      </c>
      <c r="H25" s="8">
        <f>'Mėguvos g. 6 ir 8, Palanga (2)'!B12</f>
        <v>46490</v>
      </c>
      <c r="I25" s="8" t="str">
        <f>'Mėguvos g. 6 ir 8, Palanga (2)'!R3</f>
        <v/>
      </c>
      <c r="J25" s="9">
        <f ca="1">'Mėguvos g. 6 ir 8, Palanga (2)'!B13</f>
        <v>195</v>
      </c>
      <c r="K25" s="9">
        <f ca="1">'Mėguvos g. 6 ir 8, Palanga (2)'!S3</f>
        <v>46</v>
      </c>
      <c r="L25" s="5">
        <f>'Mėguvos g. 6 ir 8, Palanga (2)'!N3</f>
        <v>0</v>
      </c>
      <c r="M25" s="5">
        <f>'Mėguvos g. 6 ir 8, Palanga (2)'!P3</f>
        <v>1.57</v>
      </c>
      <c r="AC25" s="5" t="str">
        <f ca="1">'Mėguvos g. 6 ir 8, Palanga (2)'!AA2</f>
        <v>+</v>
      </c>
    </row>
    <row r="26" spans="1:29" x14ac:dyDescent="0.25">
      <c r="A26" s="3">
        <v>24</v>
      </c>
      <c r="B26" s="8">
        <f>'"Filleo Home", Palanga (10)'!B4</f>
        <v>46150</v>
      </c>
      <c r="C26" s="23" t="str">
        <f>'"Filleo Home", Palanga (10)'!B2</f>
        <v>"Filleo Home" - Klevų 8-oji g., Palanga (10 etapas)</v>
      </c>
      <c r="D26" s="3">
        <f>'"Filleo Home", Palanga (10)'!B8</f>
        <v>8</v>
      </c>
      <c r="E26" s="3" t="str">
        <f>'"Filleo Home", Palanga (10)'!B5</f>
        <v>B</v>
      </c>
      <c r="F26" s="15">
        <f>'"Filleo Home", Palanga (10)'!B10</f>
        <v>0.12</v>
      </c>
      <c r="G26" s="5">
        <f>'"Filleo Home", Palanga (10)'!B11</f>
        <v>75</v>
      </c>
      <c r="H26" s="8">
        <f>'"Filleo Home", Palanga (10)'!B12</f>
        <v>46371</v>
      </c>
      <c r="I26" s="8" t="str">
        <f>'"Filleo Home", Palanga (10)'!R3</f>
        <v/>
      </c>
      <c r="J26" s="9">
        <f ca="1">'"Filleo Home", Palanga (10)'!B13</f>
        <v>76</v>
      </c>
      <c r="K26" s="9" t="str">
        <f ca="1">'"Filleo Home", Palanga (10)'!S3</f>
        <v/>
      </c>
      <c r="L26" s="5">
        <f>'"Filleo Home", Palanga (10)'!N3</f>
        <v>0</v>
      </c>
      <c r="M26" s="5">
        <f>'"Filleo Home", Palanga (10)'!P3</f>
        <v>3.01</v>
      </c>
      <c r="AC26" s="5" t="str">
        <f ca="1">'"Filleo Home", Palanga (10)'!AA2</f>
        <v/>
      </c>
    </row>
    <row r="27" spans="1:29" x14ac:dyDescent="0.25">
      <c r="A27" s="3">
        <v>25</v>
      </c>
      <c r="B27" s="8">
        <f>'Baltų Avenue (11)'!B4</f>
        <v>46150</v>
      </c>
      <c r="C27" s="23" t="str">
        <f>'Baltų Avenue (11)'!B2</f>
        <v>"Baltų Avenue" - Baltų pr. 87B ir 87C, Kaunas(11 etapas)</v>
      </c>
      <c r="D27" s="3">
        <f>'Baltų Avenue (11)'!B8</f>
        <v>19</v>
      </c>
      <c r="E27" s="3" t="str">
        <f>'Baltų Avenue (11)'!B5</f>
        <v>A</v>
      </c>
      <c r="F27" s="15">
        <f>'Baltų Avenue (11)'!B10</f>
        <v>0.1</v>
      </c>
      <c r="G27" s="5">
        <f>'Baltų Avenue (11)'!B11</f>
        <v>53</v>
      </c>
      <c r="H27" s="8">
        <f>'Baltų Avenue (11)'!B12</f>
        <v>46709</v>
      </c>
      <c r="I27" s="8" t="str">
        <f>'Baltų Avenue (11)'!R3</f>
        <v/>
      </c>
      <c r="J27" s="9">
        <f ca="1">'Baltų Avenue (11)'!B13</f>
        <v>414</v>
      </c>
      <c r="K27" s="9" t="str">
        <f ca="1">'Baltų Avenue (11)'!S3</f>
        <v/>
      </c>
      <c r="L27" s="5">
        <f>'Baltų Avenue (11)'!N3</f>
        <v>0</v>
      </c>
      <c r="M27" s="5">
        <f>'Baltų Avenue (11)'!P3</f>
        <v>1.78</v>
      </c>
      <c r="AC27" s="5" t="str">
        <f ca="1">'Baltų Avenue (11)'!AA2</f>
        <v/>
      </c>
    </row>
    <row r="28" spans="1:29" x14ac:dyDescent="0.25">
      <c r="A28" s="3">
        <v>26</v>
      </c>
      <c r="B28" s="8">
        <f>'Plento g. 5A, Trakai (2)'!B3</f>
        <v>46171</v>
      </c>
      <c r="C28" s="25" t="str">
        <f>'Plento g. 5A, Trakai (2)'!B2</f>
        <v>Plento g. 5A, Trakai, Lietuva (2 etapas)</v>
      </c>
      <c r="D28" s="3">
        <f>'Plento g. 5A, Trakai (2)'!B8</f>
        <v>12</v>
      </c>
      <c r="E28" s="3" t="str">
        <f>'Plento g. 5A, Trakai (2)'!B5</f>
        <v>B</v>
      </c>
      <c r="F28" s="15">
        <f>'Plento g. 5A, Trakai (2)'!B10</f>
        <v>0.12</v>
      </c>
      <c r="G28" s="5">
        <f>'Plento g. 5A, Trakai (2)'!B11</f>
        <v>62</v>
      </c>
      <c r="H28" s="8">
        <f>'Plento g. 5A, Trakai (2)'!B12</f>
        <v>46561</v>
      </c>
      <c r="I28" s="8" t="str">
        <f>'Plento g. 5A, Trakai (2)'!R3</f>
        <v/>
      </c>
      <c r="J28" s="9">
        <f ca="1">'Plento g. 5A, Trakai (2)'!B13</f>
        <v>266</v>
      </c>
      <c r="K28" s="9">
        <f ca="1">'Plento g. 5A, Trakai (2)'!S3</f>
        <v>39</v>
      </c>
      <c r="L28" s="5">
        <f>'Plento g. 5A, Trakai (2)'!N3</f>
        <v>0</v>
      </c>
      <c r="M28" s="5">
        <f>'Plento g. 5A, Trakai (2)'!P3</f>
        <v>0</v>
      </c>
      <c r="AC28" s="5" t="str">
        <f ca="1">'Plento g. 5A, Trakai (2)'!AA2</f>
        <v>+</v>
      </c>
    </row>
  </sheetData>
  <mergeCells count="5">
    <mergeCell ref="A1:G1"/>
    <mergeCell ref="O1:R1"/>
    <mergeCell ref="S1:T1"/>
    <mergeCell ref="U1:X1"/>
    <mergeCell ref="H1:M1"/>
  </mergeCells>
  <conditionalFormatting sqref="A3:M28 AC3:AC28">
    <cfRule type="expression" dxfId="131" priority="18">
      <formula>$AC3="+"</formula>
    </cfRule>
    <cfRule type="expression" dxfId="130" priority="19">
      <formula>AND($G3&gt;0,$G3=$L3)</formula>
    </cfRule>
  </conditionalFormatting>
  <hyperlinks>
    <hyperlink ref="C3" location="'Mesiheina tee 5 ir 8 (1)'!A1" display="'Mesiheina tee 5 ir 8 (1)'!A1" xr:uid="{1F6DF6E0-0FF7-40B7-9606-2A941D31AEA2}"/>
    <hyperlink ref="C4" location="'Bistryčios g. 27 (3)'!A1" display="'Bistryčios g. 27 (3)'!A1" xr:uid="{E7889118-CE40-4F50-BBF4-8519C66433E1}"/>
    <hyperlink ref="C5" location="'2 MW saulės elektrinių par. (9)'!A1" display="'2 MW saulės elektrinių par. (9)'!A1" xr:uid="{6443B9C0-FE66-423E-BFE4-B9D5FB83DB36}"/>
    <hyperlink ref="C6" location="'Kvartalas &quot;Asiūklės parkas” (2)'!A1" display="'Kvartalas &quot;Asiūklės parkas” (2)'!A1" xr:uid="{A1F80083-E982-43C1-93F2-E84F5D964319}"/>
    <hyperlink ref="C7" location="'Jono Puzino g. 21-1 (1)'!A1" display="'Jono Puzino g. 21-1 (1)'!A1" xr:uid="{E5EBA962-B475-4F7F-92C9-90FD703E50B3}"/>
    <hyperlink ref="C8" location="'Jono Puzino g. 21-1 (2)'!A1" display="'Jono Puzino g. 21-1 (2)'!A1" xr:uid="{E056E24D-A44F-4357-92D7-B3D7EEDE5185}"/>
    <hyperlink ref="C9" location="'Lubānas g. 133A, Ryga (7)'!A1" display="'Lubānas g. 133A, Ryga (7)'!A1" xr:uid="{FBF3F4C0-8BD9-4089-832D-26C252E367C8}"/>
    <hyperlink ref="C10" location="'Stoties g. 38, Panevėžys'!A1" display="'Stoties g. 38, Panevėžys'!A1" xr:uid="{B6F25C1B-F6E4-4250-9338-76934C3BCDC4}"/>
    <hyperlink ref="C11" location="'Vidiškių vs., Žemaitkiemio (2)'!A1" display="'Vidiškių vs., Žemaitkiemio (2)'!A1" xr:uid="{0D5E6A76-EE7A-4868-853E-924729C0D1F3}"/>
    <hyperlink ref="C12" location="'Gyvenamasis kvar. Javų g. (1)'!A1" display="'Gyvenamasis kvar. Javų g. (1)'!A1" xr:uid="{C509521A-A430-4B9F-8B04-069B60796660}"/>
    <hyperlink ref="C13" location="'Vilniaus g. 38 38A 38B (1)'!A1" display="'Vilniaus g. 38 38A 38B (1)'!A1" xr:uid="{F1DBEDD5-F36C-4214-8A09-7D883D122A1D}"/>
    <hyperlink ref="C14" location="'Lubānas g. 133A, Ryga, (12)'!A1" display="'Lubānas g. 133A, Ryga, (12)'!A1" xr:uid="{9936D023-67C1-47AC-AEF2-D60D5942023C}"/>
    <hyperlink ref="C15" location="'Viensėdžio g. 36A (3)'!A1" display="'Viensėdžio g. 36A (3)'!A1" xr:uid="{B26E37F1-FAC2-4B2C-AD45-CC477C387D87}"/>
    <hyperlink ref="C16" location="'Šaltinio g. 7, Panevėžys (1)'!A1" display="'Šaltinio g. 7, Panevėžys (1)'!A1" xr:uid="{5C431D51-3597-4890-AD02-3CD906B304A1}"/>
    <hyperlink ref="C17" location="'Mozūriškių g. 17 - 3, Vilnius'!A1" display="'Mozūriškių g. 17 - 3, Vilnius'!A1" xr:uid="{086048BA-2956-4407-A1D6-E5C2ACF0A0E0}"/>
    <hyperlink ref="C18" location="'Parko g. 21 Pergalės g. 36A (1)'!A1" display="'Parko g. 21 Pergalės g. 36A (1)'!A1" xr:uid="{29690641-2B7E-4DA9-8E8A-E85674C2085E}"/>
    <hyperlink ref="C19" location="'Pienių g. 28A-28E (1)'!A1" display="'Pienių g. 28A-28E (1)'!A1" xr:uid="{03B51105-B671-494F-95C8-38371B53D64B}"/>
    <hyperlink ref="C20" location="'Baltų Avenue (1)'!A1" display="'Baltų Avenue (1)'!A1" xr:uid="{A0155576-FB92-4010-B709-3E3F76E53214}"/>
    <hyperlink ref="C21" location="'&quot;Filleo Home&quot;, Palanga (3)'!A1" display="'&quot;Filleo Home&quot;, Palanga (3)'!A1" xr:uid="{4C850D53-7DC2-4AEC-B0A3-07DFDDA38F75}"/>
    <hyperlink ref="C22" location="'Sklypų masyvas Loo, Parnu (1)'!A1" display="'Sklypų masyvas Loo, Parnu (1)'!A1" xr:uid="{70856006-A85A-4809-A8F3-CCDC3847AE76}"/>
    <hyperlink ref="C23" location="'Liepų g. 3, Vyšniūnai (1)'!A1" display="'Liepų g. 3, Vyšniūnai (1)'!A1" xr:uid="{4DBC7128-8DF0-456B-8E27-375D01AAAE65}"/>
    <hyperlink ref="C24" location="'Basliupio g. 14, Panevėžys (3)'!A1" display="'Basliupio g. 14, Panevėžys (3)'!A1" xr:uid="{4D241D24-93EA-4EF6-A4AA-E9103129BC5E}"/>
    <hyperlink ref="C25" location="'Mėguvos g. 6 ir 8, Palanga (2)'!A1" display="'Mėguvos g. 6 ir 8, Palanga (2)'!A1" xr:uid="{243BA931-98C6-4E69-ADF1-F7F5854D0678}"/>
    <hyperlink ref="C26" location="'&quot;Filleo Home&quot;, Palanga (10)'!A1" display="'&quot;Filleo Home&quot;, Palanga (10)'!A1" xr:uid="{3FB9A5E1-C6E0-4BF6-9C49-184A683E7B0C}"/>
    <hyperlink ref="C27" location="'Baltų Avenue (11)'!A1" display="'Baltų Avenue (11)'!A1" xr:uid="{2D1CF0F6-357C-4206-B86D-05BFF8943195}"/>
    <hyperlink ref="C28" location="'Plento g. 5A, Trakai (2)'!A1" display="'Plento g. 5A, Trakai (2)'!A1" xr:uid="{255079A4-F044-4448-B9DF-4D9A2185CEBA}"/>
  </hyperlinks>
  <pageMargins left="0.70866141732283472" right="0.70866141732283472" top="0.74803149606299213" bottom="0.74803149606299213" header="0.31496062992125984" footer="0.31496062992125984"/>
  <pageSetup scale="80" orientation="landscape" r:id="rId1"/>
  <ignoredErrors>
    <ignoredError sqref="J4:J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"/>
  <sheetViews>
    <sheetView topLeftCell="A16" workbookViewId="0">
      <selection activeCell="C38" sqref="C38"/>
    </sheetView>
  </sheetViews>
  <sheetFormatPr defaultRowHeight="15" x14ac:dyDescent="0.25"/>
  <cols>
    <col min="1" max="1" width="15.7109375" style="27" customWidth="1"/>
    <col min="2" max="4" width="10.7109375" customWidth="1"/>
    <col min="6" max="9" width="10.7109375" customWidth="1"/>
    <col min="11" max="12" width="10.7109375" customWidth="1"/>
  </cols>
  <sheetData>
    <row r="1" spans="1:12" x14ac:dyDescent="0.25">
      <c r="A1" s="17" t="s">
        <v>9</v>
      </c>
      <c r="B1" s="16" t="s">
        <v>57</v>
      </c>
      <c r="C1" s="16" t="s">
        <v>58</v>
      </c>
      <c r="D1" s="16" t="s">
        <v>41</v>
      </c>
      <c r="E1" s="11"/>
      <c r="F1" s="16" t="s">
        <v>57</v>
      </c>
      <c r="G1" s="16" t="s">
        <v>58</v>
      </c>
      <c r="H1" s="16" t="s">
        <v>41</v>
      </c>
      <c r="I1" s="16" t="s">
        <v>59</v>
      </c>
      <c r="K1" s="16" t="s">
        <v>75</v>
      </c>
      <c r="L1" s="15">
        <f ca="1">XIRR(Pinigai!K2:K200,Pinigai!A2:A200)</f>
        <v>0.14506028294563295</v>
      </c>
    </row>
    <row r="2" spans="1:12" x14ac:dyDescent="0.25">
      <c r="A2" s="8">
        <v>45707</v>
      </c>
      <c r="B2" s="5">
        <v>100</v>
      </c>
      <c r="C2" s="5">
        <v>0</v>
      </c>
      <c r="D2" s="5">
        <v>0</v>
      </c>
      <c r="F2" s="5">
        <f>SUM(B2:B44)</f>
        <v>950</v>
      </c>
      <c r="G2" s="5">
        <f>SUM(C2:C44)</f>
        <v>95.17</v>
      </c>
      <c r="H2" s="5">
        <f>SUM(D2:D44)</f>
        <v>48.940000000000005</v>
      </c>
      <c r="I2" s="5">
        <f>F2-G2</f>
        <v>854.83</v>
      </c>
      <c r="K2" s="5">
        <f>B2*-1</f>
        <v>-100</v>
      </c>
    </row>
    <row r="3" spans="1:12" x14ac:dyDescent="0.25">
      <c r="A3" s="8">
        <v>45708</v>
      </c>
      <c r="B3" s="5">
        <v>100</v>
      </c>
      <c r="C3" s="5">
        <v>0</v>
      </c>
      <c r="D3" s="5">
        <v>0</v>
      </c>
      <c r="K3" s="5">
        <f t="shared" ref="K3:K37" si="0">B3*-1</f>
        <v>-100</v>
      </c>
    </row>
    <row r="4" spans="1:12" x14ac:dyDescent="0.25">
      <c r="A4" s="8">
        <v>45716</v>
      </c>
      <c r="B4" s="5">
        <v>0</v>
      </c>
      <c r="C4" s="5">
        <v>0</v>
      </c>
      <c r="D4" s="5">
        <v>0.64</v>
      </c>
      <c r="K4" s="5">
        <f t="shared" si="0"/>
        <v>0</v>
      </c>
    </row>
    <row r="5" spans="1:12" x14ac:dyDescent="0.25">
      <c r="A5" s="8">
        <v>45721</v>
      </c>
      <c r="B5" s="5">
        <v>0</v>
      </c>
      <c r="C5" s="5">
        <v>0</v>
      </c>
      <c r="D5" s="5">
        <v>1.49</v>
      </c>
      <c r="K5" s="5">
        <f t="shared" si="0"/>
        <v>0</v>
      </c>
    </row>
    <row r="6" spans="1:12" x14ac:dyDescent="0.25">
      <c r="A6" s="8">
        <v>45765</v>
      </c>
      <c r="B6" s="5">
        <v>100</v>
      </c>
      <c r="C6" s="5">
        <v>0</v>
      </c>
      <c r="D6" s="5">
        <v>0</v>
      </c>
      <c r="K6" s="5">
        <f t="shared" si="0"/>
        <v>-100</v>
      </c>
    </row>
    <row r="7" spans="1:12" x14ac:dyDescent="0.25">
      <c r="A7" s="8">
        <v>45770</v>
      </c>
      <c r="B7" s="5">
        <v>0</v>
      </c>
      <c r="C7" s="5">
        <v>0</v>
      </c>
      <c r="D7" s="5">
        <v>0.43</v>
      </c>
      <c r="K7" s="5">
        <f t="shared" si="0"/>
        <v>0</v>
      </c>
    </row>
    <row r="8" spans="1:12" x14ac:dyDescent="0.25">
      <c r="A8" s="8">
        <v>45777</v>
      </c>
      <c r="B8" s="5">
        <v>50</v>
      </c>
      <c r="C8" s="5">
        <v>0</v>
      </c>
      <c r="D8" s="5">
        <v>0.46</v>
      </c>
      <c r="K8" s="5">
        <f t="shared" si="0"/>
        <v>-50</v>
      </c>
    </row>
    <row r="9" spans="1:12" x14ac:dyDescent="0.25">
      <c r="A9" s="8">
        <v>45790</v>
      </c>
      <c r="B9" s="5">
        <v>50</v>
      </c>
      <c r="C9" s="5">
        <v>0</v>
      </c>
      <c r="D9" s="5">
        <v>0</v>
      </c>
      <c r="K9" s="5">
        <f t="shared" si="0"/>
        <v>-50</v>
      </c>
    </row>
    <row r="10" spans="1:12" x14ac:dyDescent="0.25">
      <c r="A10" s="8">
        <v>45797</v>
      </c>
      <c r="B10" s="5">
        <v>50</v>
      </c>
      <c r="C10" s="5">
        <v>0</v>
      </c>
      <c r="D10" s="5">
        <v>0</v>
      </c>
      <c r="K10" s="5">
        <f t="shared" si="0"/>
        <v>-50</v>
      </c>
    </row>
    <row r="11" spans="1:12" x14ac:dyDescent="0.25">
      <c r="A11" s="8">
        <v>45807</v>
      </c>
      <c r="B11" s="5">
        <v>0</v>
      </c>
      <c r="C11" s="5">
        <v>0</v>
      </c>
      <c r="D11" s="5">
        <v>0.43</v>
      </c>
      <c r="H11" s="26"/>
      <c r="K11" s="5">
        <f t="shared" si="0"/>
        <v>0</v>
      </c>
    </row>
    <row r="12" spans="1:12" x14ac:dyDescent="0.25">
      <c r="A12" s="8">
        <v>45820</v>
      </c>
      <c r="B12" s="5">
        <v>50</v>
      </c>
      <c r="C12" s="5">
        <v>0</v>
      </c>
      <c r="D12" s="5">
        <v>0</v>
      </c>
      <c r="K12" s="5">
        <f t="shared" si="0"/>
        <v>-50</v>
      </c>
    </row>
    <row r="13" spans="1:12" x14ac:dyDescent="0.25">
      <c r="A13" s="8">
        <v>45826</v>
      </c>
      <c r="B13" s="5">
        <v>50</v>
      </c>
      <c r="C13" s="5">
        <v>0</v>
      </c>
      <c r="D13" s="5">
        <v>0</v>
      </c>
      <c r="K13" s="5">
        <f t="shared" si="0"/>
        <v>-50</v>
      </c>
    </row>
    <row r="14" spans="1:12" x14ac:dyDescent="0.25">
      <c r="A14" s="8">
        <v>45834</v>
      </c>
      <c r="B14" s="5">
        <v>0</v>
      </c>
      <c r="C14" s="5">
        <v>0</v>
      </c>
      <c r="D14" s="5">
        <v>1.87</v>
      </c>
      <c r="K14" s="5">
        <f t="shared" si="0"/>
        <v>0</v>
      </c>
    </row>
    <row r="15" spans="1:12" x14ac:dyDescent="0.25">
      <c r="A15" s="8">
        <v>45835</v>
      </c>
      <c r="B15" s="5">
        <v>0</v>
      </c>
      <c r="C15" s="5">
        <v>0</v>
      </c>
      <c r="D15" s="5">
        <v>1.7</v>
      </c>
      <c r="K15" s="5">
        <f t="shared" si="0"/>
        <v>0</v>
      </c>
    </row>
    <row r="16" spans="1:12" x14ac:dyDescent="0.25">
      <c r="A16" s="8">
        <v>45853</v>
      </c>
      <c r="B16" s="5">
        <v>50</v>
      </c>
      <c r="C16" s="5">
        <v>0</v>
      </c>
      <c r="D16" s="5">
        <v>0</v>
      </c>
      <c r="K16" s="5">
        <f t="shared" si="0"/>
        <v>-50</v>
      </c>
    </row>
    <row r="17" spans="1:11" x14ac:dyDescent="0.25">
      <c r="A17" s="8">
        <v>45889</v>
      </c>
      <c r="B17" s="5">
        <v>50</v>
      </c>
      <c r="C17" s="5">
        <v>0</v>
      </c>
      <c r="D17" s="5">
        <v>0</v>
      </c>
      <c r="K17" s="5">
        <f t="shared" si="0"/>
        <v>-50</v>
      </c>
    </row>
    <row r="18" spans="1:11" x14ac:dyDescent="0.25">
      <c r="A18" s="8">
        <v>45901</v>
      </c>
      <c r="B18" s="5">
        <v>50</v>
      </c>
      <c r="C18" s="5">
        <v>0</v>
      </c>
      <c r="D18" s="5">
        <v>0</v>
      </c>
      <c r="K18" s="5">
        <f t="shared" si="0"/>
        <v>-50</v>
      </c>
    </row>
    <row r="19" spans="1:11" x14ac:dyDescent="0.25">
      <c r="A19" s="8">
        <v>45902</v>
      </c>
      <c r="B19" s="5">
        <v>0</v>
      </c>
      <c r="C19" s="5">
        <v>0</v>
      </c>
      <c r="D19" s="5">
        <v>0.63</v>
      </c>
      <c r="K19" s="5">
        <f t="shared" si="0"/>
        <v>0</v>
      </c>
    </row>
    <row r="20" spans="1:11" x14ac:dyDescent="0.25">
      <c r="A20" s="8">
        <v>45908</v>
      </c>
      <c r="B20" s="5">
        <v>0</v>
      </c>
      <c r="C20" s="5">
        <v>0</v>
      </c>
      <c r="D20" s="5">
        <v>0.23</v>
      </c>
      <c r="K20" s="5">
        <f t="shared" si="0"/>
        <v>0</v>
      </c>
    </row>
    <row r="21" spans="1:11" x14ac:dyDescent="0.25">
      <c r="A21" s="8">
        <v>45913</v>
      </c>
      <c r="B21" s="5">
        <v>50</v>
      </c>
      <c r="C21" s="5">
        <v>0</v>
      </c>
      <c r="D21" s="5">
        <v>0</v>
      </c>
      <c r="K21" s="5">
        <f t="shared" si="0"/>
        <v>-50</v>
      </c>
    </row>
    <row r="22" spans="1:11" x14ac:dyDescent="0.25">
      <c r="A22" s="8">
        <v>45919</v>
      </c>
      <c r="B22" s="5">
        <v>50</v>
      </c>
      <c r="C22" s="5">
        <v>0</v>
      </c>
      <c r="D22" s="5">
        <v>0.46</v>
      </c>
      <c r="K22" s="5">
        <f t="shared" si="0"/>
        <v>-50</v>
      </c>
    </row>
    <row r="23" spans="1:11" x14ac:dyDescent="0.25">
      <c r="A23" s="8">
        <v>45933</v>
      </c>
      <c r="B23" s="5">
        <v>0</v>
      </c>
      <c r="C23" s="5">
        <v>0</v>
      </c>
      <c r="D23" s="5">
        <v>25.5</v>
      </c>
      <c r="K23" s="5">
        <f t="shared" si="0"/>
        <v>0</v>
      </c>
    </row>
    <row r="24" spans="1:11" x14ac:dyDescent="0.25">
      <c r="A24" s="8">
        <v>45939</v>
      </c>
      <c r="B24" s="5">
        <v>50</v>
      </c>
      <c r="C24" s="5">
        <v>0</v>
      </c>
      <c r="D24" s="5">
        <v>0</v>
      </c>
      <c r="K24" s="5">
        <f t="shared" si="0"/>
        <v>-50</v>
      </c>
    </row>
    <row r="25" spans="1:11" x14ac:dyDescent="0.25">
      <c r="A25" s="8">
        <v>45945</v>
      </c>
      <c r="B25" s="5">
        <v>50</v>
      </c>
      <c r="C25" s="5">
        <v>0</v>
      </c>
      <c r="D25" s="5">
        <v>0</v>
      </c>
      <c r="K25" s="5">
        <f t="shared" si="0"/>
        <v>-50</v>
      </c>
    </row>
    <row r="26" spans="1:11" x14ac:dyDescent="0.25">
      <c r="A26" s="8">
        <v>45960</v>
      </c>
      <c r="B26" s="5">
        <v>0</v>
      </c>
      <c r="C26" s="5">
        <v>0</v>
      </c>
      <c r="D26" s="5">
        <v>1.36</v>
      </c>
      <c r="K26" s="5">
        <f t="shared" si="0"/>
        <v>0</v>
      </c>
    </row>
    <row r="27" spans="1:11" x14ac:dyDescent="0.25">
      <c r="A27" s="8">
        <v>45980</v>
      </c>
      <c r="B27" s="5">
        <v>0</v>
      </c>
      <c r="C27" s="5">
        <v>0</v>
      </c>
      <c r="D27" s="5">
        <v>1.97</v>
      </c>
      <c r="K27" s="5">
        <f t="shared" si="0"/>
        <v>0</v>
      </c>
    </row>
    <row r="28" spans="1:11" x14ac:dyDescent="0.25">
      <c r="A28" s="8">
        <v>45992</v>
      </c>
      <c r="B28" s="5">
        <v>0</v>
      </c>
      <c r="C28" s="5">
        <v>0</v>
      </c>
      <c r="D28" s="5">
        <v>1.38</v>
      </c>
      <c r="K28" s="5">
        <f t="shared" si="0"/>
        <v>0</v>
      </c>
    </row>
    <row r="29" spans="1:11" x14ac:dyDescent="0.25">
      <c r="A29" s="8">
        <v>46020</v>
      </c>
      <c r="B29" s="5">
        <v>0</v>
      </c>
      <c r="C29" s="5">
        <v>0</v>
      </c>
      <c r="D29" s="5">
        <v>1.69</v>
      </c>
      <c r="K29" s="5">
        <f t="shared" si="0"/>
        <v>0</v>
      </c>
    </row>
    <row r="30" spans="1:11" x14ac:dyDescent="0.25">
      <c r="A30" s="8">
        <v>46029</v>
      </c>
      <c r="B30" s="5">
        <v>0</v>
      </c>
      <c r="C30" s="5">
        <v>0</v>
      </c>
      <c r="D30" s="5">
        <v>1.2</v>
      </c>
      <c r="K30" s="5">
        <f t="shared" si="0"/>
        <v>0</v>
      </c>
    </row>
    <row r="31" spans="1:11" x14ac:dyDescent="0.25">
      <c r="A31" s="8">
        <v>46056</v>
      </c>
      <c r="B31" s="5">
        <v>50</v>
      </c>
      <c r="C31" s="5">
        <v>0</v>
      </c>
      <c r="D31" s="5">
        <v>0</v>
      </c>
      <c r="K31" s="5">
        <f t="shared" si="0"/>
        <v>-50</v>
      </c>
    </row>
    <row r="32" spans="1:11" x14ac:dyDescent="0.25">
      <c r="A32" s="8">
        <v>46065</v>
      </c>
      <c r="B32" s="5">
        <v>0</v>
      </c>
      <c r="C32" s="5">
        <v>0</v>
      </c>
      <c r="D32" s="5">
        <v>1.36</v>
      </c>
      <c r="K32" s="5">
        <f t="shared" si="0"/>
        <v>0</v>
      </c>
    </row>
    <row r="33" spans="1:11" x14ac:dyDescent="0.25">
      <c r="A33" s="8">
        <v>46115</v>
      </c>
      <c r="B33" s="5">
        <v>0</v>
      </c>
      <c r="C33" s="5">
        <v>0</v>
      </c>
      <c r="D33" s="5">
        <v>0.55000000000000004</v>
      </c>
      <c r="K33" s="5">
        <f t="shared" si="0"/>
        <v>0</v>
      </c>
    </row>
    <row r="34" spans="1:11" x14ac:dyDescent="0.25">
      <c r="A34" s="8">
        <v>46126</v>
      </c>
      <c r="B34" s="5">
        <v>0</v>
      </c>
      <c r="C34" s="5">
        <v>0</v>
      </c>
      <c r="D34" s="5">
        <v>1.04</v>
      </c>
      <c r="K34" s="5">
        <f t="shared" si="0"/>
        <v>0</v>
      </c>
    </row>
    <row r="35" spans="1:11" x14ac:dyDescent="0.25">
      <c r="A35" s="8">
        <v>46150</v>
      </c>
      <c r="B35" s="5">
        <v>0</v>
      </c>
      <c r="C35" s="5">
        <v>0</v>
      </c>
      <c r="D35" s="5">
        <v>1.06</v>
      </c>
      <c r="K35" s="5">
        <f t="shared" si="0"/>
        <v>0</v>
      </c>
    </row>
    <row r="36" spans="1:11" x14ac:dyDescent="0.25">
      <c r="A36" s="8">
        <v>46150</v>
      </c>
      <c r="B36" s="5">
        <v>0</v>
      </c>
      <c r="C36" s="5">
        <v>0</v>
      </c>
      <c r="D36" s="5">
        <v>2.25</v>
      </c>
      <c r="K36" s="5">
        <f t="shared" si="0"/>
        <v>0</v>
      </c>
    </row>
    <row r="37" spans="1:11" x14ac:dyDescent="0.25">
      <c r="A37" s="8">
        <v>46225</v>
      </c>
      <c r="B37" s="5">
        <v>0</v>
      </c>
      <c r="C37" s="5">
        <v>0</v>
      </c>
      <c r="D37" s="5">
        <v>1.24</v>
      </c>
      <c r="K37" s="5">
        <f t="shared" si="0"/>
        <v>0</v>
      </c>
    </row>
    <row r="38" spans="1:11" x14ac:dyDescent="0.25">
      <c r="A38" s="8">
        <v>46254</v>
      </c>
      <c r="B38" s="5">
        <v>0</v>
      </c>
      <c r="C38" s="5">
        <v>94.17</v>
      </c>
      <c r="D38" s="5">
        <v>0</v>
      </c>
      <c r="K38" s="5">
        <f>C38</f>
        <v>94.17</v>
      </c>
    </row>
    <row r="39" spans="1:11" x14ac:dyDescent="0.25">
      <c r="A39" s="8">
        <v>46254</v>
      </c>
      <c r="B39" s="5">
        <v>0</v>
      </c>
      <c r="C39" s="5">
        <v>1</v>
      </c>
      <c r="D39" s="5">
        <v>0</v>
      </c>
      <c r="K39" s="5">
        <v>0</v>
      </c>
    </row>
    <row r="40" spans="1:11" x14ac:dyDescent="0.25">
      <c r="A40" s="8"/>
      <c r="B40" s="2"/>
      <c r="C40" s="2"/>
      <c r="D40" s="2"/>
      <c r="K40" s="2"/>
    </row>
    <row r="41" spans="1:11" x14ac:dyDescent="0.25">
      <c r="A41" s="8"/>
      <c r="B41" s="2"/>
      <c r="C41" s="2"/>
      <c r="D41" s="2"/>
      <c r="K41" s="2"/>
    </row>
    <row r="42" spans="1:11" x14ac:dyDescent="0.25">
      <c r="A42" s="8"/>
      <c r="B42" s="2"/>
      <c r="C42" s="2"/>
      <c r="D42" s="2"/>
      <c r="K42" s="2"/>
    </row>
    <row r="43" spans="1:11" x14ac:dyDescent="0.25">
      <c r="A43" s="8"/>
      <c r="B43" s="2"/>
      <c r="C43" s="2"/>
      <c r="D43" s="2"/>
      <c r="K43" s="2"/>
    </row>
    <row r="44" spans="1:11" x14ac:dyDescent="0.25">
      <c r="A44" s="8"/>
      <c r="B44" s="2"/>
      <c r="C44" s="2"/>
      <c r="D44" s="2"/>
      <c r="K44" s="2"/>
    </row>
    <row r="45" spans="1:11" x14ac:dyDescent="0.25">
      <c r="A45" s="8"/>
      <c r="B45" s="2"/>
      <c r="C45" s="2"/>
      <c r="D45" s="2"/>
      <c r="K45" s="2"/>
    </row>
    <row r="46" spans="1:11" x14ac:dyDescent="0.25">
      <c r="A46" s="8"/>
      <c r="B46" s="2"/>
      <c r="C46" s="2"/>
      <c r="D46" s="2"/>
      <c r="K46" s="2"/>
    </row>
    <row r="47" spans="1:11" x14ac:dyDescent="0.25">
      <c r="A47" s="8"/>
      <c r="B47" s="2"/>
      <c r="C47" s="2"/>
      <c r="D47" s="2"/>
      <c r="K47" s="2"/>
    </row>
    <row r="48" spans="1:11" x14ac:dyDescent="0.25">
      <c r="A48" s="8"/>
      <c r="B48" s="2"/>
      <c r="C48" s="2"/>
      <c r="D48" s="2"/>
      <c r="K48" s="2"/>
    </row>
    <row r="49" spans="1:11" x14ac:dyDescent="0.25">
      <c r="A49" s="8"/>
      <c r="B49" s="2"/>
      <c r="C49" s="2"/>
      <c r="D49" s="2"/>
      <c r="K49" s="2"/>
    </row>
    <row r="50" spans="1:11" x14ac:dyDescent="0.25">
      <c r="A50" s="8"/>
      <c r="B50" s="2"/>
      <c r="C50" s="2"/>
      <c r="D50" s="2"/>
      <c r="K50" s="2"/>
    </row>
    <row r="51" spans="1:11" x14ac:dyDescent="0.25">
      <c r="A51" s="8"/>
      <c r="B51" s="2"/>
      <c r="C51" s="2"/>
      <c r="D51" s="2"/>
      <c r="K51" s="2"/>
    </row>
    <row r="52" spans="1:11" x14ac:dyDescent="0.25">
      <c r="A52" s="8"/>
      <c r="B52" s="2"/>
      <c r="C52" s="2"/>
      <c r="D52" s="2"/>
      <c r="K52" s="2"/>
    </row>
    <row r="53" spans="1:11" x14ac:dyDescent="0.25">
      <c r="A53" s="8"/>
      <c r="B53" s="2"/>
      <c r="C53" s="2"/>
      <c r="D53" s="2"/>
      <c r="K53" s="2"/>
    </row>
    <row r="54" spans="1:11" x14ac:dyDescent="0.25">
      <c r="A54" s="8"/>
      <c r="B54" s="2"/>
      <c r="C54" s="2"/>
      <c r="D54" s="2"/>
      <c r="K54" s="2"/>
    </row>
    <row r="55" spans="1:11" x14ac:dyDescent="0.25">
      <c r="A55" s="8"/>
      <c r="B55" s="2"/>
      <c r="C55" s="2"/>
      <c r="D55" s="2"/>
      <c r="K55" s="2"/>
    </row>
    <row r="56" spans="1:11" x14ac:dyDescent="0.25">
      <c r="A56" s="8"/>
      <c r="B56" s="2"/>
      <c r="C56" s="2"/>
      <c r="D56" s="2"/>
      <c r="K56" s="2"/>
    </row>
    <row r="57" spans="1:11" x14ac:dyDescent="0.25">
      <c r="A57" s="8"/>
      <c r="B57" s="2"/>
      <c r="C57" s="2"/>
      <c r="D57" s="2"/>
      <c r="K57" s="2"/>
    </row>
    <row r="58" spans="1:11" x14ac:dyDescent="0.25">
      <c r="A58" s="8"/>
      <c r="B58" s="2"/>
      <c r="C58" s="2"/>
      <c r="D58" s="2"/>
      <c r="K58" s="2"/>
    </row>
    <row r="59" spans="1:11" x14ac:dyDescent="0.25">
      <c r="A59" s="8"/>
      <c r="B59" s="2"/>
      <c r="C59" s="2"/>
      <c r="D59" s="2"/>
      <c r="K59" s="2"/>
    </row>
    <row r="60" spans="1:11" x14ac:dyDescent="0.25">
      <c r="A60" s="8"/>
      <c r="B60" s="2"/>
      <c r="C60" s="2"/>
      <c r="D60" s="2"/>
      <c r="K60" s="2"/>
    </row>
    <row r="61" spans="1:11" x14ac:dyDescent="0.25">
      <c r="A61" s="8"/>
      <c r="B61" s="2"/>
      <c r="C61" s="2"/>
      <c r="D61" s="2"/>
      <c r="K61" s="2"/>
    </row>
    <row r="62" spans="1:11" x14ac:dyDescent="0.25">
      <c r="A62" s="8"/>
      <c r="B62" s="2"/>
      <c r="C62" s="2"/>
      <c r="D62" s="2"/>
      <c r="K62" s="2"/>
    </row>
    <row r="63" spans="1:11" x14ac:dyDescent="0.25">
      <c r="A63" s="8"/>
      <c r="B63" s="2"/>
      <c r="C63" s="2"/>
      <c r="D63" s="2"/>
      <c r="K63" s="2"/>
    </row>
    <row r="64" spans="1:11" x14ac:dyDescent="0.25">
      <c r="A64" s="8"/>
      <c r="B64" s="2"/>
      <c r="C64" s="2"/>
      <c r="D64" s="2"/>
      <c r="K64" s="2"/>
    </row>
    <row r="65" spans="1:11" x14ac:dyDescent="0.25">
      <c r="A65" s="8"/>
      <c r="B65" s="2"/>
      <c r="C65" s="2"/>
      <c r="D65" s="2"/>
      <c r="K65" s="2"/>
    </row>
    <row r="66" spans="1:11" x14ac:dyDescent="0.25">
      <c r="A66" s="8"/>
      <c r="B66" s="2"/>
      <c r="C66" s="2"/>
      <c r="D66" s="2"/>
      <c r="K66" s="2"/>
    </row>
    <row r="67" spans="1:11" x14ac:dyDescent="0.25">
      <c r="A67" s="8"/>
      <c r="B67" s="2"/>
      <c r="C67" s="2"/>
      <c r="D67" s="2"/>
      <c r="K67" s="2"/>
    </row>
    <row r="68" spans="1:11" x14ac:dyDescent="0.25">
      <c r="A68" s="8"/>
      <c r="B68" s="2"/>
      <c r="C68" s="2"/>
      <c r="D68" s="2"/>
      <c r="K68" s="2"/>
    </row>
    <row r="69" spans="1:11" x14ac:dyDescent="0.25">
      <c r="A69" s="8"/>
      <c r="B69" s="2"/>
      <c r="C69" s="2"/>
      <c r="D69" s="2"/>
      <c r="K69" s="2"/>
    </row>
    <row r="70" spans="1:11" x14ac:dyDescent="0.25">
      <c r="A70" s="8"/>
      <c r="B70" s="2"/>
      <c r="C70" s="2"/>
      <c r="D70" s="2"/>
      <c r="K70" s="2"/>
    </row>
    <row r="71" spans="1:11" x14ac:dyDescent="0.25">
      <c r="A71" s="8"/>
      <c r="B71" s="2"/>
      <c r="C71" s="2"/>
      <c r="D71" s="2"/>
      <c r="K71" s="2"/>
    </row>
    <row r="72" spans="1:11" x14ac:dyDescent="0.25">
      <c r="A72" s="8"/>
      <c r="B72" s="2"/>
      <c r="C72" s="2"/>
      <c r="D72" s="2"/>
      <c r="K72" s="2"/>
    </row>
    <row r="73" spans="1:11" x14ac:dyDescent="0.25">
      <c r="A73" s="8"/>
      <c r="B73" s="2"/>
      <c r="C73" s="2"/>
      <c r="D73" s="2"/>
      <c r="K73" s="2"/>
    </row>
    <row r="74" spans="1:11" x14ac:dyDescent="0.25">
      <c r="A74" s="8"/>
      <c r="B74" s="2"/>
      <c r="C74" s="2"/>
      <c r="D74" s="2"/>
      <c r="K74" s="2"/>
    </row>
    <row r="75" spans="1:11" x14ac:dyDescent="0.25">
      <c r="A75" s="8"/>
      <c r="B75" s="2"/>
      <c r="C75" s="2"/>
      <c r="D75" s="2"/>
      <c r="K75" s="2"/>
    </row>
    <row r="76" spans="1:11" x14ac:dyDescent="0.25">
      <c r="A76" s="8"/>
      <c r="B76" s="2"/>
      <c r="C76" s="2"/>
      <c r="D76" s="2"/>
      <c r="K76" s="2"/>
    </row>
    <row r="77" spans="1:11" x14ac:dyDescent="0.25">
      <c r="A77" s="8"/>
      <c r="B77" s="2"/>
      <c r="C77" s="2"/>
      <c r="D77" s="2"/>
      <c r="K77" s="2"/>
    </row>
    <row r="78" spans="1:11" x14ac:dyDescent="0.25">
      <c r="A78" s="8"/>
      <c r="B78" s="2"/>
      <c r="C78" s="2"/>
      <c r="D78" s="2"/>
      <c r="K78" s="2"/>
    </row>
    <row r="79" spans="1:11" x14ac:dyDescent="0.25">
      <c r="A79" s="8"/>
      <c r="B79" s="2"/>
      <c r="C79" s="2"/>
      <c r="D79" s="2"/>
      <c r="K79" s="2"/>
    </row>
    <row r="80" spans="1:11" x14ac:dyDescent="0.25">
      <c r="A80" s="8"/>
      <c r="B80" s="2"/>
      <c r="C80" s="2"/>
      <c r="D80" s="2"/>
      <c r="K80" s="2"/>
    </row>
    <row r="81" spans="1:11" x14ac:dyDescent="0.25">
      <c r="A81" s="8"/>
      <c r="B81" s="2"/>
      <c r="C81" s="2"/>
      <c r="D81" s="2"/>
      <c r="K81" s="2"/>
    </row>
    <row r="82" spans="1:11" x14ac:dyDescent="0.25">
      <c r="A82" s="8"/>
      <c r="B82" s="2"/>
      <c r="C82" s="2"/>
      <c r="D82" s="2"/>
      <c r="K82" s="2"/>
    </row>
    <row r="83" spans="1:11" x14ac:dyDescent="0.25">
      <c r="A83" s="8"/>
      <c r="B83" s="2"/>
      <c r="C83" s="2"/>
      <c r="D83" s="2"/>
      <c r="K83" s="2"/>
    </row>
    <row r="84" spans="1:11" x14ac:dyDescent="0.25">
      <c r="A84" s="8"/>
      <c r="B84" s="2"/>
      <c r="C84" s="2"/>
      <c r="D84" s="2"/>
      <c r="K84" s="2"/>
    </row>
    <row r="85" spans="1:11" x14ac:dyDescent="0.25">
      <c r="A85" s="8"/>
      <c r="B85" s="2"/>
      <c r="C85" s="2"/>
      <c r="D85" s="2"/>
      <c r="K85" s="2"/>
    </row>
    <row r="86" spans="1:11" x14ac:dyDescent="0.25">
      <c r="A86" s="8"/>
      <c r="B86" s="2"/>
      <c r="C86" s="2"/>
      <c r="D86" s="2"/>
      <c r="K86" s="2"/>
    </row>
    <row r="87" spans="1:11" x14ac:dyDescent="0.25">
      <c r="A87" s="8"/>
      <c r="B87" s="2"/>
      <c r="C87" s="2"/>
      <c r="D87" s="2"/>
      <c r="K87" s="2"/>
    </row>
    <row r="88" spans="1:11" x14ac:dyDescent="0.25">
      <c r="A88" s="8"/>
      <c r="B88" s="2"/>
      <c r="C88" s="2"/>
      <c r="D88" s="2"/>
      <c r="K88" s="2"/>
    </row>
    <row r="89" spans="1:11" x14ac:dyDescent="0.25">
      <c r="A89" s="8"/>
      <c r="B89" s="2"/>
      <c r="C89" s="2"/>
      <c r="D89" s="2"/>
      <c r="K89" s="2"/>
    </row>
    <row r="90" spans="1:11" x14ac:dyDescent="0.25">
      <c r="A90" s="8"/>
      <c r="B90" s="2"/>
      <c r="C90" s="2"/>
      <c r="D90" s="2"/>
      <c r="K90" s="2"/>
    </row>
    <row r="91" spans="1:11" x14ac:dyDescent="0.25">
      <c r="A91" s="8"/>
      <c r="B91" s="2"/>
      <c r="C91" s="2"/>
      <c r="D91" s="2"/>
      <c r="K91" s="2"/>
    </row>
    <row r="92" spans="1:11" x14ac:dyDescent="0.25">
      <c r="A92" s="8"/>
      <c r="B92" s="2"/>
      <c r="C92" s="2"/>
      <c r="D92" s="2"/>
      <c r="K92" s="2"/>
    </row>
    <row r="93" spans="1:11" x14ac:dyDescent="0.25">
      <c r="A93" s="8"/>
      <c r="B93" s="2"/>
      <c r="C93" s="2"/>
      <c r="D93" s="2"/>
      <c r="K93" s="2"/>
    </row>
    <row r="94" spans="1:11" x14ac:dyDescent="0.25">
      <c r="A94" s="8"/>
      <c r="B94" s="2"/>
      <c r="C94" s="2"/>
      <c r="D94" s="2"/>
      <c r="K94" s="2"/>
    </row>
    <row r="95" spans="1:11" x14ac:dyDescent="0.25">
      <c r="A95" s="8"/>
      <c r="B95" s="2"/>
      <c r="C95" s="2"/>
      <c r="D95" s="2"/>
      <c r="K95" s="2"/>
    </row>
    <row r="96" spans="1:11" x14ac:dyDescent="0.25">
      <c r="A96" s="8"/>
      <c r="B96" s="2"/>
      <c r="C96" s="2"/>
      <c r="D96" s="2"/>
      <c r="K96" s="2"/>
    </row>
    <row r="97" spans="1:11" x14ac:dyDescent="0.25">
      <c r="A97" s="8"/>
      <c r="B97" s="2"/>
      <c r="C97" s="2"/>
      <c r="D97" s="2"/>
      <c r="K97" s="2"/>
    </row>
    <row r="98" spans="1:11" x14ac:dyDescent="0.25">
      <c r="A98" s="8"/>
      <c r="B98" s="2"/>
      <c r="C98" s="2"/>
      <c r="D98" s="2"/>
      <c r="K98" s="2"/>
    </row>
    <row r="99" spans="1:11" x14ac:dyDescent="0.25">
      <c r="A99" s="8"/>
      <c r="B99" s="2"/>
      <c r="C99" s="2"/>
      <c r="D99" s="2"/>
      <c r="K99" s="2"/>
    </row>
    <row r="100" spans="1:11" x14ac:dyDescent="0.25">
      <c r="A100" s="8"/>
      <c r="B100" s="2"/>
      <c r="C100" s="2"/>
      <c r="D100" s="2"/>
      <c r="K100" s="2"/>
    </row>
    <row r="101" spans="1:11" x14ac:dyDescent="0.25">
      <c r="A101" s="8"/>
      <c r="B101" s="2"/>
      <c r="C101" s="2"/>
      <c r="D101" s="2"/>
      <c r="K101" s="2"/>
    </row>
    <row r="102" spans="1:11" x14ac:dyDescent="0.25">
      <c r="A102" s="8"/>
      <c r="B102" s="2"/>
      <c r="C102" s="2"/>
      <c r="D102" s="2"/>
      <c r="K102" s="2"/>
    </row>
    <row r="103" spans="1:11" x14ac:dyDescent="0.25">
      <c r="A103" s="8"/>
      <c r="B103" s="2"/>
      <c r="C103" s="2"/>
      <c r="D103" s="2"/>
      <c r="K103" s="2"/>
    </row>
    <row r="104" spans="1:11" x14ac:dyDescent="0.25">
      <c r="A104" s="8"/>
      <c r="B104" s="2"/>
      <c r="C104" s="2"/>
      <c r="D104" s="2"/>
      <c r="K104" s="2"/>
    </row>
    <row r="105" spans="1:11" x14ac:dyDescent="0.25">
      <c r="A105" s="8"/>
      <c r="B105" s="2"/>
      <c r="C105" s="2"/>
      <c r="D105" s="2"/>
      <c r="K105" s="2"/>
    </row>
    <row r="106" spans="1:11" x14ac:dyDescent="0.25">
      <c r="A106" s="8"/>
      <c r="B106" s="2"/>
      <c r="C106" s="2"/>
      <c r="D106" s="2"/>
      <c r="K106" s="2"/>
    </row>
    <row r="107" spans="1:11" x14ac:dyDescent="0.25">
      <c r="A107" s="8"/>
      <c r="B107" s="2"/>
      <c r="C107" s="2"/>
      <c r="D107" s="2"/>
      <c r="K107" s="2"/>
    </row>
    <row r="108" spans="1:11" x14ac:dyDescent="0.25">
      <c r="A108" s="8"/>
      <c r="B108" s="2"/>
      <c r="C108" s="2"/>
      <c r="D108" s="2"/>
      <c r="K108" s="2"/>
    </row>
    <row r="109" spans="1:11" x14ac:dyDescent="0.25">
      <c r="A109" s="8"/>
      <c r="B109" s="2"/>
      <c r="C109" s="2"/>
      <c r="D109" s="2"/>
      <c r="K109" s="2"/>
    </row>
    <row r="110" spans="1:11" x14ac:dyDescent="0.25">
      <c r="A110" s="8"/>
      <c r="B110" s="2"/>
      <c r="C110" s="2"/>
      <c r="D110" s="2"/>
      <c r="K110" s="2"/>
    </row>
    <row r="111" spans="1:11" x14ac:dyDescent="0.25">
      <c r="A111" s="8"/>
      <c r="B111" s="2"/>
      <c r="C111" s="2"/>
      <c r="D111" s="2"/>
      <c r="K111" s="2"/>
    </row>
    <row r="112" spans="1:11" x14ac:dyDescent="0.25">
      <c r="A112" s="8"/>
      <c r="B112" s="2"/>
      <c r="C112" s="2"/>
      <c r="D112" s="2"/>
      <c r="K112" s="2"/>
    </row>
    <row r="113" spans="1:11" x14ac:dyDescent="0.25">
      <c r="A113" s="8"/>
      <c r="B113" s="2"/>
      <c r="C113" s="2"/>
      <c r="D113" s="2"/>
      <c r="K113" s="2"/>
    </row>
    <row r="114" spans="1:11" x14ac:dyDescent="0.25">
      <c r="A114" s="8"/>
      <c r="B114" s="2"/>
      <c r="C114" s="2"/>
      <c r="D114" s="2"/>
      <c r="K114" s="2"/>
    </row>
    <row r="115" spans="1:11" x14ac:dyDescent="0.25">
      <c r="A115" s="8"/>
      <c r="B115" s="2"/>
      <c r="C115" s="2"/>
      <c r="D115" s="2"/>
      <c r="K115" s="2"/>
    </row>
    <row r="116" spans="1:11" x14ac:dyDescent="0.25">
      <c r="A116" s="8"/>
      <c r="B116" s="2"/>
      <c r="C116" s="2"/>
      <c r="D116" s="2"/>
      <c r="K116" s="2"/>
    </row>
    <row r="117" spans="1:11" x14ac:dyDescent="0.25">
      <c r="A117" s="8"/>
      <c r="B117" s="2"/>
      <c r="C117" s="2"/>
      <c r="D117" s="2"/>
      <c r="K117" s="2"/>
    </row>
    <row r="118" spans="1:11" x14ac:dyDescent="0.25">
      <c r="A118" s="8"/>
      <c r="B118" s="2"/>
      <c r="C118" s="2"/>
      <c r="D118" s="2"/>
      <c r="K118" s="2"/>
    </row>
    <row r="119" spans="1:11" x14ac:dyDescent="0.25">
      <c r="A119" s="8"/>
      <c r="B119" s="2"/>
      <c r="C119" s="2"/>
      <c r="D119" s="2"/>
      <c r="K119" s="2"/>
    </row>
    <row r="120" spans="1:11" x14ac:dyDescent="0.25">
      <c r="A120" s="8"/>
      <c r="B120" s="2"/>
      <c r="C120" s="2"/>
      <c r="D120" s="2"/>
      <c r="K120" s="2"/>
    </row>
    <row r="121" spans="1:11" x14ac:dyDescent="0.25">
      <c r="A121" s="8"/>
      <c r="B121" s="2"/>
      <c r="C121" s="2"/>
      <c r="D121" s="2"/>
      <c r="K121" s="2"/>
    </row>
    <row r="122" spans="1:11" x14ac:dyDescent="0.25">
      <c r="A122" s="8"/>
      <c r="B122" s="2"/>
      <c r="C122" s="2"/>
      <c r="D122" s="2"/>
      <c r="K122" s="2"/>
    </row>
    <row r="123" spans="1:11" x14ac:dyDescent="0.25">
      <c r="A123" s="8"/>
      <c r="B123" s="2"/>
      <c r="C123" s="2"/>
      <c r="D123" s="2"/>
      <c r="K123" s="2"/>
    </row>
    <row r="124" spans="1:11" x14ac:dyDescent="0.25">
      <c r="A124" s="8"/>
      <c r="B124" s="2"/>
      <c r="C124" s="2"/>
      <c r="D124" s="2"/>
      <c r="K124" s="2"/>
    </row>
    <row r="125" spans="1:11" x14ac:dyDescent="0.25">
      <c r="A125" s="8"/>
      <c r="B125" s="2"/>
      <c r="C125" s="2"/>
      <c r="D125" s="2"/>
      <c r="K125" s="2"/>
    </row>
    <row r="126" spans="1:11" x14ac:dyDescent="0.25">
      <c r="A126" s="8"/>
      <c r="B126" s="2"/>
      <c r="C126" s="2"/>
      <c r="D126" s="2"/>
      <c r="K126" s="2"/>
    </row>
    <row r="127" spans="1:11" x14ac:dyDescent="0.25">
      <c r="A127" s="8"/>
      <c r="B127" s="2"/>
      <c r="C127" s="2"/>
      <c r="D127" s="2"/>
      <c r="K127" s="2"/>
    </row>
    <row r="128" spans="1:11" x14ac:dyDescent="0.25">
      <c r="A128" s="8"/>
      <c r="B128" s="2"/>
      <c r="C128" s="2"/>
      <c r="D128" s="2"/>
      <c r="K128" s="2"/>
    </row>
    <row r="129" spans="1:11" x14ac:dyDescent="0.25">
      <c r="A129" s="8"/>
      <c r="B129" s="2"/>
      <c r="C129" s="2"/>
      <c r="D129" s="2"/>
      <c r="K129" s="2"/>
    </row>
    <row r="130" spans="1:11" x14ac:dyDescent="0.25">
      <c r="A130" s="8"/>
      <c r="B130" s="2"/>
      <c r="C130" s="2"/>
      <c r="D130" s="2"/>
      <c r="K130" s="2"/>
    </row>
    <row r="131" spans="1:11" x14ac:dyDescent="0.25">
      <c r="A131" s="8"/>
      <c r="B131" s="2"/>
      <c r="C131" s="2"/>
      <c r="D131" s="2"/>
      <c r="K131" s="2"/>
    </row>
    <row r="132" spans="1:11" x14ac:dyDescent="0.25">
      <c r="A132" s="8"/>
      <c r="B132" s="2"/>
      <c r="C132" s="2"/>
      <c r="D132" s="2"/>
      <c r="K132" s="2"/>
    </row>
    <row r="133" spans="1:11" x14ac:dyDescent="0.25">
      <c r="A133" s="8"/>
      <c r="B133" s="2"/>
      <c r="C133" s="2"/>
      <c r="D133" s="2"/>
      <c r="K133" s="2"/>
    </row>
    <row r="134" spans="1:11" x14ac:dyDescent="0.25">
      <c r="A134" s="8"/>
      <c r="B134" s="2"/>
      <c r="C134" s="2"/>
      <c r="D134" s="2"/>
      <c r="K134" s="2"/>
    </row>
    <row r="135" spans="1:11" x14ac:dyDescent="0.25">
      <c r="A135" s="8"/>
      <c r="B135" s="2"/>
      <c r="C135" s="2"/>
      <c r="D135" s="2"/>
      <c r="K135" s="2"/>
    </row>
    <row r="136" spans="1:11" x14ac:dyDescent="0.25">
      <c r="A136" s="8"/>
      <c r="B136" s="2"/>
      <c r="C136" s="2"/>
      <c r="D136" s="2"/>
      <c r="K136" s="2"/>
    </row>
    <row r="137" spans="1:11" x14ac:dyDescent="0.25">
      <c r="A137" s="8"/>
      <c r="B137" s="2"/>
      <c r="C137" s="2"/>
      <c r="D137" s="2"/>
      <c r="K137" s="2"/>
    </row>
    <row r="138" spans="1:11" x14ac:dyDescent="0.25">
      <c r="A138" s="8"/>
      <c r="B138" s="2"/>
      <c r="C138" s="2"/>
      <c r="D138" s="2"/>
      <c r="K138" s="2"/>
    </row>
    <row r="139" spans="1:11" x14ac:dyDescent="0.25">
      <c r="A139" s="8"/>
      <c r="B139" s="2"/>
      <c r="C139" s="2"/>
      <c r="D139" s="2"/>
      <c r="K139" s="2"/>
    </row>
    <row r="140" spans="1:11" x14ac:dyDescent="0.25">
      <c r="A140" s="8"/>
      <c r="B140" s="2"/>
      <c r="C140" s="2"/>
      <c r="D140" s="2"/>
      <c r="K140" s="2"/>
    </row>
    <row r="141" spans="1:11" x14ac:dyDescent="0.25">
      <c r="A141" s="8"/>
      <c r="B141" s="2"/>
      <c r="C141" s="2"/>
      <c r="D141" s="2"/>
      <c r="K141" s="2"/>
    </row>
    <row r="142" spans="1:11" x14ac:dyDescent="0.25">
      <c r="A142" s="8"/>
      <c r="B142" s="2"/>
      <c r="C142" s="2"/>
      <c r="D142" s="2"/>
      <c r="K142" s="2"/>
    </row>
    <row r="143" spans="1:11" x14ac:dyDescent="0.25">
      <c r="A143" s="8"/>
      <c r="B143" s="2"/>
      <c r="C143" s="2"/>
      <c r="D143" s="2"/>
      <c r="K143" s="2"/>
    </row>
    <row r="144" spans="1:11" x14ac:dyDescent="0.25">
      <c r="A144" s="8"/>
      <c r="B144" s="2"/>
      <c r="C144" s="2"/>
      <c r="D144" s="2"/>
      <c r="K144" s="2"/>
    </row>
    <row r="145" spans="1:11" x14ac:dyDescent="0.25">
      <c r="A145" s="8"/>
      <c r="B145" s="2"/>
      <c r="C145" s="2"/>
      <c r="D145" s="2"/>
      <c r="K145" s="2"/>
    </row>
    <row r="146" spans="1:11" x14ac:dyDescent="0.25">
      <c r="A146" s="8"/>
      <c r="B146" s="2"/>
      <c r="C146" s="2"/>
      <c r="D146" s="2"/>
      <c r="K146" s="2"/>
    </row>
    <row r="147" spans="1:11" x14ac:dyDescent="0.25">
      <c r="A147" s="8"/>
      <c r="B147" s="2"/>
      <c r="C147" s="2"/>
      <c r="D147" s="2"/>
      <c r="K147" s="2"/>
    </row>
    <row r="148" spans="1:11" x14ac:dyDescent="0.25">
      <c r="A148" s="8"/>
      <c r="B148" s="2"/>
      <c r="C148" s="2"/>
      <c r="D148" s="2"/>
      <c r="K148" s="2"/>
    </row>
    <row r="149" spans="1:11" x14ac:dyDescent="0.25">
      <c r="A149" s="8"/>
      <c r="B149" s="2"/>
      <c r="C149" s="2"/>
      <c r="D149" s="2"/>
      <c r="K149" s="2"/>
    </row>
    <row r="150" spans="1:11" x14ac:dyDescent="0.25">
      <c r="A150" s="8"/>
      <c r="B150" s="2"/>
      <c r="C150" s="2"/>
      <c r="D150" s="2"/>
      <c r="K150" s="2"/>
    </row>
    <row r="151" spans="1:11" x14ac:dyDescent="0.25">
      <c r="A151" s="8"/>
      <c r="B151" s="2"/>
      <c r="C151" s="2"/>
      <c r="D151" s="2"/>
      <c r="K151" s="2"/>
    </row>
    <row r="152" spans="1:11" x14ac:dyDescent="0.25">
      <c r="A152" s="8"/>
      <c r="B152" s="2"/>
      <c r="C152" s="2"/>
      <c r="D152" s="2"/>
      <c r="K152" s="2"/>
    </row>
    <row r="153" spans="1:11" x14ac:dyDescent="0.25">
      <c r="A153" s="8"/>
      <c r="B153" s="2"/>
      <c r="C153" s="2"/>
      <c r="D153" s="2"/>
      <c r="K153" s="2"/>
    </row>
    <row r="154" spans="1:11" x14ac:dyDescent="0.25">
      <c r="A154" s="8"/>
      <c r="B154" s="2"/>
      <c r="C154" s="2"/>
      <c r="D154" s="2"/>
      <c r="K154" s="2"/>
    </row>
    <row r="155" spans="1:11" x14ac:dyDescent="0.25">
      <c r="A155" s="8"/>
      <c r="B155" s="2"/>
      <c r="C155" s="2"/>
      <c r="D155" s="2"/>
      <c r="K155" s="2"/>
    </row>
    <row r="156" spans="1:11" x14ac:dyDescent="0.25">
      <c r="A156" s="8"/>
      <c r="B156" s="2"/>
      <c r="C156" s="2"/>
      <c r="D156" s="2"/>
      <c r="K156" s="2"/>
    </row>
    <row r="157" spans="1:11" x14ac:dyDescent="0.25">
      <c r="A157" s="8"/>
      <c r="B157" s="2"/>
      <c r="C157" s="2"/>
      <c r="D157" s="2"/>
      <c r="K157" s="2"/>
    </row>
    <row r="158" spans="1:11" x14ac:dyDescent="0.25">
      <c r="A158" s="8"/>
      <c r="B158" s="2"/>
      <c r="C158" s="2"/>
      <c r="D158" s="2"/>
      <c r="K158" s="2"/>
    </row>
    <row r="159" spans="1:11" x14ac:dyDescent="0.25">
      <c r="A159" s="8"/>
      <c r="B159" s="2"/>
      <c r="C159" s="2"/>
      <c r="D159" s="2"/>
      <c r="K159" s="2"/>
    </row>
    <row r="160" spans="1:11" x14ac:dyDescent="0.25">
      <c r="A160" s="8"/>
      <c r="B160" s="2"/>
      <c r="C160" s="2"/>
      <c r="D160" s="2"/>
      <c r="K160" s="2"/>
    </row>
    <row r="161" spans="1:11" x14ac:dyDescent="0.25">
      <c r="A161" s="8"/>
      <c r="B161" s="2"/>
      <c r="C161" s="2"/>
      <c r="D161" s="2"/>
      <c r="K161" s="2"/>
    </row>
    <row r="162" spans="1:11" x14ac:dyDescent="0.25">
      <c r="A162" s="8"/>
      <c r="B162" s="2"/>
      <c r="C162" s="2"/>
      <c r="D162" s="2"/>
      <c r="K162" s="2"/>
    </row>
    <row r="163" spans="1:11" x14ac:dyDescent="0.25">
      <c r="A163" s="8"/>
      <c r="B163" s="2"/>
      <c r="C163" s="2"/>
      <c r="D163" s="2"/>
      <c r="K163" s="2"/>
    </row>
    <row r="164" spans="1:11" x14ac:dyDescent="0.25">
      <c r="A164" s="8"/>
      <c r="B164" s="2"/>
      <c r="C164" s="2"/>
      <c r="D164" s="2"/>
      <c r="K164" s="2"/>
    </row>
    <row r="165" spans="1:11" x14ac:dyDescent="0.25">
      <c r="A165" s="8"/>
      <c r="B165" s="2"/>
      <c r="C165" s="2"/>
      <c r="D165" s="2"/>
      <c r="K165" s="2"/>
    </row>
    <row r="166" spans="1:11" x14ac:dyDescent="0.25">
      <c r="A166" s="8"/>
      <c r="B166" s="2"/>
      <c r="C166" s="2"/>
      <c r="D166" s="2"/>
      <c r="K166" s="2"/>
    </row>
    <row r="167" spans="1:11" x14ac:dyDescent="0.25">
      <c r="A167" s="8"/>
      <c r="B167" s="2"/>
      <c r="C167" s="2"/>
      <c r="D167" s="2"/>
      <c r="K167" s="2"/>
    </row>
    <row r="168" spans="1:11" x14ac:dyDescent="0.25">
      <c r="A168" s="8"/>
      <c r="B168" s="2"/>
      <c r="C168" s="2"/>
      <c r="D168" s="2"/>
      <c r="K168" s="2"/>
    </row>
    <row r="169" spans="1:11" x14ac:dyDescent="0.25">
      <c r="A169" s="8"/>
      <c r="B169" s="2"/>
      <c r="C169" s="2"/>
      <c r="D169" s="2"/>
      <c r="K169" s="2"/>
    </row>
    <row r="170" spans="1:11" x14ac:dyDescent="0.25">
      <c r="A170" s="8"/>
      <c r="B170" s="2"/>
      <c r="C170" s="2"/>
      <c r="D170" s="2"/>
      <c r="K170" s="2"/>
    </row>
    <row r="171" spans="1:11" x14ac:dyDescent="0.25">
      <c r="A171" s="8"/>
      <c r="B171" s="2"/>
      <c r="C171" s="2"/>
      <c r="D171" s="2"/>
      <c r="K171" s="2"/>
    </row>
    <row r="172" spans="1:11" x14ac:dyDescent="0.25">
      <c r="A172" s="8"/>
      <c r="B172" s="2"/>
      <c r="C172" s="2"/>
      <c r="D172" s="2"/>
      <c r="K172" s="2"/>
    </row>
    <row r="173" spans="1:11" x14ac:dyDescent="0.25">
      <c r="A173" s="8"/>
      <c r="B173" s="2"/>
      <c r="C173" s="2"/>
      <c r="D173" s="2"/>
      <c r="K173" s="2"/>
    </row>
    <row r="174" spans="1:11" x14ac:dyDescent="0.25">
      <c r="A174" s="8"/>
      <c r="B174" s="2"/>
      <c r="C174" s="2"/>
      <c r="D174" s="2"/>
      <c r="K174" s="2"/>
    </row>
    <row r="175" spans="1:11" x14ac:dyDescent="0.25">
      <c r="A175" s="8"/>
      <c r="B175" s="2"/>
      <c r="C175" s="2"/>
      <c r="D175" s="2"/>
      <c r="K175" s="2"/>
    </row>
    <row r="176" spans="1:11" x14ac:dyDescent="0.25">
      <c r="A176" s="8"/>
      <c r="B176" s="2"/>
      <c r="C176" s="2"/>
      <c r="D176" s="2"/>
      <c r="K176" s="2"/>
    </row>
    <row r="177" spans="1:11" x14ac:dyDescent="0.25">
      <c r="A177" s="8"/>
      <c r="B177" s="2"/>
      <c r="C177" s="2"/>
      <c r="D177" s="2"/>
      <c r="K177" s="2"/>
    </row>
    <row r="178" spans="1:11" x14ac:dyDescent="0.25">
      <c r="A178" s="8"/>
      <c r="B178" s="2"/>
      <c r="C178" s="2"/>
      <c r="D178" s="2"/>
      <c r="K178" s="2"/>
    </row>
    <row r="179" spans="1:11" x14ac:dyDescent="0.25">
      <c r="A179" s="8"/>
      <c r="B179" s="2"/>
      <c r="C179" s="2"/>
      <c r="D179" s="2"/>
      <c r="K179" s="2"/>
    </row>
    <row r="180" spans="1:11" x14ac:dyDescent="0.25">
      <c r="A180" s="8"/>
      <c r="B180" s="2"/>
      <c r="C180" s="2"/>
      <c r="D180" s="2"/>
      <c r="K180" s="2"/>
    </row>
    <row r="181" spans="1:11" x14ac:dyDescent="0.25">
      <c r="A181" s="8"/>
      <c r="B181" s="2"/>
      <c r="C181" s="2"/>
      <c r="D181" s="2"/>
      <c r="K181" s="2"/>
    </row>
    <row r="182" spans="1:11" x14ac:dyDescent="0.25">
      <c r="A182" s="8"/>
      <c r="B182" s="2"/>
      <c r="C182" s="2"/>
      <c r="D182" s="2"/>
      <c r="K182" s="2"/>
    </row>
    <row r="183" spans="1:11" x14ac:dyDescent="0.25">
      <c r="A183" s="8"/>
      <c r="B183" s="2"/>
      <c r="C183" s="2"/>
      <c r="D183" s="2"/>
      <c r="K183" s="2"/>
    </row>
    <row r="184" spans="1:11" x14ac:dyDescent="0.25">
      <c r="A184" s="8"/>
      <c r="B184" s="2"/>
      <c r="C184" s="2"/>
      <c r="D184" s="2"/>
      <c r="K184" s="2"/>
    </row>
    <row r="185" spans="1:11" x14ac:dyDescent="0.25">
      <c r="A185" s="8"/>
      <c r="B185" s="2"/>
      <c r="C185" s="2"/>
      <c r="D185" s="2"/>
      <c r="K185" s="2"/>
    </row>
    <row r="186" spans="1:11" x14ac:dyDescent="0.25">
      <c r="A186" s="8"/>
      <c r="B186" s="2"/>
      <c r="C186" s="2"/>
      <c r="D186" s="2"/>
      <c r="K186" s="2"/>
    </row>
    <row r="187" spans="1:11" x14ac:dyDescent="0.25">
      <c r="A187" s="8"/>
      <c r="B187" s="2"/>
      <c r="C187" s="2"/>
      <c r="D187" s="2"/>
      <c r="K187" s="2"/>
    </row>
    <row r="188" spans="1:11" x14ac:dyDescent="0.25">
      <c r="A188" s="8"/>
      <c r="B188" s="2"/>
      <c r="C188" s="2"/>
      <c r="D188" s="2"/>
      <c r="K188" s="2"/>
    </row>
    <row r="189" spans="1:11" x14ac:dyDescent="0.25">
      <c r="A189" s="8"/>
      <c r="B189" s="2"/>
      <c r="C189" s="2"/>
      <c r="D189" s="2"/>
      <c r="K189" s="2"/>
    </row>
    <row r="190" spans="1:11" x14ac:dyDescent="0.25">
      <c r="A190" s="8"/>
      <c r="B190" s="2"/>
      <c r="C190" s="2"/>
      <c r="D190" s="2"/>
      <c r="K190" s="2"/>
    </row>
    <row r="191" spans="1:11" x14ac:dyDescent="0.25">
      <c r="A191" s="8"/>
      <c r="B191" s="2"/>
      <c r="C191" s="2"/>
      <c r="D191" s="2"/>
      <c r="K191" s="2"/>
    </row>
    <row r="192" spans="1:11" x14ac:dyDescent="0.25">
      <c r="A192" s="8"/>
      <c r="B192" s="2"/>
      <c r="C192" s="2"/>
      <c r="D192" s="2"/>
      <c r="K192" s="2"/>
    </row>
    <row r="193" spans="1:11" x14ac:dyDescent="0.25">
      <c r="A193" s="8"/>
      <c r="B193" s="2"/>
      <c r="C193" s="2"/>
      <c r="D193" s="2"/>
      <c r="K193" s="2"/>
    </row>
    <row r="194" spans="1:11" x14ac:dyDescent="0.25">
      <c r="A194" s="8"/>
      <c r="B194" s="2"/>
      <c r="C194" s="2"/>
      <c r="D194" s="2"/>
      <c r="K194" s="2"/>
    </row>
    <row r="195" spans="1:11" x14ac:dyDescent="0.25">
      <c r="A195" s="8"/>
      <c r="B195" s="2"/>
      <c r="C195" s="2"/>
      <c r="D195" s="2"/>
      <c r="K195" s="2"/>
    </row>
    <row r="196" spans="1:11" x14ac:dyDescent="0.25">
      <c r="A196" s="8"/>
      <c r="B196" s="2"/>
      <c r="C196" s="2"/>
      <c r="D196" s="2"/>
      <c r="K196" s="2"/>
    </row>
    <row r="197" spans="1:11" x14ac:dyDescent="0.25">
      <c r="A197" s="8"/>
      <c r="B197" s="2"/>
      <c r="C197" s="2"/>
      <c r="D197" s="2"/>
      <c r="K197" s="2"/>
    </row>
    <row r="198" spans="1:11" x14ac:dyDescent="0.25">
      <c r="A198" s="8"/>
      <c r="B198" s="2"/>
      <c r="C198" s="2"/>
      <c r="D198" s="2"/>
      <c r="K198" s="2"/>
    </row>
    <row r="199" spans="1:11" x14ac:dyDescent="0.25">
      <c r="A199" s="8"/>
      <c r="B199" s="2"/>
      <c r="C199" s="2"/>
      <c r="D199" s="2"/>
      <c r="K199" s="2"/>
    </row>
    <row r="200" spans="1:11" x14ac:dyDescent="0.25">
      <c r="A200" s="8">
        <f ca="1">TODAY()</f>
        <v>46295</v>
      </c>
      <c r="B200" s="2"/>
      <c r="C200" s="2"/>
      <c r="D200" s="2"/>
      <c r="K200" s="28">
        <f>Apžvalga!U3</f>
        <v>1033.7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61392-24B6-482A-9245-A8E55C9F5074}">
  <sheetPr>
    <tabColor rgb="FFFFC000"/>
  </sheetPr>
  <dimension ref="A1:AA41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91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93</v>
      </c>
      <c r="D2" s="8">
        <v>46256</v>
      </c>
      <c r="E2" s="5">
        <v>0</v>
      </c>
      <c r="F2" s="5">
        <v>0.63</v>
      </c>
      <c r="G2" s="5"/>
      <c r="H2" s="5"/>
      <c r="I2" s="5"/>
      <c r="J2" s="8"/>
      <c r="K2" s="9" t="str">
        <f t="shared" ref="K2:K26" si="0">IF(J2&gt;0,J2-D2,"")</f>
        <v/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46171</v>
      </c>
      <c r="Z2" s="5">
        <f>B11*-1</f>
        <v>-62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46171</v>
      </c>
      <c r="D3" s="8">
        <v>46287</v>
      </c>
      <c r="E3" s="5">
        <v>0</v>
      </c>
      <c r="F3" s="5">
        <v>0.63</v>
      </c>
      <c r="G3" s="5"/>
      <c r="H3" s="3"/>
      <c r="I3" s="5"/>
      <c r="J3" s="8"/>
      <c r="K3" s="9" t="str">
        <f t="shared" si="0"/>
        <v/>
      </c>
      <c r="M3" s="5">
        <f>B11</f>
        <v>62</v>
      </c>
      <c r="N3" s="5">
        <f>G42</f>
        <v>0</v>
      </c>
      <c r="O3" s="5">
        <f>F42</f>
        <v>0</v>
      </c>
      <c r="P3" s="5">
        <f>H42+I42</f>
        <v>0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39</v>
      </c>
      <c r="T3" s="1"/>
      <c r="U3" s="1"/>
      <c r="V3" s="1"/>
      <c r="Y3" s="8">
        <f>J2</f>
        <v>0</v>
      </c>
      <c r="Z3" s="5">
        <f>G2+H2+I2</f>
        <v>0</v>
      </c>
    </row>
    <row r="4" spans="1:27" x14ac:dyDescent="0.25">
      <c r="A4" s="12" t="s">
        <v>10</v>
      </c>
      <c r="B4" s="8">
        <v>46225</v>
      </c>
      <c r="D4" s="8">
        <v>46317</v>
      </c>
      <c r="E4" s="5">
        <v>0</v>
      </c>
      <c r="F4" s="5">
        <v>0.61</v>
      </c>
      <c r="G4" s="5"/>
      <c r="H4" s="3"/>
      <c r="I4" s="5"/>
      <c r="J4" s="8"/>
      <c r="K4" s="9" t="str">
        <f t="shared" si="0"/>
        <v/>
      </c>
      <c r="Y4" s="8">
        <f t="shared" ref="Y4:Y41" si="1">J3</f>
        <v>0</v>
      </c>
      <c r="Z4" s="5">
        <f t="shared" ref="Z4:Z41" si="2">G3+H3+I3</f>
        <v>0</v>
      </c>
    </row>
    <row r="5" spans="1:27" x14ac:dyDescent="0.25">
      <c r="A5" s="12" t="s">
        <v>2</v>
      </c>
      <c r="B5" s="3" t="s">
        <v>14</v>
      </c>
      <c r="D5" s="8">
        <v>46348</v>
      </c>
      <c r="E5" s="5">
        <v>0</v>
      </c>
      <c r="F5" s="5">
        <v>0.63</v>
      </c>
      <c r="G5" s="5"/>
      <c r="H5" s="3"/>
      <c r="I5" s="5"/>
      <c r="J5" s="8"/>
      <c r="K5" s="9" t="str">
        <f t="shared" si="0"/>
        <v/>
      </c>
      <c r="Y5" s="8">
        <f t="shared" si="1"/>
        <v>0</v>
      </c>
      <c r="Z5" s="5">
        <f t="shared" si="2"/>
        <v>0</v>
      </c>
    </row>
    <row r="6" spans="1:27" x14ac:dyDescent="0.25">
      <c r="A6" s="12" t="s">
        <v>11</v>
      </c>
      <c r="B6" s="4">
        <v>0.6</v>
      </c>
      <c r="D6" s="8">
        <v>46378</v>
      </c>
      <c r="E6" s="5">
        <v>0</v>
      </c>
      <c r="F6" s="5">
        <v>0.61</v>
      </c>
      <c r="G6" s="5"/>
      <c r="H6" s="3"/>
      <c r="I6" s="5"/>
      <c r="J6" s="8"/>
      <c r="K6" s="9" t="str">
        <f t="shared" si="0"/>
        <v/>
      </c>
      <c r="Y6" s="8">
        <f t="shared" si="1"/>
        <v>0</v>
      </c>
      <c r="Z6" s="5">
        <f t="shared" si="2"/>
        <v>0</v>
      </c>
    </row>
    <row r="7" spans="1:27" x14ac:dyDescent="0.25">
      <c r="A7" s="12" t="s">
        <v>12</v>
      </c>
      <c r="B7" s="4" t="s">
        <v>24</v>
      </c>
      <c r="D7" s="8">
        <v>46409</v>
      </c>
      <c r="E7" s="5">
        <v>0</v>
      </c>
      <c r="F7" s="5">
        <v>0.63</v>
      </c>
      <c r="G7" s="5"/>
      <c r="H7" s="5"/>
      <c r="I7" s="5"/>
      <c r="J7" s="8"/>
      <c r="K7" s="9" t="str">
        <f t="shared" si="0"/>
        <v/>
      </c>
      <c r="Y7" s="8">
        <f t="shared" si="1"/>
        <v>0</v>
      </c>
      <c r="Z7" s="5">
        <f t="shared" si="2"/>
        <v>0</v>
      </c>
    </row>
    <row r="8" spans="1:27" x14ac:dyDescent="0.25">
      <c r="A8" s="12" t="s">
        <v>4</v>
      </c>
      <c r="B8" s="3">
        <v>12</v>
      </c>
      <c r="D8" s="8">
        <v>46440</v>
      </c>
      <c r="E8" s="5">
        <v>0</v>
      </c>
      <c r="F8" s="5">
        <v>0.63</v>
      </c>
      <c r="G8" s="5"/>
      <c r="H8" s="5"/>
      <c r="I8" s="5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46468</v>
      </c>
      <c r="E9" s="5">
        <v>0</v>
      </c>
      <c r="F9" s="5">
        <v>0.56999999999999995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0.12</v>
      </c>
      <c r="D10" s="8">
        <v>46499</v>
      </c>
      <c r="E10" s="5">
        <v>0</v>
      </c>
      <c r="F10" s="5">
        <v>0.63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62</v>
      </c>
      <c r="D11" s="8">
        <v>46529</v>
      </c>
      <c r="E11" s="5">
        <v>0</v>
      </c>
      <c r="F11" s="5">
        <v>0.61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8">
        <v>46561</v>
      </c>
      <c r="D12" s="8">
        <v>46560</v>
      </c>
      <c r="E12" s="5">
        <v>0</v>
      </c>
      <c r="F12" s="5">
        <v>0.63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266</v>
      </c>
      <c r="D13" s="8">
        <v>46561</v>
      </c>
      <c r="E13" s="5">
        <v>62</v>
      </c>
      <c r="F13" s="5">
        <v>0.03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A16" s="11"/>
      <c r="B16" s="6"/>
      <c r="D16" s="8"/>
      <c r="E16" s="5"/>
      <c r="F16" s="5"/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1:26" x14ac:dyDescent="0.25">
      <c r="A17" s="11"/>
      <c r="B17" s="6"/>
      <c r="D17" s="8"/>
      <c r="E17" s="5"/>
      <c r="F17" s="5"/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1:26" x14ac:dyDescent="0.25">
      <c r="A18" s="11"/>
      <c r="B18" s="6"/>
      <c r="D18" s="8"/>
      <c r="E18" s="5"/>
      <c r="F18" s="5"/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1:26" x14ac:dyDescent="0.25">
      <c r="A19" s="11"/>
      <c r="B19" s="6"/>
      <c r="D19" s="8"/>
      <c r="E19" s="5"/>
      <c r="F19" s="5"/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1:26" x14ac:dyDescent="0.25">
      <c r="A20" s="11"/>
      <c r="B20" s="6"/>
      <c r="D20" s="8"/>
      <c r="E20" s="5"/>
      <c r="F20" s="5"/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1:26" x14ac:dyDescent="0.25">
      <c r="A21" s="11"/>
      <c r="B21" s="6"/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1:26" x14ac:dyDescent="0.25">
      <c r="A22" s="11"/>
      <c r="B22" s="6"/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1:26" x14ac:dyDescent="0.25">
      <c r="A23" s="11"/>
      <c r="B23" s="6"/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1:26" x14ac:dyDescent="0.25">
      <c r="A24" s="11"/>
      <c r="B24" s="6"/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1:26" x14ac:dyDescent="0.25">
      <c r="D25" s="8"/>
      <c r="E25" s="5"/>
      <c r="F25" s="5"/>
      <c r="G25" s="5"/>
      <c r="H25" s="5"/>
      <c r="I25" s="5"/>
      <c r="J25" s="19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1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1:26" x14ac:dyDescent="0.25">
      <c r="D27" s="16" t="s">
        <v>35</v>
      </c>
      <c r="E27" s="5">
        <f>SUM(E2:E26)</f>
        <v>62</v>
      </c>
      <c r="F27" s="5">
        <f t="shared" ref="F27:I27" si="3">SUM(F2:F26)</f>
        <v>6.8400000000000007</v>
      </c>
      <c r="G27" s="5">
        <f t="shared" si="3"/>
        <v>0</v>
      </c>
      <c r="H27" s="5">
        <f t="shared" si="3"/>
        <v>0</v>
      </c>
      <c r="I27" s="5">
        <f t="shared" si="3"/>
        <v>0</v>
      </c>
      <c r="J27" s="5"/>
      <c r="K27" s="5"/>
      <c r="Y27" s="8">
        <f t="shared" si="1"/>
        <v>0</v>
      </c>
      <c r="Z27" s="5">
        <f t="shared" si="2"/>
        <v>0</v>
      </c>
    </row>
    <row r="28" spans="1:26" x14ac:dyDescent="0.25">
      <c r="Y28" s="8">
        <f t="shared" si="1"/>
        <v>0</v>
      </c>
      <c r="Z28" s="5">
        <f t="shared" si="2"/>
        <v>0</v>
      </c>
    </row>
    <row r="29" spans="1:26" x14ac:dyDescent="0.25">
      <c r="Y29" s="8">
        <f t="shared" si="1"/>
        <v>0</v>
      </c>
      <c r="Z29" s="5">
        <f t="shared" si="2"/>
        <v>0</v>
      </c>
    </row>
    <row r="30" spans="1:26" x14ac:dyDescent="0.25">
      <c r="Y30" s="8">
        <f t="shared" si="1"/>
        <v>0</v>
      </c>
      <c r="Z30" s="5">
        <f t="shared" si="2"/>
        <v>0</v>
      </c>
    </row>
    <row r="31" spans="1:26" x14ac:dyDescent="0.25">
      <c r="Y31" s="8">
        <f t="shared" si="1"/>
        <v>0</v>
      </c>
      <c r="Z31" s="5">
        <f t="shared" si="2"/>
        <v>0</v>
      </c>
    </row>
    <row r="32" spans="1:26" x14ac:dyDescent="0.25">
      <c r="Y32" s="8">
        <f t="shared" si="1"/>
        <v>0</v>
      </c>
      <c r="Z32" s="5">
        <f t="shared" si="2"/>
        <v>0</v>
      </c>
    </row>
    <row r="33" spans="25:26" x14ac:dyDescent="0.25">
      <c r="Y33" s="8">
        <f t="shared" si="1"/>
        <v>0</v>
      </c>
      <c r="Z33" s="5">
        <f t="shared" si="2"/>
        <v>0</v>
      </c>
    </row>
    <row r="34" spans="25:26" x14ac:dyDescent="0.25">
      <c r="Y34" s="8">
        <f t="shared" si="1"/>
        <v>0</v>
      </c>
      <c r="Z34" s="5">
        <f t="shared" si="2"/>
        <v>0</v>
      </c>
    </row>
    <row r="35" spans="25:26" x14ac:dyDescent="0.25">
      <c r="Y35" s="8">
        <f t="shared" si="1"/>
        <v>0</v>
      </c>
      <c r="Z35" s="5">
        <f t="shared" si="2"/>
        <v>0</v>
      </c>
    </row>
    <row r="36" spans="25:26" x14ac:dyDescent="0.25">
      <c r="Y36" s="8">
        <f t="shared" si="1"/>
        <v>0</v>
      </c>
      <c r="Z36" s="5">
        <f t="shared" si="2"/>
        <v>0</v>
      </c>
    </row>
    <row r="37" spans="25:26" x14ac:dyDescent="0.25">
      <c r="Y37" s="8">
        <f t="shared" si="1"/>
        <v>0</v>
      </c>
      <c r="Z37" s="5">
        <f t="shared" si="2"/>
        <v>0</v>
      </c>
    </row>
    <row r="38" spans="25:26" x14ac:dyDescent="0.25">
      <c r="Y38" s="8">
        <f t="shared" si="1"/>
        <v>0</v>
      </c>
      <c r="Z38" s="5">
        <f t="shared" si="2"/>
        <v>0</v>
      </c>
    </row>
    <row r="39" spans="25:26" x14ac:dyDescent="0.25">
      <c r="Y39" s="8">
        <f t="shared" si="1"/>
        <v>0</v>
      </c>
      <c r="Z39" s="5">
        <f t="shared" si="2"/>
        <v>0</v>
      </c>
    </row>
    <row r="40" spans="25:26" x14ac:dyDescent="0.25">
      <c r="Y40" s="8">
        <f t="shared" si="1"/>
        <v>0</v>
      </c>
      <c r="Z40" s="5">
        <f t="shared" si="2"/>
        <v>0</v>
      </c>
    </row>
    <row r="41" spans="25:26" x14ac:dyDescent="0.25">
      <c r="Y41" s="8">
        <f t="shared" si="1"/>
        <v>0</v>
      </c>
      <c r="Z41" s="5">
        <f t="shared" si="2"/>
        <v>0</v>
      </c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29" priority="1">
      <formula>$M$3=$N$3</formula>
    </cfRule>
  </conditionalFormatting>
  <conditionalFormatting sqref="A1:B1">
    <cfRule type="expression" dxfId="128" priority="2">
      <formula>$AA$2="+"</formula>
    </cfRule>
  </conditionalFormatting>
  <conditionalFormatting sqref="B1">
    <cfRule type="expression" dxfId="127" priority="4">
      <formula>$M$3=$N$3</formula>
    </cfRule>
  </conditionalFormatting>
  <conditionalFormatting sqref="S3">
    <cfRule type="expression" dxfId="126" priority="6">
      <formula>$AA$2="+"</formula>
    </cfRule>
  </conditionalFormatting>
  <conditionalFormatting sqref="AA2">
    <cfRule type="expression" dxfId="12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590C9-0976-4DB6-BCD2-BD42D1A22F0F}">
  <dimension ref="A1:AA42"/>
  <sheetViews>
    <sheetView workbookViewId="0">
      <selection activeCell="J6" sqref="J6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94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92</v>
      </c>
      <c r="D2" s="8">
        <v>46181</v>
      </c>
      <c r="E2" s="5">
        <v>0</v>
      </c>
      <c r="F2" s="5">
        <v>0.45</v>
      </c>
      <c r="G2" s="5">
        <v>0</v>
      </c>
      <c r="H2" s="5">
        <v>0.45</v>
      </c>
      <c r="I2" s="5">
        <v>0</v>
      </c>
      <c r="J2" s="8">
        <v>46177</v>
      </c>
      <c r="K2" s="9">
        <f t="shared" ref="K2:K26" si="0">IF(J2&gt;0,J2-D2,"")</f>
        <v>-4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46142</v>
      </c>
      <c r="Z2" s="5">
        <f>B11*-1</f>
        <v>-53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46142</v>
      </c>
      <c r="D3" s="8">
        <v>46211</v>
      </c>
      <c r="E3" s="5">
        <v>0</v>
      </c>
      <c r="F3" s="5">
        <v>0.43</v>
      </c>
      <c r="G3" s="5">
        <v>0</v>
      </c>
      <c r="H3" s="3">
        <v>0.43</v>
      </c>
      <c r="I3" s="5">
        <v>0</v>
      </c>
      <c r="J3" s="8">
        <v>46208</v>
      </c>
      <c r="K3" s="9">
        <f t="shared" si="0"/>
        <v>-3</v>
      </c>
      <c r="M3" s="5">
        <f>B11</f>
        <v>53</v>
      </c>
      <c r="N3" s="5">
        <f>G42</f>
        <v>0</v>
      </c>
      <c r="O3" s="5">
        <f>F42</f>
        <v>8.1100000000000012</v>
      </c>
      <c r="P3" s="5">
        <f>H42+I42</f>
        <v>1.78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46177</v>
      </c>
      <c r="Z3" s="5">
        <f>G2+H2+I2</f>
        <v>0.45</v>
      </c>
    </row>
    <row r="4" spans="1:27" x14ac:dyDescent="0.25">
      <c r="A4" s="12" t="s">
        <v>10</v>
      </c>
      <c r="B4" s="8">
        <v>46150</v>
      </c>
      <c r="D4" s="8">
        <v>46242</v>
      </c>
      <c r="E4" s="5">
        <v>0</v>
      </c>
      <c r="F4" s="5">
        <v>0.45</v>
      </c>
      <c r="G4" s="5">
        <v>0</v>
      </c>
      <c r="H4" s="3">
        <v>0.45</v>
      </c>
      <c r="I4" s="5">
        <v>0</v>
      </c>
      <c r="J4" s="8">
        <v>46238</v>
      </c>
      <c r="K4" s="9">
        <f t="shared" si="0"/>
        <v>-4</v>
      </c>
      <c r="Y4" s="8">
        <f t="shared" ref="Y4:Y41" si="1">J3</f>
        <v>46208</v>
      </c>
      <c r="Z4" s="5">
        <f t="shared" ref="Z4:Z41" si="2">G3+H3+I3</f>
        <v>0.43</v>
      </c>
    </row>
    <row r="5" spans="1:27" x14ac:dyDescent="0.25">
      <c r="A5" s="12" t="s">
        <v>2</v>
      </c>
      <c r="B5" s="3" t="s">
        <v>3</v>
      </c>
      <c r="D5" s="8">
        <v>46273</v>
      </c>
      <c r="E5" s="5">
        <v>0</v>
      </c>
      <c r="F5" s="5">
        <v>0.45</v>
      </c>
      <c r="G5" s="5">
        <v>0</v>
      </c>
      <c r="H5" s="3">
        <v>0.45</v>
      </c>
      <c r="I5" s="5">
        <v>0</v>
      </c>
      <c r="J5" s="8">
        <v>46272</v>
      </c>
      <c r="K5" s="9">
        <f t="shared" si="0"/>
        <v>-1</v>
      </c>
      <c r="Y5" s="8">
        <f t="shared" si="1"/>
        <v>46238</v>
      </c>
      <c r="Z5" s="5">
        <f t="shared" si="2"/>
        <v>0.45</v>
      </c>
    </row>
    <row r="6" spans="1:27" x14ac:dyDescent="0.25">
      <c r="A6" s="12" t="s">
        <v>11</v>
      </c>
      <c r="B6" s="4">
        <v>0.6</v>
      </c>
      <c r="D6" s="8">
        <v>46303</v>
      </c>
      <c r="E6" s="5">
        <v>0</v>
      </c>
      <c r="F6" s="5">
        <v>0.43</v>
      </c>
      <c r="G6" s="5"/>
      <c r="H6" s="3"/>
      <c r="I6" s="5"/>
      <c r="J6" s="8"/>
      <c r="K6" s="9" t="str">
        <f t="shared" si="0"/>
        <v/>
      </c>
      <c r="Y6" s="8">
        <f t="shared" si="1"/>
        <v>46272</v>
      </c>
      <c r="Z6" s="5">
        <f t="shared" si="2"/>
        <v>0.45</v>
      </c>
    </row>
    <row r="7" spans="1:27" x14ac:dyDescent="0.25">
      <c r="A7" s="12" t="s">
        <v>12</v>
      </c>
      <c r="B7" s="4" t="s">
        <v>24</v>
      </c>
      <c r="D7" s="8">
        <v>46334</v>
      </c>
      <c r="E7" s="5">
        <v>0</v>
      </c>
      <c r="F7" s="5">
        <v>0.45</v>
      </c>
      <c r="G7" s="5"/>
      <c r="H7" s="5"/>
      <c r="I7" s="5"/>
      <c r="J7" s="8"/>
      <c r="K7" s="9" t="str">
        <f t="shared" si="0"/>
        <v/>
      </c>
      <c r="Y7" s="8">
        <f t="shared" si="1"/>
        <v>0</v>
      </c>
      <c r="Z7" s="5">
        <f t="shared" si="2"/>
        <v>0</v>
      </c>
    </row>
    <row r="8" spans="1:27" x14ac:dyDescent="0.25">
      <c r="A8" s="12" t="s">
        <v>4</v>
      </c>
      <c r="B8" s="3">
        <v>19</v>
      </c>
      <c r="D8" s="8">
        <v>46364</v>
      </c>
      <c r="E8" s="5">
        <v>0</v>
      </c>
      <c r="F8" s="5">
        <v>0.43</v>
      </c>
      <c r="G8" s="5"/>
      <c r="H8" s="5"/>
      <c r="I8" s="5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46395</v>
      </c>
      <c r="E9" s="5">
        <v>0</v>
      </c>
      <c r="F9" s="5">
        <v>0.45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</v>
      </c>
      <c r="D10" s="8">
        <v>46426</v>
      </c>
      <c r="E10" s="5">
        <v>0</v>
      </c>
      <c r="F10" s="5">
        <v>0.45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53</v>
      </c>
      <c r="D11" s="8">
        <v>46454</v>
      </c>
      <c r="E11" s="5">
        <v>0</v>
      </c>
      <c r="F11" s="5">
        <v>0.4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8">
        <v>46709</v>
      </c>
      <c r="D12" s="8">
        <v>46485</v>
      </c>
      <c r="E12" s="5">
        <v>0</v>
      </c>
      <c r="F12" s="5">
        <v>0.45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414</v>
      </c>
      <c r="D13" s="8">
        <v>46515</v>
      </c>
      <c r="E13" s="5">
        <v>0</v>
      </c>
      <c r="F13" s="5">
        <v>0.43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>
        <v>46546</v>
      </c>
      <c r="E14" s="5">
        <v>0</v>
      </c>
      <c r="F14" s="5">
        <v>0.45</v>
      </c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>
        <v>46576</v>
      </c>
      <c r="E15" s="5">
        <v>0</v>
      </c>
      <c r="F15" s="5">
        <v>0.43</v>
      </c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A16" s="11"/>
      <c r="B16" s="6"/>
      <c r="D16" s="8">
        <v>46607</v>
      </c>
      <c r="E16" s="5">
        <v>0</v>
      </c>
      <c r="F16" s="5">
        <v>0.45</v>
      </c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1:26" x14ac:dyDescent="0.25">
      <c r="A17" s="11"/>
      <c r="B17" s="6"/>
      <c r="D17" s="8">
        <v>46638</v>
      </c>
      <c r="E17" s="5">
        <v>0</v>
      </c>
      <c r="F17" s="5">
        <v>0.45</v>
      </c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1:26" x14ac:dyDescent="0.25">
      <c r="A18" s="11"/>
      <c r="B18" s="6"/>
      <c r="D18" s="8">
        <v>46668</v>
      </c>
      <c r="E18" s="5">
        <v>0</v>
      </c>
      <c r="F18" s="5">
        <v>0.43</v>
      </c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1:26" x14ac:dyDescent="0.25">
      <c r="A19" s="11"/>
      <c r="B19" s="6"/>
      <c r="D19" s="8">
        <v>46699</v>
      </c>
      <c r="E19" s="5">
        <v>0</v>
      </c>
      <c r="F19" s="5">
        <v>0.45</v>
      </c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1:26" x14ac:dyDescent="0.25">
      <c r="A20" s="11"/>
      <c r="B20" s="6"/>
      <c r="D20" s="8">
        <v>46709</v>
      </c>
      <c r="E20" s="5">
        <v>53</v>
      </c>
      <c r="F20" s="5">
        <v>0.18</v>
      </c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1:26" x14ac:dyDescent="0.25">
      <c r="A21" s="11"/>
      <c r="B21" s="6"/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1:26" x14ac:dyDescent="0.25">
      <c r="A22" s="11"/>
      <c r="B22" s="6"/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1:26" x14ac:dyDescent="0.25">
      <c r="A23" s="11"/>
      <c r="B23" s="6"/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1:26" x14ac:dyDescent="0.25">
      <c r="A24" s="11"/>
      <c r="B24" s="6"/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1:26" x14ac:dyDescent="0.25">
      <c r="D25" s="8"/>
      <c r="E25" s="5"/>
      <c r="F25" s="5"/>
      <c r="G25" s="5"/>
      <c r="H25" s="5"/>
      <c r="I25" s="5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1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1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1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1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1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1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1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53</v>
      </c>
      <c r="F42" s="5">
        <f t="shared" ref="F42:I42" si="4">SUM(F2:F41)</f>
        <v>8.1100000000000012</v>
      </c>
      <c r="G42" s="5">
        <f t="shared" si="4"/>
        <v>0</v>
      </c>
      <c r="H42" s="5">
        <f t="shared" si="4"/>
        <v>1.78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24" priority="1">
      <formula>$M$3=$N$3</formula>
    </cfRule>
  </conditionalFormatting>
  <conditionalFormatting sqref="A1:B1">
    <cfRule type="expression" dxfId="123" priority="2">
      <formula>$AA$2="+"</formula>
    </cfRule>
  </conditionalFormatting>
  <conditionalFormatting sqref="B1">
    <cfRule type="expression" dxfId="122" priority="4">
      <formula>$M$3=$N$3</formula>
    </cfRule>
  </conditionalFormatting>
  <conditionalFormatting sqref="S3">
    <cfRule type="expression" dxfId="121" priority="6">
      <formula>$AA$2="+"</formula>
    </cfRule>
  </conditionalFormatting>
  <conditionalFormatting sqref="AA2">
    <cfRule type="expression" dxfId="12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35E17-2526-43F6-8EA5-08F9AE320CA6}">
  <dimension ref="A1:AA42"/>
  <sheetViews>
    <sheetView workbookViewId="0">
      <selection activeCell="J6" sqref="J6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95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82</v>
      </c>
      <c r="D2" s="8">
        <v>46181</v>
      </c>
      <c r="E2" s="5">
        <v>0</v>
      </c>
      <c r="F2" s="5">
        <v>0.76</v>
      </c>
      <c r="G2" s="5">
        <v>0</v>
      </c>
      <c r="H2" s="5">
        <v>0.76</v>
      </c>
      <c r="I2" s="5">
        <v>0</v>
      </c>
      <c r="J2" s="8">
        <v>46181</v>
      </c>
      <c r="K2" s="9">
        <f t="shared" ref="K2:K26" si="0">IF(J2&gt;0,J2-D2,"")</f>
        <v>0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46128</v>
      </c>
      <c r="Z2" s="5">
        <f>B11*-1</f>
        <v>-75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46128</v>
      </c>
      <c r="D3" s="8">
        <v>46211</v>
      </c>
      <c r="E3" s="5">
        <v>0</v>
      </c>
      <c r="F3" s="5">
        <v>0.73</v>
      </c>
      <c r="G3" s="5">
        <v>0</v>
      </c>
      <c r="H3" s="3">
        <v>0.73</v>
      </c>
      <c r="I3" s="5">
        <v>0</v>
      </c>
      <c r="J3" s="8">
        <v>46212</v>
      </c>
      <c r="K3" s="9">
        <f t="shared" si="0"/>
        <v>1</v>
      </c>
      <c r="M3" s="5">
        <f>B11</f>
        <v>75</v>
      </c>
      <c r="N3" s="5">
        <f>G42</f>
        <v>0</v>
      </c>
      <c r="O3" s="5">
        <f>F42</f>
        <v>5.44</v>
      </c>
      <c r="P3" s="5">
        <f>H42+I42</f>
        <v>3.01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46181</v>
      </c>
      <c r="Z3" s="5">
        <f>G2+H2+I2</f>
        <v>0.76</v>
      </c>
    </row>
    <row r="4" spans="1:27" x14ac:dyDescent="0.25">
      <c r="A4" s="12" t="s">
        <v>10</v>
      </c>
      <c r="B4" s="8">
        <v>46150</v>
      </c>
      <c r="D4" s="8">
        <v>46242</v>
      </c>
      <c r="E4" s="5">
        <v>0</v>
      </c>
      <c r="F4" s="5">
        <v>0.76</v>
      </c>
      <c r="G4" s="5">
        <v>0</v>
      </c>
      <c r="H4" s="3">
        <v>0.76</v>
      </c>
      <c r="I4" s="5">
        <v>0</v>
      </c>
      <c r="J4" s="8">
        <v>46244</v>
      </c>
      <c r="K4" s="9">
        <f t="shared" si="0"/>
        <v>2</v>
      </c>
      <c r="Y4" s="8">
        <f t="shared" ref="Y4:Y41" si="1">J3</f>
        <v>46212</v>
      </c>
      <c r="Z4" s="5">
        <f t="shared" ref="Z4:Z41" si="2">G3+H3+I3</f>
        <v>0.73</v>
      </c>
    </row>
    <row r="5" spans="1:27" x14ac:dyDescent="0.25">
      <c r="A5" s="12" t="s">
        <v>2</v>
      </c>
      <c r="B5" s="3" t="s">
        <v>14</v>
      </c>
      <c r="D5" s="8">
        <v>46273</v>
      </c>
      <c r="E5" s="5">
        <v>0</v>
      </c>
      <c r="F5" s="5">
        <v>0.76</v>
      </c>
      <c r="G5" s="5">
        <v>0</v>
      </c>
      <c r="H5" s="3">
        <v>0.76</v>
      </c>
      <c r="I5" s="5">
        <v>0</v>
      </c>
      <c r="J5" s="8">
        <v>46276</v>
      </c>
      <c r="K5" s="9">
        <f t="shared" si="0"/>
        <v>3</v>
      </c>
      <c r="Y5" s="8">
        <f t="shared" si="1"/>
        <v>46244</v>
      </c>
      <c r="Z5" s="5">
        <f t="shared" si="2"/>
        <v>0.76</v>
      </c>
    </row>
    <row r="6" spans="1:27" x14ac:dyDescent="0.25">
      <c r="A6" s="12" t="s">
        <v>11</v>
      </c>
      <c r="B6" s="4">
        <v>0.5</v>
      </c>
      <c r="D6" s="8">
        <v>46303</v>
      </c>
      <c r="E6" s="5">
        <v>0</v>
      </c>
      <c r="F6" s="5">
        <v>0.73</v>
      </c>
      <c r="G6" s="5"/>
      <c r="H6" s="3"/>
      <c r="I6" s="5"/>
      <c r="J6" s="8"/>
      <c r="K6" s="9" t="str">
        <f t="shared" si="0"/>
        <v/>
      </c>
      <c r="Y6" s="8">
        <f t="shared" si="1"/>
        <v>46276</v>
      </c>
      <c r="Z6" s="5">
        <f t="shared" si="2"/>
        <v>0.76</v>
      </c>
    </row>
    <row r="7" spans="1:27" x14ac:dyDescent="0.25">
      <c r="A7" s="12" t="s">
        <v>12</v>
      </c>
      <c r="B7" s="4" t="s">
        <v>24</v>
      </c>
      <c r="D7" s="8">
        <v>46334</v>
      </c>
      <c r="E7" s="5">
        <v>0</v>
      </c>
      <c r="F7" s="5">
        <v>0.76</v>
      </c>
      <c r="G7" s="5"/>
      <c r="H7" s="5"/>
      <c r="I7" s="5"/>
      <c r="J7" s="8"/>
      <c r="K7" s="9" t="str">
        <f t="shared" si="0"/>
        <v/>
      </c>
      <c r="Y7" s="8">
        <f t="shared" si="1"/>
        <v>0</v>
      </c>
      <c r="Z7" s="5">
        <f t="shared" si="2"/>
        <v>0</v>
      </c>
    </row>
    <row r="8" spans="1:27" x14ac:dyDescent="0.25">
      <c r="A8" s="12" t="s">
        <v>4</v>
      </c>
      <c r="B8" s="3">
        <v>8</v>
      </c>
      <c r="D8" s="8">
        <v>46364</v>
      </c>
      <c r="E8" s="5">
        <v>0</v>
      </c>
      <c r="F8" s="5">
        <v>0.73</v>
      </c>
      <c r="G8" s="5"/>
      <c r="H8" s="5"/>
      <c r="I8" s="5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46371</v>
      </c>
      <c r="E9" s="5">
        <v>75</v>
      </c>
      <c r="F9" s="5">
        <v>0.21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0.12</v>
      </c>
      <c r="D10" s="8"/>
      <c r="E10" s="5"/>
      <c r="F10" s="5"/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75</v>
      </c>
      <c r="D11" s="8"/>
      <c r="E11" s="5"/>
      <c r="F11" s="5"/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8">
        <v>46371</v>
      </c>
      <c r="D12" s="8"/>
      <c r="E12" s="5"/>
      <c r="F12" s="5"/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76</v>
      </c>
      <c r="D13" s="8"/>
      <c r="E13" s="5"/>
      <c r="F13" s="5"/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5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75</v>
      </c>
      <c r="F42" s="5">
        <f t="shared" ref="F42:I42" si="4">SUM(F2:F41)</f>
        <v>5.44</v>
      </c>
      <c r="G42" s="5">
        <f t="shared" si="4"/>
        <v>0</v>
      </c>
      <c r="H42" s="5">
        <f t="shared" si="4"/>
        <v>3.01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19" priority="1">
      <formula>$M$3=$N$3</formula>
    </cfRule>
  </conditionalFormatting>
  <conditionalFormatting sqref="A1:B1">
    <cfRule type="expression" dxfId="118" priority="2">
      <formula>$AA$2="+"</formula>
    </cfRule>
  </conditionalFormatting>
  <conditionalFormatting sqref="B1">
    <cfRule type="expression" dxfId="117" priority="4">
      <formula>$M$3=$N$3</formula>
    </cfRule>
  </conditionalFormatting>
  <conditionalFormatting sqref="S3">
    <cfRule type="expression" dxfId="116" priority="6">
      <formula>$AA$2="+"</formula>
    </cfRule>
  </conditionalFormatting>
  <conditionalFormatting sqref="AA2">
    <cfRule type="expression" dxfId="11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DA21-0698-4157-B17D-6AAD26A4F890}">
  <sheetPr>
    <tabColor rgb="FFFFC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84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80</v>
      </c>
      <c r="D2" s="8">
        <v>46157</v>
      </c>
      <c r="E2" s="5">
        <v>0</v>
      </c>
      <c r="F2" s="5">
        <v>0.51</v>
      </c>
      <c r="G2" s="5">
        <v>0</v>
      </c>
      <c r="H2" s="5">
        <v>0.51</v>
      </c>
      <c r="I2" s="5">
        <v>0</v>
      </c>
      <c r="J2" s="8">
        <v>46140</v>
      </c>
      <c r="K2" s="9">
        <f t="shared" ref="K2:K26" si="0">IF(J2&gt;0,J2-D2,"")</f>
        <v>-17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46107</v>
      </c>
      <c r="Z2" s="5">
        <f>B11*-1</f>
        <v>-52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46107</v>
      </c>
      <c r="D3" s="8">
        <v>46188</v>
      </c>
      <c r="E3" s="5">
        <v>0</v>
      </c>
      <c r="F3" s="5">
        <v>0.52</v>
      </c>
      <c r="G3" s="5">
        <v>0</v>
      </c>
      <c r="H3" s="3">
        <v>0.52</v>
      </c>
      <c r="I3" s="5">
        <v>0.01</v>
      </c>
      <c r="J3" s="8">
        <v>46196</v>
      </c>
      <c r="K3" s="9">
        <f t="shared" si="0"/>
        <v>8</v>
      </c>
      <c r="M3" s="5">
        <f>B11</f>
        <v>52</v>
      </c>
      <c r="N3" s="5">
        <f>G42</f>
        <v>0</v>
      </c>
      <c r="O3" s="5">
        <f>F42</f>
        <v>6.2</v>
      </c>
      <c r="P3" s="5">
        <f>H42+I42</f>
        <v>1.57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46</v>
      </c>
      <c r="T3" s="1"/>
      <c r="U3" s="1"/>
      <c r="V3" s="1"/>
      <c r="Y3" s="8">
        <f>J2</f>
        <v>46140</v>
      </c>
      <c r="Z3" s="5">
        <f>G2+H2+I2</f>
        <v>0.51</v>
      </c>
    </row>
    <row r="4" spans="1:27" x14ac:dyDescent="0.25">
      <c r="A4" s="12" t="s">
        <v>10</v>
      </c>
      <c r="B4" s="8">
        <v>46127</v>
      </c>
      <c r="D4" s="8">
        <v>46218</v>
      </c>
      <c r="E4" s="5">
        <v>0</v>
      </c>
      <c r="F4" s="5">
        <v>0.51</v>
      </c>
      <c r="G4" s="5">
        <v>0</v>
      </c>
      <c r="H4" s="3">
        <v>0.51</v>
      </c>
      <c r="I4" s="5">
        <v>0.02</v>
      </c>
      <c r="J4" s="8">
        <v>46237</v>
      </c>
      <c r="K4" s="9">
        <f t="shared" si="0"/>
        <v>19</v>
      </c>
      <c r="Y4" s="8">
        <f t="shared" ref="Y4:Y41" si="1">J3</f>
        <v>46196</v>
      </c>
      <c r="Z4" s="5">
        <f t="shared" ref="Z4:Z41" si="2">G3+H3+I3</f>
        <v>0.53</v>
      </c>
    </row>
    <row r="5" spans="1:27" x14ac:dyDescent="0.25">
      <c r="A5" s="12" t="s">
        <v>2</v>
      </c>
      <c r="B5" s="3" t="s">
        <v>14</v>
      </c>
      <c r="D5" s="8">
        <v>46249</v>
      </c>
      <c r="E5" s="5">
        <v>0</v>
      </c>
      <c r="F5" s="5">
        <v>0.52</v>
      </c>
      <c r="G5" s="5"/>
      <c r="H5" s="3"/>
      <c r="I5" s="5"/>
      <c r="J5" s="8"/>
      <c r="K5" s="9" t="str">
        <f t="shared" si="0"/>
        <v/>
      </c>
      <c r="Y5" s="8">
        <f t="shared" si="1"/>
        <v>46237</v>
      </c>
      <c r="Z5" s="5">
        <f t="shared" si="2"/>
        <v>0.53</v>
      </c>
    </row>
    <row r="6" spans="1:27" x14ac:dyDescent="0.25">
      <c r="A6" s="12" t="s">
        <v>11</v>
      </c>
      <c r="B6" s="4">
        <v>0.51</v>
      </c>
      <c r="D6" s="8">
        <v>46280</v>
      </c>
      <c r="E6" s="5">
        <v>0</v>
      </c>
      <c r="F6" s="5">
        <v>0.52</v>
      </c>
      <c r="G6" s="5"/>
      <c r="H6" s="3"/>
      <c r="I6" s="5"/>
      <c r="J6" s="8"/>
      <c r="K6" s="9" t="str">
        <f t="shared" si="0"/>
        <v/>
      </c>
      <c r="Y6" s="8">
        <f t="shared" si="1"/>
        <v>0</v>
      </c>
      <c r="Z6" s="5">
        <f t="shared" si="2"/>
        <v>0</v>
      </c>
    </row>
    <row r="7" spans="1:27" x14ac:dyDescent="0.25">
      <c r="A7" s="12" t="s">
        <v>12</v>
      </c>
      <c r="B7" s="4" t="s">
        <v>24</v>
      </c>
      <c r="D7" s="8">
        <v>46310</v>
      </c>
      <c r="E7" s="5">
        <v>0</v>
      </c>
      <c r="F7" s="5">
        <v>0.51</v>
      </c>
      <c r="G7" s="5"/>
      <c r="H7" s="5"/>
      <c r="I7" s="5"/>
      <c r="J7" s="8"/>
      <c r="K7" s="9" t="str">
        <f t="shared" si="0"/>
        <v/>
      </c>
      <c r="Y7" s="8">
        <f t="shared" si="1"/>
        <v>0</v>
      </c>
      <c r="Z7" s="5">
        <f t="shared" si="2"/>
        <v>0</v>
      </c>
    </row>
    <row r="8" spans="1:27" x14ac:dyDescent="0.25">
      <c r="A8" s="12" t="s">
        <v>4</v>
      </c>
      <c r="B8" s="3">
        <v>12</v>
      </c>
      <c r="D8" s="8">
        <v>46341</v>
      </c>
      <c r="E8" s="5">
        <v>0</v>
      </c>
      <c r="F8" s="5">
        <v>0.52</v>
      </c>
      <c r="G8" s="5"/>
      <c r="H8" s="5"/>
      <c r="I8" s="5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46371</v>
      </c>
      <c r="E9" s="5">
        <v>0</v>
      </c>
      <c r="F9" s="5">
        <v>0.51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0.12</v>
      </c>
      <c r="D10" s="8">
        <v>46402</v>
      </c>
      <c r="E10" s="5">
        <v>0</v>
      </c>
      <c r="F10" s="5">
        <v>0.52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52</v>
      </c>
      <c r="D11" s="8">
        <v>46433</v>
      </c>
      <c r="E11" s="5">
        <v>0</v>
      </c>
      <c r="F11" s="5">
        <v>0.52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46490</v>
      </c>
      <c r="D12" s="8">
        <v>46461</v>
      </c>
      <c r="E12" s="5">
        <v>0</v>
      </c>
      <c r="F12" s="5">
        <v>0.47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195</v>
      </c>
      <c r="D13" s="8">
        <v>46490</v>
      </c>
      <c r="E13" s="5">
        <v>52</v>
      </c>
      <c r="F13" s="5">
        <v>0.56999999999999995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5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52</v>
      </c>
      <c r="F42" s="5">
        <f t="shared" ref="F42:I42" si="4">SUM(F2:F41)</f>
        <v>6.2</v>
      </c>
      <c r="G42" s="5">
        <f t="shared" si="4"/>
        <v>0</v>
      </c>
      <c r="H42" s="5">
        <f t="shared" si="4"/>
        <v>1.54</v>
      </c>
      <c r="I42" s="5">
        <f t="shared" si="4"/>
        <v>0.03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14" priority="1">
      <formula>$M$3=$N$3</formula>
    </cfRule>
  </conditionalFormatting>
  <conditionalFormatting sqref="A1:B1">
    <cfRule type="expression" dxfId="113" priority="2">
      <formula>$AA$2="+"</formula>
    </cfRule>
  </conditionalFormatting>
  <conditionalFormatting sqref="B1">
    <cfRule type="expression" dxfId="112" priority="4">
      <formula>$M$3=$N$3</formula>
    </cfRule>
  </conditionalFormatting>
  <conditionalFormatting sqref="S3">
    <cfRule type="expression" dxfId="111" priority="6">
      <formula>$AA$2="+"</formula>
    </cfRule>
  </conditionalFormatting>
  <conditionalFormatting sqref="AA2">
    <cfRule type="expression" dxfId="11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2"/>
  <sheetViews>
    <sheetView workbookViewId="0">
      <selection activeCell="J8" sqref="J8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81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71</v>
      </c>
      <c r="D2" s="8">
        <v>46121</v>
      </c>
      <c r="E2" s="5">
        <v>0</v>
      </c>
      <c r="F2" s="5">
        <v>0.6</v>
      </c>
      <c r="G2" s="5">
        <v>0</v>
      </c>
      <c r="H2" s="5">
        <v>0.6</v>
      </c>
      <c r="I2" s="5">
        <v>0</v>
      </c>
      <c r="J2" s="8">
        <v>46112</v>
      </c>
      <c r="K2" s="9">
        <f t="shared" ref="K2:K26" si="0">IF(J2&gt;0,J2-D2,"")</f>
        <v>-9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46060</v>
      </c>
      <c r="Z2" s="5">
        <f>B11*-1</f>
        <v>-55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46060</v>
      </c>
      <c r="D3" s="8">
        <v>46151</v>
      </c>
      <c r="E3" s="5">
        <v>0</v>
      </c>
      <c r="F3" s="5">
        <v>0.57999999999999996</v>
      </c>
      <c r="G3" s="5">
        <v>0</v>
      </c>
      <c r="H3" s="3">
        <v>0.57999999999999996</v>
      </c>
      <c r="I3" s="5">
        <v>0</v>
      </c>
      <c r="J3" s="8">
        <v>46150</v>
      </c>
      <c r="K3" s="9">
        <f t="shared" si="0"/>
        <v>-1</v>
      </c>
      <c r="M3" s="5">
        <f>B11</f>
        <v>55</v>
      </c>
      <c r="N3" s="5">
        <f>G42</f>
        <v>0</v>
      </c>
      <c r="O3" s="5">
        <f>F42</f>
        <v>13.819999999999997</v>
      </c>
      <c r="P3" s="5">
        <f>H42+I42</f>
        <v>3.56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46112</v>
      </c>
      <c r="Z3" s="5">
        <f>G2+H2+I2</f>
        <v>0.6</v>
      </c>
    </row>
    <row r="4" spans="1:27" x14ac:dyDescent="0.25">
      <c r="A4" s="12" t="s">
        <v>10</v>
      </c>
      <c r="B4" s="8">
        <v>46090</v>
      </c>
      <c r="D4" s="8">
        <v>46182</v>
      </c>
      <c r="E4" s="5">
        <v>0</v>
      </c>
      <c r="F4" s="5">
        <v>0.6</v>
      </c>
      <c r="G4" s="5">
        <v>0</v>
      </c>
      <c r="H4" s="5">
        <v>0.6</v>
      </c>
      <c r="I4" s="5">
        <v>0</v>
      </c>
      <c r="J4" s="8">
        <v>46181</v>
      </c>
      <c r="K4" s="9">
        <f t="shared" si="0"/>
        <v>-1</v>
      </c>
      <c r="Y4" s="8">
        <f t="shared" ref="Y4:Y41" si="1">J3</f>
        <v>46150</v>
      </c>
      <c r="Z4" s="5">
        <f t="shared" ref="Z4:Z41" si="2">G3+H3+I3</f>
        <v>0.57999999999999996</v>
      </c>
    </row>
    <row r="5" spans="1:27" x14ac:dyDescent="0.25">
      <c r="A5" s="12" t="s">
        <v>2</v>
      </c>
      <c r="B5" s="3" t="s">
        <v>14</v>
      </c>
      <c r="D5" s="8">
        <v>46212</v>
      </c>
      <c r="E5" s="5">
        <v>0</v>
      </c>
      <c r="F5" s="5">
        <v>0.57999999999999996</v>
      </c>
      <c r="G5" s="5">
        <v>0</v>
      </c>
      <c r="H5" s="3">
        <v>0.57999999999999996</v>
      </c>
      <c r="I5" s="5">
        <v>0</v>
      </c>
      <c r="J5" s="8">
        <v>46210</v>
      </c>
      <c r="K5" s="9">
        <f t="shared" si="0"/>
        <v>-2</v>
      </c>
      <c r="Y5" s="8">
        <f t="shared" si="1"/>
        <v>46181</v>
      </c>
      <c r="Z5" s="5">
        <f t="shared" si="2"/>
        <v>0.6</v>
      </c>
    </row>
    <row r="6" spans="1:27" x14ac:dyDescent="0.25">
      <c r="A6" s="12" t="s">
        <v>11</v>
      </c>
      <c r="B6" s="4">
        <v>0.61</v>
      </c>
      <c r="D6" s="8">
        <v>46243</v>
      </c>
      <c r="E6" s="5">
        <v>0</v>
      </c>
      <c r="F6" s="5">
        <v>0.6</v>
      </c>
      <c r="G6" s="5">
        <v>0</v>
      </c>
      <c r="H6" s="5">
        <v>0.6</v>
      </c>
      <c r="I6" s="5">
        <v>0</v>
      </c>
      <c r="J6" s="8">
        <v>46244</v>
      </c>
      <c r="K6" s="9">
        <f t="shared" si="0"/>
        <v>1</v>
      </c>
      <c r="Y6" s="8">
        <f t="shared" si="1"/>
        <v>46210</v>
      </c>
      <c r="Z6" s="5">
        <f t="shared" si="2"/>
        <v>0.57999999999999996</v>
      </c>
    </row>
    <row r="7" spans="1:27" x14ac:dyDescent="0.25">
      <c r="A7" s="12" t="s">
        <v>12</v>
      </c>
      <c r="B7" s="4" t="s">
        <v>24</v>
      </c>
      <c r="D7" s="8">
        <v>46274</v>
      </c>
      <c r="E7" s="5">
        <v>0</v>
      </c>
      <c r="F7" s="5">
        <v>0.6</v>
      </c>
      <c r="G7" s="5">
        <v>0</v>
      </c>
      <c r="H7" s="5">
        <v>0.6</v>
      </c>
      <c r="I7" s="5">
        <v>0</v>
      </c>
      <c r="J7" s="8">
        <v>46274</v>
      </c>
      <c r="K7" s="9">
        <f t="shared" si="0"/>
        <v>0</v>
      </c>
      <c r="Y7" s="8">
        <f t="shared" si="1"/>
        <v>46244</v>
      </c>
      <c r="Z7" s="5">
        <f t="shared" si="2"/>
        <v>0.6</v>
      </c>
    </row>
    <row r="8" spans="1:27" x14ac:dyDescent="0.25">
      <c r="A8" s="12" t="s">
        <v>4</v>
      </c>
      <c r="B8" s="3">
        <v>24</v>
      </c>
      <c r="D8" s="8">
        <v>46304</v>
      </c>
      <c r="E8" s="5">
        <v>0</v>
      </c>
      <c r="F8" s="5">
        <v>0.57999999999999996</v>
      </c>
      <c r="G8" s="5"/>
      <c r="H8" s="5"/>
      <c r="I8" s="5"/>
      <c r="J8" s="8"/>
      <c r="K8" s="9" t="str">
        <f t="shared" si="0"/>
        <v/>
      </c>
      <c r="Y8" s="8">
        <f t="shared" si="1"/>
        <v>46274</v>
      </c>
      <c r="Z8" s="5">
        <f t="shared" si="2"/>
        <v>0.6</v>
      </c>
    </row>
    <row r="9" spans="1:27" x14ac:dyDescent="0.25">
      <c r="A9" s="12" t="s">
        <v>5</v>
      </c>
      <c r="B9" s="3" t="s">
        <v>15</v>
      </c>
      <c r="D9" s="8">
        <v>46335</v>
      </c>
      <c r="E9" s="5">
        <v>0</v>
      </c>
      <c r="F9" s="5">
        <v>0.6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0.13</v>
      </c>
      <c r="D10" s="8">
        <v>46365</v>
      </c>
      <c r="E10" s="5">
        <v>0</v>
      </c>
      <c r="F10" s="5">
        <v>0.57999999999999996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55</v>
      </c>
      <c r="D11" s="8">
        <v>46396</v>
      </c>
      <c r="E11" s="5">
        <v>0</v>
      </c>
      <c r="F11" s="5">
        <v>0.6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46796</v>
      </c>
      <c r="D12" s="8">
        <v>46427</v>
      </c>
      <c r="E12" s="5">
        <v>0</v>
      </c>
      <c r="F12" s="5">
        <v>0.6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501</v>
      </c>
      <c r="D13" s="8">
        <v>46455</v>
      </c>
      <c r="E13" s="5">
        <v>0</v>
      </c>
      <c r="F13" s="5">
        <v>0.54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>
        <v>46486</v>
      </c>
      <c r="E14" s="5">
        <v>0</v>
      </c>
      <c r="F14" s="5">
        <v>0.6</v>
      </c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>
        <v>46516</v>
      </c>
      <c r="E15" s="5">
        <v>0</v>
      </c>
      <c r="F15" s="5">
        <v>0.57999999999999996</v>
      </c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>
        <v>46547</v>
      </c>
      <c r="E16" s="5">
        <v>0</v>
      </c>
      <c r="F16" s="5">
        <v>0.6</v>
      </c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>
        <v>46577</v>
      </c>
      <c r="E17" s="5">
        <v>0</v>
      </c>
      <c r="F17" s="5">
        <v>0.57999999999999996</v>
      </c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>
        <v>46608</v>
      </c>
      <c r="E18" s="5">
        <v>0</v>
      </c>
      <c r="F18" s="5">
        <v>0.6</v>
      </c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>
        <v>46639</v>
      </c>
      <c r="E19" s="5">
        <v>0</v>
      </c>
      <c r="F19" s="5">
        <v>0.6</v>
      </c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>
        <v>46669</v>
      </c>
      <c r="E20" s="5">
        <v>0</v>
      </c>
      <c r="F20" s="5">
        <v>0.57999999999999996</v>
      </c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>
        <v>46700</v>
      </c>
      <c r="E21" s="5">
        <v>0</v>
      </c>
      <c r="F21" s="5">
        <v>0.6</v>
      </c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>
        <v>46730</v>
      </c>
      <c r="E22" s="5">
        <v>0</v>
      </c>
      <c r="F22" s="5">
        <v>0.57999999999999996</v>
      </c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>
        <v>46761</v>
      </c>
      <c r="E23" s="5">
        <v>0</v>
      </c>
      <c r="F23" s="5">
        <v>0.6</v>
      </c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>
        <v>46792</v>
      </c>
      <c r="E24" s="5">
        <v>0</v>
      </c>
      <c r="F24" s="5">
        <v>0.6</v>
      </c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>
        <v>46796</v>
      </c>
      <c r="E25" s="5">
        <v>55</v>
      </c>
      <c r="F25" s="5">
        <v>0.24</v>
      </c>
      <c r="G25" s="5"/>
      <c r="H25" s="5"/>
      <c r="I25" s="5"/>
      <c r="J25" s="19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55</v>
      </c>
      <c r="F42" s="5">
        <f t="shared" ref="F42:I42" si="4">SUM(F2:F41)</f>
        <v>13.819999999999997</v>
      </c>
      <c r="G42" s="5">
        <f t="shared" si="4"/>
        <v>0</v>
      </c>
      <c r="H42" s="5">
        <f t="shared" si="4"/>
        <v>3.56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09" priority="1">
      <formula>$M$3=$N$3</formula>
    </cfRule>
  </conditionalFormatting>
  <conditionalFormatting sqref="A1:B1">
    <cfRule type="expression" dxfId="108" priority="2">
      <formula>$AA$2="+"</formula>
    </cfRule>
  </conditionalFormatting>
  <conditionalFormatting sqref="B1">
    <cfRule type="expression" dxfId="107" priority="4">
      <formula>$M$3=$N$3</formula>
    </cfRule>
  </conditionalFormatting>
  <conditionalFormatting sqref="S3">
    <cfRule type="expression" dxfId="106" priority="10">
      <formula>$AA$2="+"</formula>
    </cfRule>
  </conditionalFormatting>
  <conditionalFormatting sqref="AA2">
    <cfRule type="expression" dxfId="105" priority="9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74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70</v>
      </c>
      <c r="D2" s="8">
        <v>46093</v>
      </c>
      <c r="E2" s="5">
        <v>0</v>
      </c>
      <c r="F2" s="5">
        <v>0.62</v>
      </c>
      <c r="G2" s="5">
        <v>0</v>
      </c>
      <c r="H2" s="5">
        <v>0.62</v>
      </c>
      <c r="I2" s="5">
        <v>0.04</v>
      </c>
      <c r="J2" s="8">
        <v>46122</v>
      </c>
      <c r="K2" s="9">
        <f t="shared" ref="K2:K26" si="0">IF(J2&gt;0,J2-D2,"")</f>
        <v>29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46056</v>
      </c>
      <c r="Z2" s="5">
        <f>B11*-1</f>
        <v>-68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46056</v>
      </c>
      <c r="D3" s="8">
        <v>46124</v>
      </c>
      <c r="E3" s="5">
        <v>0</v>
      </c>
      <c r="F3" s="5">
        <v>0.69</v>
      </c>
      <c r="G3" s="5">
        <v>0</v>
      </c>
      <c r="H3" s="3">
        <v>0.69</v>
      </c>
      <c r="I3" s="5">
        <v>7.0000000000000007E-2</v>
      </c>
      <c r="J3" s="8">
        <v>46175</v>
      </c>
      <c r="K3" s="9">
        <f t="shared" si="0"/>
        <v>51</v>
      </c>
      <c r="M3" s="5">
        <f>B11</f>
        <v>68</v>
      </c>
      <c r="N3" s="5">
        <f>G42</f>
        <v>0</v>
      </c>
      <c r="O3" s="5">
        <f>F42</f>
        <v>8.1299999999999972</v>
      </c>
      <c r="P3" s="5">
        <f>H42+I42</f>
        <v>2.92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80</v>
      </c>
      <c r="T3" s="1"/>
      <c r="U3" s="1"/>
      <c r="V3" s="1"/>
      <c r="Y3" s="8">
        <f>J2</f>
        <v>46122</v>
      </c>
      <c r="Z3" s="5">
        <f>G2+H2+I2</f>
        <v>0.66</v>
      </c>
    </row>
    <row r="4" spans="1:27" x14ac:dyDescent="0.25">
      <c r="A4" s="12" t="s">
        <v>10</v>
      </c>
      <c r="B4" s="8">
        <v>46065</v>
      </c>
      <c r="D4" s="8">
        <v>46154</v>
      </c>
      <c r="E4" s="5">
        <v>0</v>
      </c>
      <c r="F4" s="5">
        <v>0.67</v>
      </c>
      <c r="G4" s="5">
        <v>0</v>
      </c>
      <c r="H4" s="3">
        <v>0.67</v>
      </c>
      <c r="I4" s="5">
        <v>0.05</v>
      </c>
      <c r="J4" s="8">
        <v>46196</v>
      </c>
      <c r="K4" s="9">
        <f t="shared" si="0"/>
        <v>42</v>
      </c>
      <c r="Y4" s="8">
        <f t="shared" ref="Y4:Y41" si="1">J3</f>
        <v>46175</v>
      </c>
      <c r="Z4" s="5">
        <f t="shared" ref="Z4:Z41" si="2">G3+H3+I3</f>
        <v>0.76</v>
      </c>
    </row>
    <row r="5" spans="1:27" x14ac:dyDescent="0.25">
      <c r="A5" s="12" t="s">
        <v>2</v>
      </c>
      <c r="B5" s="3" t="s">
        <v>3</v>
      </c>
      <c r="D5" s="8">
        <v>46185</v>
      </c>
      <c r="E5" s="5">
        <v>0</v>
      </c>
      <c r="F5" s="5">
        <v>0.69</v>
      </c>
      <c r="G5" s="5">
        <v>0</v>
      </c>
      <c r="H5" s="3">
        <v>0.69</v>
      </c>
      <c r="I5" s="5">
        <v>0.09</v>
      </c>
      <c r="J5" s="8">
        <v>46252</v>
      </c>
      <c r="K5" s="9">
        <f t="shared" si="0"/>
        <v>67</v>
      </c>
      <c r="Y5" s="8">
        <f t="shared" si="1"/>
        <v>46196</v>
      </c>
      <c r="Z5" s="5">
        <f t="shared" si="2"/>
        <v>0.72000000000000008</v>
      </c>
    </row>
    <row r="6" spans="1:27" x14ac:dyDescent="0.25">
      <c r="A6" s="12" t="s">
        <v>11</v>
      </c>
      <c r="B6" s="4">
        <v>0.5</v>
      </c>
      <c r="D6" s="8">
        <v>46215</v>
      </c>
      <c r="E6" s="5">
        <v>0</v>
      </c>
      <c r="F6" s="5">
        <v>0.67</v>
      </c>
      <c r="G6" s="5"/>
      <c r="H6" s="3"/>
      <c r="I6" s="5"/>
      <c r="J6" s="8"/>
      <c r="K6" s="9" t="str">
        <f t="shared" si="0"/>
        <v/>
      </c>
      <c r="Y6" s="8">
        <f t="shared" si="1"/>
        <v>46252</v>
      </c>
      <c r="Z6" s="5">
        <f t="shared" si="2"/>
        <v>0.77999999999999992</v>
      </c>
    </row>
    <row r="7" spans="1:27" x14ac:dyDescent="0.25">
      <c r="A7" s="12" t="s">
        <v>12</v>
      </c>
      <c r="B7" s="4" t="s">
        <v>24</v>
      </c>
      <c r="D7" s="8">
        <v>46246</v>
      </c>
      <c r="E7" s="5">
        <v>0</v>
      </c>
      <c r="F7" s="5">
        <v>0.69</v>
      </c>
      <c r="G7" s="5"/>
      <c r="H7" s="5"/>
      <c r="I7" s="5"/>
      <c r="J7" s="8"/>
      <c r="K7" s="9" t="str">
        <f t="shared" si="0"/>
        <v/>
      </c>
      <c r="Y7" s="8">
        <f t="shared" si="1"/>
        <v>0</v>
      </c>
      <c r="Z7" s="5">
        <f t="shared" si="2"/>
        <v>0</v>
      </c>
    </row>
    <row r="8" spans="1:27" x14ac:dyDescent="0.25">
      <c r="A8" s="12" t="s">
        <v>4</v>
      </c>
      <c r="B8" s="3">
        <v>12</v>
      </c>
      <c r="D8" s="8">
        <v>46277</v>
      </c>
      <c r="E8" s="5">
        <v>0</v>
      </c>
      <c r="F8" s="5">
        <v>0.69</v>
      </c>
      <c r="G8" s="5"/>
      <c r="H8" s="5"/>
      <c r="I8" s="5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46307</v>
      </c>
      <c r="E9" s="5">
        <v>0</v>
      </c>
      <c r="F9" s="5">
        <v>0.67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0.12</v>
      </c>
      <c r="D10" s="8">
        <v>46338</v>
      </c>
      <c r="E10" s="5">
        <v>0</v>
      </c>
      <c r="F10" s="5">
        <v>0.69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68</v>
      </c>
      <c r="D11" s="8">
        <v>46368</v>
      </c>
      <c r="E11" s="5">
        <v>0</v>
      </c>
      <c r="F11" s="5">
        <v>0.67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46429</v>
      </c>
      <c r="D12" s="8">
        <v>46399</v>
      </c>
      <c r="E12" s="5">
        <v>0</v>
      </c>
      <c r="F12" s="5">
        <v>0.69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134</v>
      </c>
      <c r="D13" s="8">
        <v>46429</v>
      </c>
      <c r="E13" s="5">
        <v>68</v>
      </c>
      <c r="F13" s="5">
        <v>0.69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5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68</v>
      </c>
      <c r="F42" s="5">
        <f t="shared" ref="F42:I42" si="4">SUM(F2:F41)</f>
        <v>8.1299999999999972</v>
      </c>
      <c r="G42" s="5">
        <f t="shared" si="4"/>
        <v>0</v>
      </c>
      <c r="H42" s="5">
        <f t="shared" si="4"/>
        <v>2.67</v>
      </c>
      <c r="I42" s="5">
        <f t="shared" si="4"/>
        <v>0.25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04" priority="1">
      <formula>$M$3=$N$3</formula>
    </cfRule>
  </conditionalFormatting>
  <conditionalFormatting sqref="A1:B1">
    <cfRule type="expression" dxfId="103" priority="2">
      <formula>$AA$2="+"</formula>
    </cfRule>
  </conditionalFormatting>
  <conditionalFormatting sqref="B1">
    <cfRule type="expression" dxfId="102" priority="4">
      <formula>$M$3=$N$3</formula>
    </cfRule>
  </conditionalFormatting>
  <conditionalFormatting sqref="S3">
    <cfRule type="expression" dxfId="101" priority="6">
      <formula>$AA$2="+"</formula>
    </cfRule>
  </conditionalFormatting>
  <conditionalFormatting sqref="AA2">
    <cfRule type="expression" dxfId="10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69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68</v>
      </c>
      <c r="D2" s="8">
        <v>46060</v>
      </c>
      <c r="E2" s="5">
        <v>0</v>
      </c>
      <c r="F2" s="5">
        <v>0.66</v>
      </c>
      <c r="G2" s="5">
        <v>0</v>
      </c>
      <c r="H2" s="5">
        <v>0.66</v>
      </c>
      <c r="I2" s="5">
        <v>0</v>
      </c>
      <c r="J2" s="8">
        <v>46062</v>
      </c>
      <c r="K2" s="9">
        <f t="shared" ref="K2:K26" si="0">IF(J2&gt;0,J2-D2,"")</f>
        <v>2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46010</v>
      </c>
      <c r="Z2" s="5">
        <f>B11*-1</f>
        <v>-60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46010</v>
      </c>
      <c r="D3" s="8">
        <v>46088</v>
      </c>
      <c r="E3" s="5">
        <v>0</v>
      </c>
      <c r="F3" s="5">
        <v>0.59</v>
      </c>
      <c r="G3" s="5">
        <v>0</v>
      </c>
      <c r="H3" s="3">
        <v>0.59</v>
      </c>
      <c r="I3" s="5">
        <v>0</v>
      </c>
      <c r="J3" s="8">
        <v>46089</v>
      </c>
      <c r="K3" s="9">
        <f t="shared" si="0"/>
        <v>1</v>
      </c>
      <c r="M3" s="5">
        <f>B11</f>
        <v>60</v>
      </c>
      <c r="N3" s="5">
        <f>G42</f>
        <v>17.7</v>
      </c>
      <c r="O3" s="5">
        <f>F42</f>
        <v>8.93</v>
      </c>
      <c r="P3" s="5">
        <f>H42+I42</f>
        <v>4.2900000000000009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54</v>
      </c>
      <c r="T3" s="1"/>
      <c r="U3" s="1"/>
      <c r="V3" s="1"/>
      <c r="Y3" s="8">
        <f>J2</f>
        <v>46062</v>
      </c>
      <c r="Z3" s="5">
        <f>G2+H2+I2</f>
        <v>0.66</v>
      </c>
    </row>
    <row r="4" spans="1:27" x14ac:dyDescent="0.25">
      <c r="A4" s="12" t="s">
        <v>10</v>
      </c>
      <c r="B4" s="8">
        <v>46029</v>
      </c>
      <c r="D4" s="8">
        <v>46119</v>
      </c>
      <c r="E4" s="5">
        <v>0</v>
      </c>
      <c r="F4" s="5">
        <v>0.66</v>
      </c>
      <c r="G4" s="5">
        <v>0</v>
      </c>
      <c r="H4" s="3">
        <v>0.66</v>
      </c>
      <c r="I4" s="5">
        <v>0</v>
      </c>
      <c r="J4" s="8">
        <v>46120</v>
      </c>
      <c r="K4" s="9">
        <f t="shared" si="0"/>
        <v>1</v>
      </c>
      <c r="Y4" s="8">
        <f t="shared" ref="Y4:Y41" si="1">J3</f>
        <v>46089</v>
      </c>
      <c r="Z4" s="5">
        <f t="shared" ref="Z4:Z41" si="2">G3+H3+I3</f>
        <v>0.59</v>
      </c>
    </row>
    <row r="5" spans="1:27" x14ac:dyDescent="0.25">
      <c r="A5" s="12" t="s">
        <v>2</v>
      </c>
      <c r="B5" s="3" t="s">
        <v>14</v>
      </c>
      <c r="D5" s="8">
        <v>46149</v>
      </c>
      <c r="E5" s="5">
        <v>0</v>
      </c>
      <c r="F5" s="5">
        <v>0.64</v>
      </c>
      <c r="G5" s="5">
        <v>0</v>
      </c>
      <c r="H5" s="3">
        <v>0.64</v>
      </c>
      <c r="I5" s="5">
        <v>0</v>
      </c>
      <c r="J5" s="8">
        <v>46126</v>
      </c>
      <c r="K5" s="9">
        <f t="shared" si="0"/>
        <v>-23</v>
      </c>
      <c r="Y5" s="8">
        <f t="shared" si="1"/>
        <v>46120</v>
      </c>
      <c r="Z5" s="5">
        <f t="shared" si="2"/>
        <v>0.66</v>
      </c>
    </row>
    <row r="6" spans="1:27" x14ac:dyDescent="0.25">
      <c r="A6" s="12" t="s">
        <v>11</v>
      </c>
      <c r="B6" s="4">
        <v>0.56000000000000005</v>
      </c>
      <c r="D6" s="8">
        <v>46180</v>
      </c>
      <c r="E6" s="5">
        <v>0</v>
      </c>
      <c r="F6" s="5">
        <v>0.66</v>
      </c>
      <c r="G6" s="5">
        <v>7.61</v>
      </c>
      <c r="H6" s="3">
        <v>0.66</v>
      </c>
      <c r="I6" s="5">
        <v>0</v>
      </c>
      <c r="J6" s="8">
        <v>46177</v>
      </c>
      <c r="K6" s="9">
        <f t="shared" si="0"/>
        <v>-3</v>
      </c>
      <c r="Y6" s="8">
        <f t="shared" si="1"/>
        <v>46126</v>
      </c>
      <c r="Z6" s="5">
        <f t="shared" si="2"/>
        <v>0.64</v>
      </c>
    </row>
    <row r="7" spans="1:27" x14ac:dyDescent="0.25">
      <c r="A7" s="12" t="s">
        <v>12</v>
      </c>
      <c r="B7" s="4" t="s">
        <v>24</v>
      </c>
      <c r="D7" s="8">
        <v>46210</v>
      </c>
      <c r="E7" s="5">
        <v>0</v>
      </c>
      <c r="F7" s="34">
        <v>0.64</v>
      </c>
      <c r="G7" s="5">
        <v>10.09</v>
      </c>
      <c r="H7" s="5">
        <v>1.05</v>
      </c>
      <c r="I7" s="5">
        <v>0.03</v>
      </c>
      <c r="J7" s="8">
        <v>46237</v>
      </c>
      <c r="K7" s="9">
        <f t="shared" si="0"/>
        <v>27</v>
      </c>
      <c r="Y7" s="8">
        <f t="shared" si="1"/>
        <v>46177</v>
      </c>
      <c r="Z7" s="5">
        <f t="shared" si="2"/>
        <v>8.27</v>
      </c>
    </row>
    <row r="8" spans="1:27" x14ac:dyDescent="0.25">
      <c r="A8" s="12" t="s">
        <v>4</v>
      </c>
      <c r="B8" s="3">
        <v>14</v>
      </c>
      <c r="D8" s="8">
        <v>46241</v>
      </c>
      <c r="E8" s="5">
        <v>0</v>
      </c>
      <c r="F8" s="34">
        <v>0.66</v>
      </c>
      <c r="G8" s="5"/>
      <c r="H8" s="5"/>
      <c r="I8" s="5"/>
      <c r="J8" s="8"/>
      <c r="K8" s="9" t="str">
        <f t="shared" si="0"/>
        <v/>
      </c>
      <c r="Y8" s="8">
        <f t="shared" si="1"/>
        <v>46237</v>
      </c>
      <c r="Z8" s="5">
        <f t="shared" si="2"/>
        <v>11.17</v>
      </c>
    </row>
    <row r="9" spans="1:27" x14ac:dyDescent="0.25">
      <c r="A9" s="12" t="s">
        <v>5</v>
      </c>
      <c r="B9" s="3" t="s">
        <v>15</v>
      </c>
      <c r="D9" s="8">
        <v>46272</v>
      </c>
      <c r="E9" s="5">
        <v>0</v>
      </c>
      <c r="F9" s="34">
        <v>0.66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0.13</v>
      </c>
      <c r="D10" s="8">
        <v>46302</v>
      </c>
      <c r="E10" s="5">
        <v>0</v>
      </c>
      <c r="F10" s="34">
        <v>0.64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60</v>
      </c>
      <c r="D11" s="8">
        <v>46333</v>
      </c>
      <c r="E11" s="5">
        <v>0</v>
      </c>
      <c r="F11" s="34">
        <v>0.66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46447</v>
      </c>
      <c r="D12" s="8">
        <v>46363</v>
      </c>
      <c r="E12" s="5">
        <v>0</v>
      </c>
      <c r="F12" s="34">
        <v>0.64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152</v>
      </c>
      <c r="D13" s="8">
        <v>46394</v>
      </c>
      <c r="E13" s="5">
        <v>0</v>
      </c>
      <c r="F13" s="34">
        <v>0.66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>
        <v>46425</v>
      </c>
      <c r="E14" s="5">
        <v>0</v>
      </c>
      <c r="F14" s="34">
        <v>0.66</v>
      </c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>
        <v>46447</v>
      </c>
      <c r="E15" s="5">
        <v>60</v>
      </c>
      <c r="F15" s="34">
        <v>0.5</v>
      </c>
      <c r="G15" s="5"/>
      <c r="H15" s="5"/>
      <c r="I15" s="5"/>
      <c r="J15" s="19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5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60</v>
      </c>
      <c r="F42" s="5">
        <f t="shared" ref="F42:I42" si="4">SUM(F2:F41)</f>
        <v>8.93</v>
      </c>
      <c r="G42" s="5">
        <f t="shared" si="4"/>
        <v>17.7</v>
      </c>
      <c r="H42" s="5">
        <f t="shared" si="4"/>
        <v>4.2600000000000007</v>
      </c>
      <c r="I42" s="5">
        <f t="shared" si="4"/>
        <v>0.03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99" priority="1">
      <formula>$M$3=$N$3</formula>
    </cfRule>
  </conditionalFormatting>
  <conditionalFormatting sqref="A1:B1">
    <cfRule type="expression" dxfId="98" priority="2">
      <formula>$AA$2="+"</formula>
    </cfRule>
  </conditionalFormatting>
  <conditionalFormatting sqref="B1">
    <cfRule type="expression" dxfId="97" priority="4">
      <formula>$M$3=$N$3</formula>
    </cfRule>
  </conditionalFormatting>
  <conditionalFormatting sqref="S3">
    <cfRule type="expression" dxfId="96" priority="6">
      <formula>$AA$2="+"</formula>
    </cfRule>
  </conditionalFormatting>
  <conditionalFormatting sqref="AA2">
    <cfRule type="expression" dxfId="9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2"/>
  <sheetViews>
    <sheetView workbookViewId="0">
      <selection activeCell="J10" sqref="J10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73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64</v>
      </c>
      <c r="D2" s="8">
        <v>46051</v>
      </c>
      <c r="E2" s="5">
        <v>0</v>
      </c>
      <c r="F2" s="5">
        <v>0.67</v>
      </c>
      <c r="G2" s="5">
        <v>0</v>
      </c>
      <c r="H2" s="5">
        <v>0.67</v>
      </c>
      <c r="I2" s="5">
        <v>0</v>
      </c>
      <c r="J2" s="8">
        <v>46048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46010</v>
      </c>
      <c r="Z2" s="5">
        <f>B11*-1</f>
        <v>-66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46010</v>
      </c>
      <c r="D3" s="8">
        <v>46082</v>
      </c>
      <c r="E3" s="5">
        <v>0</v>
      </c>
      <c r="F3" s="5">
        <v>0.67</v>
      </c>
      <c r="G3" s="5">
        <v>0</v>
      </c>
      <c r="H3" s="3">
        <v>0.67</v>
      </c>
      <c r="I3" s="5">
        <v>0</v>
      </c>
      <c r="J3" s="8">
        <v>46083</v>
      </c>
      <c r="K3" s="9">
        <f t="shared" si="0"/>
        <v>1</v>
      </c>
      <c r="M3" s="5">
        <f>B11</f>
        <v>66</v>
      </c>
      <c r="N3" s="5">
        <f>G42</f>
        <v>0</v>
      </c>
      <c r="O3" s="5">
        <f>F42</f>
        <v>7.6100000000000012</v>
      </c>
      <c r="P3" s="5">
        <f>H42+I42</f>
        <v>5.33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46048</v>
      </c>
      <c r="Z3" s="5">
        <f>G2+H2+I2</f>
        <v>0.67</v>
      </c>
    </row>
    <row r="4" spans="1:27" x14ac:dyDescent="0.25">
      <c r="A4" s="12" t="s">
        <v>10</v>
      </c>
      <c r="B4" s="8">
        <v>46020</v>
      </c>
      <c r="D4" s="8">
        <v>46113</v>
      </c>
      <c r="E4" s="5">
        <v>0</v>
      </c>
      <c r="F4" s="5">
        <v>0.67</v>
      </c>
      <c r="G4" s="5">
        <v>0</v>
      </c>
      <c r="H4" s="3">
        <v>0.67</v>
      </c>
      <c r="I4" s="5">
        <v>0</v>
      </c>
      <c r="J4" s="8">
        <v>46114</v>
      </c>
      <c r="K4" s="9">
        <f t="shared" si="0"/>
        <v>1</v>
      </c>
      <c r="Y4" s="8">
        <f t="shared" ref="Y4:Y41" si="1">J3</f>
        <v>46083</v>
      </c>
      <c r="Z4" s="5">
        <f t="shared" ref="Z4:Z41" si="2">G3+H3+I3</f>
        <v>0.67</v>
      </c>
    </row>
    <row r="5" spans="1:27" x14ac:dyDescent="0.25">
      <c r="A5" s="12" t="s">
        <v>2</v>
      </c>
      <c r="B5" s="3" t="s">
        <v>14</v>
      </c>
      <c r="D5" s="8">
        <v>46143</v>
      </c>
      <c r="E5" s="5">
        <v>0</v>
      </c>
      <c r="F5" s="5">
        <v>0.65</v>
      </c>
      <c r="G5" s="5">
        <v>0</v>
      </c>
      <c r="H5" s="3">
        <v>0.65</v>
      </c>
      <c r="I5" s="5">
        <v>0</v>
      </c>
      <c r="J5" s="8">
        <v>46146</v>
      </c>
      <c r="K5" s="9">
        <f t="shared" si="0"/>
        <v>3</v>
      </c>
      <c r="Y5" s="8">
        <f t="shared" si="1"/>
        <v>46114</v>
      </c>
      <c r="Z5" s="5">
        <f t="shared" si="2"/>
        <v>0.67</v>
      </c>
    </row>
    <row r="6" spans="1:27" x14ac:dyDescent="0.25">
      <c r="A6" s="12" t="s">
        <v>11</v>
      </c>
      <c r="B6" s="4">
        <v>0.5</v>
      </c>
      <c r="D6" s="8">
        <v>46174</v>
      </c>
      <c r="E6" s="5">
        <v>0</v>
      </c>
      <c r="F6" s="5">
        <v>0.67</v>
      </c>
      <c r="G6" s="5">
        <v>0</v>
      </c>
      <c r="H6" s="3">
        <v>0.67</v>
      </c>
      <c r="I6" s="5">
        <v>0</v>
      </c>
      <c r="J6" s="8">
        <v>46175</v>
      </c>
      <c r="K6" s="9">
        <f t="shared" si="0"/>
        <v>1</v>
      </c>
      <c r="Y6" s="8">
        <f t="shared" si="1"/>
        <v>46146</v>
      </c>
      <c r="Z6" s="5">
        <f t="shared" si="2"/>
        <v>0.65</v>
      </c>
    </row>
    <row r="7" spans="1:27" x14ac:dyDescent="0.25">
      <c r="A7" s="12" t="s">
        <v>12</v>
      </c>
      <c r="B7" s="4" t="s">
        <v>24</v>
      </c>
      <c r="D7" s="8">
        <v>46204</v>
      </c>
      <c r="E7" s="5">
        <v>0</v>
      </c>
      <c r="F7" s="5">
        <v>0.65</v>
      </c>
      <c r="G7" s="5">
        <v>0</v>
      </c>
      <c r="H7" s="5">
        <v>0.65</v>
      </c>
      <c r="I7" s="5">
        <v>0</v>
      </c>
      <c r="J7" s="8">
        <v>46202</v>
      </c>
      <c r="K7" s="9">
        <f t="shared" si="0"/>
        <v>-2</v>
      </c>
      <c r="Y7" s="8">
        <f t="shared" si="1"/>
        <v>46175</v>
      </c>
      <c r="Z7" s="5">
        <f t="shared" si="2"/>
        <v>0.67</v>
      </c>
    </row>
    <row r="8" spans="1:27" x14ac:dyDescent="0.25">
      <c r="A8" s="12" t="s">
        <v>4</v>
      </c>
      <c r="B8" s="3">
        <v>12</v>
      </c>
      <c r="D8" s="8">
        <v>46235</v>
      </c>
      <c r="E8" s="5">
        <v>0</v>
      </c>
      <c r="F8" s="5">
        <v>0.67</v>
      </c>
      <c r="G8" s="5">
        <v>0</v>
      </c>
      <c r="H8" s="5">
        <v>0.67</v>
      </c>
      <c r="I8" s="5">
        <v>0</v>
      </c>
      <c r="J8" s="8">
        <v>46239</v>
      </c>
      <c r="K8" s="9">
        <f t="shared" si="0"/>
        <v>4</v>
      </c>
      <c r="Y8" s="8">
        <f t="shared" si="1"/>
        <v>46202</v>
      </c>
      <c r="Z8" s="5">
        <f t="shared" si="2"/>
        <v>0.65</v>
      </c>
    </row>
    <row r="9" spans="1:27" x14ac:dyDescent="0.25">
      <c r="A9" s="12" t="s">
        <v>5</v>
      </c>
      <c r="B9" s="3" t="s">
        <v>15</v>
      </c>
      <c r="D9" s="8">
        <v>46266</v>
      </c>
      <c r="E9" s="5">
        <v>0</v>
      </c>
      <c r="F9" s="5">
        <v>0.67</v>
      </c>
      <c r="G9" s="5">
        <v>0</v>
      </c>
      <c r="H9" s="5">
        <v>0.67</v>
      </c>
      <c r="I9" s="5">
        <v>0.01</v>
      </c>
      <c r="J9" s="8">
        <v>46276</v>
      </c>
      <c r="K9" s="9">
        <f t="shared" si="0"/>
        <v>10</v>
      </c>
      <c r="Y9" s="8">
        <f t="shared" si="1"/>
        <v>46239</v>
      </c>
      <c r="Z9" s="5">
        <f t="shared" si="2"/>
        <v>0.67</v>
      </c>
    </row>
    <row r="10" spans="1:27" x14ac:dyDescent="0.25">
      <c r="A10" s="12" t="s">
        <v>7</v>
      </c>
      <c r="B10" s="14">
        <v>0.12</v>
      </c>
      <c r="D10" s="8">
        <v>46296</v>
      </c>
      <c r="E10" s="5">
        <v>0</v>
      </c>
      <c r="F10" s="5">
        <v>0.65</v>
      </c>
      <c r="G10" s="5"/>
      <c r="H10" s="5"/>
      <c r="I10" s="5"/>
      <c r="J10" s="8"/>
      <c r="K10" s="9" t="str">
        <f t="shared" si="0"/>
        <v/>
      </c>
      <c r="Y10" s="8">
        <f t="shared" si="1"/>
        <v>46276</v>
      </c>
      <c r="Z10" s="5">
        <f t="shared" si="2"/>
        <v>0.68</v>
      </c>
    </row>
    <row r="11" spans="1:27" x14ac:dyDescent="0.25">
      <c r="A11" s="12" t="s">
        <v>104</v>
      </c>
      <c r="B11" s="5">
        <v>66</v>
      </c>
      <c r="D11" s="8">
        <v>46327</v>
      </c>
      <c r="E11" s="5">
        <v>0</v>
      </c>
      <c r="F11" s="5">
        <v>0.67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46371</v>
      </c>
      <c r="D12" s="8">
        <v>46357</v>
      </c>
      <c r="E12" s="5">
        <v>0</v>
      </c>
      <c r="F12" s="5">
        <v>0.65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76</v>
      </c>
      <c r="D13" s="8">
        <v>46371</v>
      </c>
      <c r="E13" s="5">
        <v>66</v>
      </c>
      <c r="F13" s="5">
        <v>0.32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5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66</v>
      </c>
      <c r="F42" s="5">
        <f t="shared" ref="F42:I42" si="4">SUM(F2:F41)</f>
        <v>7.6100000000000012</v>
      </c>
      <c r="G42" s="5">
        <f t="shared" si="4"/>
        <v>0</v>
      </c>
      <c r="H42" s="5">
        <f t="shared" si="4"/>
        <v>5.32</v>
      </c>
      <c r="I42" s="5">
        <f t="shared" si="4"/>
        <v>0.01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94" priority="1">
      <formula>$M$3=$N$3</formula>
    </cfRule>
  </conditionalFormatting>
  <conditionalFormatting sqref="A1:B1">
    <cfRule type="expression" dxfId="93" priority="2">
      <formula>$AA$2="+"</formula>
    </cfRule>
  </conditionalFormatting>
  <conditionalFormatting sqref="B1">
    <cfRule type="expression" dxfId="92" priority="4">
      <formula>$M$3=$N$3</formula>
    </cfRule>
  </conditionalFormatting>
  <conditionalFormatting sqref="S3">
    <cfRule type="expression" dxfId="91" priority="6">
      <formula>$AA$2="+"</formula>
    </cfRule>
  </conditionalFormatting>
  <conditionalFormatting sqref="AA2">
    <cfRule type="expression" dxfId="9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2"/>
  <sheetViews>
    <sheetView workbookViewId="0">
      <selection activeCell="J12" sqref="J12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67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72</v>
      </c>
      <c r="D2" s="8">
        <v>46010</v>
      </c>
      <c r="E2" s="5">
        <v>0</v>
      </c>
      <c r="F2" s="5">
        <v>0.69</v>
      </c>
      <c r="G2" s="5">
        <v>0</v>
      </c>
      <c r="H2" s="5">
        <v>0.69</v>
      </c>
      <c r="I2" s="5">
        <v>0</v>
      </c>
      <c r="J2" s="8">
        <v>46011</v>
      </c>
      <c r="K2" s="9">
        <f t="shared" ref="K2:K26" si="0">IF(J2&gt;0,J2-D2,"")</f>
        <v>1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45948</v>
      </c>
      <c r="Z2" s="5">
        <f>B11*-1</f>
        <v>-77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45948</v>
      </c>
      <c r="D3" s="8">
        <v>46041</v>
      </c>
      <c r="E3" s="5">
        <v>0</v>
      </c>
      <c r="F3" s="5">
        <v>0.71</v>
      </c>
      <c r="G3" s="5">
        <v>0</v>
      </c>
      <c r="H3" s="3">
        <v>0.71</v>
      </c>
      <c r="I3" s="5">
        <v>0</v>
      </c>
      <c r="J3" s="8">
        <v>46040</v>
      </c>
      <c r="K3" s="9">
        <f t="shared" si="0"/>
        <v>-1</v>
      </c>
      <c r="M3" s="5">
        <f>B11</f>
        <v>77</v>
      </c>
      <c r="N3" s="5">
        <f>G42</f>
        <v>0</v>
      </c>
      <c r="O3" s="5">
        <f>F42</f>
        <v>16.91</v>
      </c>
      <c r="P3" s="5">
        <f>H42+I42</f>
        <v>6.9700000000000006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46011</v>
      </c>
      <c r="Z3" s="5">
        <f>G2+H2+I2</f>
        <v>0.69</v>
      </c>
    </row>
    <row r="4" spans="1:27" x14ac:dyDescent="0.25">
      <c r="A4" s="12" t="s">
        <v>10</v>
      </c>
      <c r="B4" s="8">
        <v>45980</v>
      </c>
      <c r="D4" s="8">
        <v>46072</v>
      </c>
      <c r="E4" s="5">
        <v>0</v>
      </c>
      <c r="F4" s="5">
        <v>0.71</v>
      </c>
      <c r="G4" s="5">
        <v>0</v>
      </c>
      <c r="H4" s="3">
        <v>0.71</v>
      </c>
      <c r="I4" s="5">
        <v>0</v>
      </c>
      <c r="J4" s="8">
        <v>46070</v>
      </c>
      <c r="K4" s="9">
        <f t="shared" si="0"/>
        <v>-2</v>
      </c>
      <c r="Y4" s="8">
        <f t="shared" ref="Y4:Y41" si="1">J3</f>
        <v>46040</v>
      </c>
      <c r="Z4" s="5">
        <f t="shared" ref="Z4:Z41" si="2">G3+H3+I3</f>
        <v>0.71</v>
      </c>
    </row>
    <row r="5" spans="1:27" x14ac:dyDescent="0.25">
      <c r="A5" s="12" t="s">
        <v>2</v>
      </c>
      <c r="B5" s="3" t="s">
        <v>3</v>
      </c>
      <c r="D5" s="8">
        <v>46100</v>
      </c>
      <c r="E5" s="5">
        <v>0</v>
      </c>
      <c r="F5" s="5">
        <v>0.64</v>
      </c>
      <c r="G5" s="5">
        <v>0</v>
      </c>
      <c r="H5" s="3">
        <v>0.64</v>
      </c>
      <c r="I5" s="5">
        <v>0</v>
      </c>
      <c r="J5" s="8">
        <v>46097</v>
      </c>
      <c r="K5" s="9">
        <f t="shared" si="0"/>
        <v>-3</v>
      </c>
      <c r="Y5" s="8">
        <f t="shared" si="1"/>
        <v>46070</v>
      </c>
      <c r="Z5" s="5">
        <f t="shared" si="2"/>
        <v>0.71</v>
      </c>
    </row>
    <row r="6" spans="1:27" x14ac:dyDescent="0.25">
      <c r="A6" s="12" t="s">
        <v>11</v>
      </c>
      <c r="B6" s="4">
        <v>0.6</v>
      </c>
      <c r="D6" s="8">
        <v>46131</v>
      </c>
      <c r="E6" s="5">
        <v>0</v>
      </c>
      <c r="F6" s="5">
        <v>0.71</v>
      </c>
      <c r="G6" s="5">
        <v>0</v>
      </c>
      <c r="H6" s="3">
        <v>0.71</v>
      </c>
      <c r="I6" s="5">
        <v>0</v>
      </c>
      <c r="J6" s="8">
        <v>46128</v>
      </c>
      <c r="K6" s="9">
        <f t="shared" si="0"/>
        <v>-3</v>
      </c>
      <c r="Y6" s="8">
        <f t="shared" si="1"/>
        <v>46097</v>
      </c>
      <c r="Z6" s="5">
        <f t="shared" si="2"/>
        <v>0.64</v>
      </c>
    </row>
    <row r="7" spans="1:27" x14ac:dyDescent="0.25">
      <c r="A7" s="12" t="s">
        <v>12</v>
      </c>
      <c r="B7" s="4" t="s">
        <v>24</v>
      </c>
      <c r="D7" s="8">
        <v>46161</v>
      </c>
      <c r="E7" s="5">
        <f>SUM(E2:E6)</f>
        <v>0</v>
      </c>
      <c r="F7" s="5">
        <v>0.69</v>
      </c>
      <c r="G7" s="5">
        <v>0</v>
      </c>
      <c r="H7" s="5">
        <v>0.69</v>
      </c>
      <c r="I7" s="5">
        <v>0</v>
      </c>
      <c r="J7" s="8">
        <v>46159</v>
      </c>
      <c r="K7" s="9">
        <f t="shared" si="0"/>
        <v>-2</v>
      </c>
      <c r="Y7" s="8">
        <f t="shared" si="1"/>
        <v>46128</v>
      </c>
      <c r="Z7" s="5">
        <f t="shared" si="2"/>
        <v>0.71</v>
      </c>
    </row>
    <row r="8" spans="1:27" x14ac:dyDescent="0.25">
      <c r="A8" s="12" t="s">
        <v>4</v>
      </c>
      <c r="B8" s="3">
        <v>24</v>
      </c>
      <c r="D8" s="8">
        <v>46192</v>
      </c>
      <c r="E8" s="5">
        <f t="shared" ref="E8:E24" si="3">SUM(E3:E7)</f>
        <v>0</v>
      </c>
      <c r="F8" s="5">
        <v>0.71</v>
      </c>
      <c r="G8" s="5">
        <v>0</v>
      </c>
      <c r="H8" s="5">
        <v>0.71</v>
      </c>
      <c r="I8" s="5">
        <v>0</v>
      </c>
      <c r="J8" s="8">
        <v>46188</v>
      </c>
      <c r="K8" s="9">
        <f t="shared" si="0"/>
        <v>-4</v>
      </c>
      <c r="Y8" s="8">
        <f t="shared" si="1"/>
        <v>46159</v>
      </c>
      <c r="Z8" s="5">
        <f t="shared" si="2"/>
        <v>0.69</v>
      </c>
    </row>
    <row r="9" spans="1:27" x14ac:dyDescent="0.25">
      <c r="A9" s="12" t="s">
        <v>5</v>
      </c>
      <c r="B9" s="3" t="s">
        <v>15</v>
      </c>
      <c r="D9" s="8">
        <v>46222</v>
      </c>
      <c r="E9" s="5">
        <f t="shared" si="3"/>
        <v>0</v>
      </c>
      <c r="F9" s="5">
        <v>0.69</v>
      </c>
      <c r="G9" s="5">
        <v>0</v>
      </c>
      <c r="H9" s="5">
        <v>0.69</v>
      </c>
      <c r="I9" s="5">
        <v>0</v>
      </c>
      <c r="J9" s="8">
        <v>46219</v>
      </c>
      <c r="K9" s="9">
        <f t="shared" si="0"/>
        <v>-3</v>
      </c>
      <c r="Y9" s="8">
        <f t="shared" si="1"/>
        <v>46188</v>
      </c>
      <c r="Z9" s="5">
        <f t="shared" si="2"/>
        <v>0.71</v>
      </c>
    </row>
    <row r="10" spans="1:27" x14ac:dyDescent="0.25">
      <c r="A10" s="12" t="s">
        <v>7</v>
      </c>
      <c r="B10" s="14">
        <v>0.11</v>
      </c>
      <c r="D10" s="8">
        <v>46253</v>
      </c>
      <c r="E10" s="5">
        <f t="shared" si="3"/>
        <v>0</v>
      </c>
      <c r="F10" s="5">
        <v>0.71</v>
      </c>
      <c r="G10" s="5">
        <v>0</v>
      </c>
      <c r="H10" s="5">
        <v>0.71</v>
      </c>
      <c r="I10" s="5">
        <v>0</v>
      </c>
      <c r="J10" s="8">
        <v>46251</v>
      </c>
      <c r="K10" s="9">
        <f t="shared" si="0"/>
        <v>-2</v>
      </c>
      <c r="Y10" s="8">
        <f t="shared" si="1"/>
        <v>46219</v>
      </c>
      <c r="Z10" s="5">
        <f t="shared" si="2"/>
        <v>0.69</v>
      </c>
    </row>
    <row r="11" spans="1:27" x14ac:dyDescent="0.25">
      <c r="A11" s="12" t="s">
        <v>104</v>
      </c>
      <c r="B11" s="5">
        <v>77</v>
      </c>
      <c r="D11" s="8">
        <v>46284</v>
      </c>
      <c r="E11" s="5">
        <f t="shared" si="3"/>
        <v>0</v>
      </c>
      <c r="F11" s="5">
        <v>0.71</v>
      </c>
      <c r="G11" s="5">
        <v>0</v>
      </c>
      <c r="H11" s="5">
        <v>0.71</v>
      </c>
      <c r="I11" s="5">
        <v>0</v>
      </c>
      <c r="J11" s="8">
        <v>46282</v>
      </c>
      <c r="K11" s="9">
        <f t="shared" si="0"/>
        <v>-2</v>
      </c>
      <c r="Y11" s="8">
        <f t="shared" si="1"/>
        <v>46251</v>
      </c>
      <c r="Z11" s="5">
        <f t="shared" si="2"/>
        <v>0.71</v>
      </c>
    </row>
    <row r="12" spans="1:27" x14ac:dyDescent="0.25">
      <c r="A12" s="12" t="s">
        <v>87</v>
      </c>
      <c r="B12" s="19">
        <v>46709</v>
      </c>
      <c r="D12" s="8">
        <v>46314</v>
      </c>
      <c r="E12" s="5">
        <f t="shared" si="3"/>
        <v>0</v>
      </c>
      <c r="F12" s="5">
        <v>0.69</v>
      </c>
      <c r="G12" s="5"/>
      <c r="H12" s="5"/>
      <c r="I12" s="5"/>
      <c r="J12" s="8"/>
      <c r="K12" s="9" t="str">
        <f t="shared" si="0"/>
        <v/>
      </c>
      <c r="Y12" s="8">
        <f t="shared" si="1"/>
        <v>46282</v>
      </c>
      <c r="Z12" s="5">
        <f t="shared" si="2"/>
        <v>0.71</v>
      </c>
    </row>
    <row r="13" spans="1:27" x14ac:dyDescent="0.25">
      <c r="A13" s="12" t="s">
        <v>90</v>
      </c>
      <c r="B13" s="9">
        <f ca="1">IF(B11&lt;&gt;N3,(TODAY()-B12)*-1,"")</f>
        <v>414</v>
      </c>
      <c r="D13" s="8">
        <v>46345</v>
      </c>
      <c r="E13" s="5">
        <f t="shared" si="3"/>
        <v>0</v>
      </c>
      <c r="F13" s="5">
        <v>0.71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>
        <v>46375</v>
      </c>
      <c r="E14" s="5">
        <f t="shared" si="3"/>
        <v>0</v>
      </c>
      <c r="F14" s="5">
        <v>0.69</v>
      </c>
      <c r="G14" s="5"/>
      <c r="H14" s="5"/>
      <c r="I14" s="5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>
        <v>46406</v>
      </c>
      <c r="E15" s="5">
        <f t="shared" si="3"/>
        <v>0</v>
      </c>
      <c r="F15" s="5">
        <v>0.71</v>
      </c>
      <c r="G15" s="5"/>
      <c r="H15" s="5"/>
      <c r="I15" s="5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A16" s="11"/>
      <c r="B16" s="6"/>
      <c r="D16" s="8">
        <v>46437</v>
      </c>
      <c r="E16" s="5">
        <f t="shared" si="3"/>
        <v>0</v>
      </c>
      <c r="F16" s="5">
        <v>0.71</v>
      </c>
      <c r="G16" s="5"/>
      <c r="H16" s="5"/>
      <c r="I16" s="5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1:26" x14ac:dyDescent="0.25">
      <c r="A17" s="11"/>
      <c r="B17" s="6"/>
      <c r="D17" s="8">
        <v>46465</v>
      </c>
      <c r="E17" s="5">
        <f t="shared" si="3"/>
        <v>0</v>
      </c>
      <c r="F17" s="5">
        <v>0.64</v>
      </c>
      <c r="G17" s="5"/>
      <c r="H17" s="5"/>
      <c r="I17" s="5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1:26" x14ac:dyDescent="0.25">
      <c r="A18" s="11"/>
      <c r="B18" s="6"/>
      <c r="D18" s="8">
        <v>46496</v>
      </c>
      <c r="E18" s="5">
        <f t="shared" si="3"/>
        <v>0</v>
      </c>
      <c r="F18" s="5">
        <v>0.71</v>
      </c>
      <c r="G18" s="5"/>
      <c r="H18" s="5"/>
      <c r="I18" s="5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1:26" x14ac:dyDescent="0.25">
      <c r="A19" s="11"/>
      <c r="B19" s="6"/>
      <c r="D19" s="8">
        <v>46526</v>
      </c>
      <c r="E19" s="5">
        <f t="shared" si="3"/>
        <v>0</v>
      </c>
      <c r="F19" s="5">
        <v>0.69</v>
      </c>
      <c r="G19" s="5"/>
      <c r="H19" s="5"/>
      <c r="I19" s="5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1:26" x14ac:dyDescent="0.25">
      <c r="A20" s="11"/>
      <c r="B20" s="6"/>
      <c r="D20" s="8">
        <v>46557</v>
      </c>
      <c r="E20" s="5">
        <f t="shared" si="3"/>
        <v>0</v>
      </c>
      <c r="F20" s="5">
        <v>0.71</v>
      </c>
      <c r="G20" s="5"/>
      <c r="H20" s="5"/>
      <c r="I20" s="5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1:26" x14ac:dyDescent="0.25">
      <c r="A21" s="11"/>
      <c r="B21" s="6"/>
      <c r="D21" s="8">
        <v>46587</v>
      </c>
      <c r="E21" s="5">
        <f t="shared" si="3"/>
        <v>0</v>
      </c>
      <c r="F21" s="5">
        <v>0.69</v>
      </c>
      <c r="G21" s="5"/>
      <c r="H21" s="5"/>
      <c r="I21" s="5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1:26" x14ac:dyDescent="0.25">
      <c r="A22" s="11"/>
      <c r="B22" s="6"/>
      <c r="D22" s="8">
        <v>46618</v>
      </c>
      <c r="E22" s="5">
        <f t="shared" si="3"/>
        <v>0</v>
      </c>
      <c r="F22" s="5">
        <v>0.71</v>
      </c>
      <c r="G22" s="5"/>
      <c r="H22" s="5"/>
      <c r="I22" s="5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1:26" x14ac:dyDescent="0.25">
      <c r="A23" s="11"/>
      <c r="B23" s="6"/>
      <c r="D23" s="8">
        <v>46649</v>
      </c>
      <c r="E23" s="5">
        <f t="shared" si="3"/>
        <v>0</v>
      </c>
      <c r="F23" s="5">
        <v>0.71</v>
      </c>
      <c r="G23" s="5"/>
      <c r="H23" s="5"/>
      <c r="I23" s="5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1:26" x14ac:dyDescent="0.25">
      <c r="A24" s="11"/>
      <c r="B24" s="6"/>
      <c r="D24" s="8">
        <v>46679</v>
      </c>
      <c r="E24" s="5">
        <f t="shared" si="3"/>
        <v>0</v>
      </c>
      <c r="F24" s="5">
        <v>0.69</v>
      </c>
      <c r="G24" s="5"/>
      <c r="H24" s="5"/>
      <c r="I24" s="5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1:26" x14ac:dyDescent="0.25">
      <c r="D25" s="8">
        <v>46709</v>
      </c>
      <c r="E25" s="5">
        <v>77</v>
      </c>
      <c r="F25" s="5">
        <v>0.88</v>
      </c>
      <c r="G25" s="5"/>
      <c r="H25" s="5"/>
      <c r="I25" s="5"/>
      <c r="J25" s="19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1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1:26" x14ac:dyDescent="0.25">
      <c r="D27" s="16"/>
      <c r="E27" s="5"/>
      <c r="F27" s="5"/>
      <c r="G27" s="5"/>
      <c r="H27" s="5"/>
      <c r="I27" s="5"/>
      <c r="J27" s="3"/>
      <c r="K27" s="9" t="str">
        <f t="shared" ref="K27:K41" si="4">IF(J27&gt;0,J27-D27,"")</f>
        <v/>
      </c>
      <c r="Y27" s="8">
        <f t="shared" si="1"/>
        <v>0</v>
      </c>
      <c r="Z27" s="5">
        <f t="shared" si="2"/>
        <v>0</v>
      </c>
    </row>
    <row r="28" spans="1:26" x14ac:dyDescent="0.25">
      <c r="D28" s="16"/>
      <c r="E28" s="5"/>
      <c r="F28" s="5"/>
      <c r="G28" s="5"/>
      <c r="H28" s="5"/>
      <c r="I28" s="5"/>
      <c r="J28" s="3"/>
      <c r="K28" s="9" t="str">
        <f t="shared" si="4"/>
        <v/>
      </c>
      <c r="Y28" s="8">
        <f t="shared" si="1"/>
        <v>0</v>
      </c>
      <c r="Z28" s="5">
        <f t="shared" si="2"/>
        <v>0</v>
      </c>
    </row>
    <row r="29" spans="1:26" x14ac:dyDescent="0.25">
      <c r="D29" s="16"/>
      <c r="E29" s="5"/>
      <c r="F29" s="5"/>
      <c r="G29" s="5"/>
      <c r="H29" s="5"/>
      <c r="I29" s="5"/>
      <c r="J29" s="3"/>
      <c r="K29" s="9" t="str">
        <f t="shared" si="4"/>
        <v/>
      </c>
      <c r="Y29" s="8">
        <f t="shared" si="1"/>
        <v>0</v>
      </c>
      <c r="Z29" s="5">
        <f t="shared" si="2"/>
        <v>0</v>
      </c>
    </row>
    <row r="30" spans="1:26" x14ac:dyDescent="0.25">
      <c r="D30" s="16"/>
      <c r="E30" s="5"/>
      <c r="F30" s="5"/>
      <c r="G30" s="5"/>
      <c r="H30" s="5"/>
      <c r="I30" s="5"/>
      <c r="J30" s="3"/>
      <c r="K30" s="9" t="str">
        <f t="shared" si="4"/>
        <v/>
      </c>
      <c r="Y30" s="8">
        <f t="shared" si="1"/>
        <v>0</v>
      </c>
      <c r="Z30" s="5">
        <f t="shared" si="2"/>
        <v>0</v>
      </c>
    </row>
    <row r="31" spans="1:26" x14ac:dyDescent="0.25">
      <c r="D31" s="16"/>
      <c r="E31" s="5"/>
      <c r="F31" s="5"/>
      <c r="G31" s="5"/>
      <c r="H31" s="5"/>
      <c r="I31" s="5"/>
      <c r="J31" s="3"/>
      <c r="K31" s="9" t="str">
        <f t="shared" si="4"/>
        <v/>
      </c>
      <c r="Y31" s="8">
        <f t="shared" si="1"/>
        <v>0</v>
      </c>
      <c r="Z31" s="5">
        <f t="shared" si="2"/>
        <v>0</v>
      </c>
    </row>
    <row r="32" spans="1:26" x14ac:dyDescent="0.25">
      <c r="D32" s="16"/>
      <c r="E32" s="5"/>
      <c r="F32" s="5"/>
      <c r="G32" s="5"/>
      <c r="H32" s="5"/>
      <c r="I32" s="5"/>
      <c r="J32" s="3"/>
      <c r="K32" s="9" t="str">
        <f t="shared" si="4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4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4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4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4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4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4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4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4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4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77</v>
      </c>
      <c r="F42" s="5">
        <f t="shared" ref="F42:I42" si="5">SUM(F2:F41)</f>
        <v>16.91</v>
      </c>
      <c r="G42" s="5">
        <f t="shared" si="5"/>
        <v>0</v>
      </c>
      <c r="H42" s="5">
        <f t="shared" si="5"/>
        <v>6.9700000000000006</v>
      </c>
      <c r="I42" s="5">
        <f t="shared" si="5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89" priority="1">
      <formula>$M$3=$N$3</formula>
    </cfRule>
  </conditionalFormatting>
  <conditionalFormatting sqref="A1:B1">
    <cfRule type="expression" dxfId="88" priority="2">
      <formula>$AA$2="+"</formula>
    </cfRule>
  </conditionalFormatting>
  <conditionalFormatting sqref="B1">
    <cfRule type="expression" dxfId="87" priority="4">
      <formula>$M$3=$N$3</formula>
    </cfRule>
  </conditionalFormatting>
  <conditionalFormatting sqref="S3">
    <cfRule type="expression" dxfId="86" priority="6">
      <formula>$AA$2="+"</formula>
    </cfRule>
  </conditionalFormatting>
  <conditionalFormatting sqref="AA2">
    <cfRule type="expression" dxfId="8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66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63</v>
      </c>
      <c r="D2" s="8">
        <v>45991</v>
      </c>
      <c r="E2" s="5">
        <v>0</v>
      </c>
      <c r="F2" s="5">
        <v>0.63</v>
      </c>
      <c r="G2" s="5">
        <v>0</v>
      </c>
      <c r="H2" s="5">
        <v>0.63</v>
      </c>
      <c r="I2" s="5">
        <v>0.01</v>
      </c>
      <c r="J2" s="8">
        <v>46003</v>
      </c>
      <c r="K2" s="9">
        <f t="shared" ref="K2:K26" si="0">IF(J2&gt;0,J2-D2,"")</f>
        <v>12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45939</v>
      </c>
      <c r="Z2" s="5">
        <f>B11*-1</f>
        <v>-53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45939</v>
      </c>
      <c r="D3" s="8">
        <v>46021</v>
      </c>
      <c r="E3" s="5">
        <v>0</v>
      </c>
      <c r="F3" s="5">
        <v>0.6</v>
      </c>
      <c r="G3" s="5">
        <v>0</v>
      </c>
      <c r="H3" s="5">
        <v>0.6</v>
      </c>
      <c r="I3" s="5">
        <v>0.02</v>
      </c>
      <c r="J3" s="8">
        <v>46035</v>
      </c>
      <c r="K3" s="9">
        <f t="shared" si="0"/>
        <v>14</v>
      </c>
      <c r="M3" s="5">
        <f>B11</f>
        <v>53</v>
      </c>
      <c r="N3" s="5">
        <f>G42</f>
        <v>53</v>
      </c>
      <c r="O3" s="5">
        <f>F42</f>
        <v>7.4099999999999984</v>
      </c>
      <c r="P3" s="5">
        <f>H42+I42</f>
        <v>2.5299999999999998</v>
      </c>
      <c r="Q3" s="15">
        <f>IF(M3=N3,XIRR(Z2:Z26,Y2:Y26),"")</f>
        <v>0.15365508198738098</v>
      </c>
      <c r="R3" s="8">
        <f>IF(M3=N3,B14,"")</f>
        <v>46059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46003</v>
      </c>
      <c r="Z3" s="5">
        <f>G2+H2+I2</f>
        <v>0.64</v>
      </c>
    </row>
    <row r="4" spans="1:27" x14ac:dyDescent="0.25">
      <c r="A4" s="12" t="s">
        <v>10</v>
      </c>
      <c r="B4" s="8">
        <v>45960</v>
      </c>
      <c r="D4" s="8">
        <v>46052</v>
      </c>
      <c r="E4" s="5">
        <v>0</v>
      </c>
      <c r="F4" s="5">
        <v>0.63</v>
      </c>
      <c r="G4" s="5">
        <v>0</v>
      </c>
      <c r="H4" s="3">
        <v>0.63</v>
      </c>
      <c r="I4" s="5">
        <v>0.01</v>
      </c>
      <c r="J4" s="8">
        <v>46059</v>
      </c>
      <c r="K4" s="9">
        <f t="shared" si="0"/>
        <v>7</v>
      </c>
      <c r="Y4" s="8">
        <f t="shared" ref="Y4:Y41" si="1">J3</f>
        <v>46035</v>
      </c>
      <c r="Z4" s="5">
        <f t="shared" ref="Z4:Z41" si="2">G3+H3+I3</f>
        <v>0.62</v>
      </c>
    </row>
    <row r="5" spans="1:27" x14ac:dyDescent="0.25">
      <c r="A5" s="12" t="s">
        <v>2</v>
      </c>
      <c r="B5" s="3" t="s">
        <v>23</v>
      </c>
      <c r="D5" s="8">
        <v>46083</v>
      </c>
      <c r="E5" s="5">
        <v>0</v>
      </c>
      <c r="F5" s="5">
        <v>0.63</v>
      </c>
      <c r="G5" s="5">
        <v>0</v>
      </c>
      <c r="H5" s="5">
        <v>0</v>
      </c>
      <c r="I5" s="5">
        <v>0</v>
      </c>
      <c r="J5" s="8">
        <v>46059</v>
      </c>
      <c r="K5" s="9">
        <f t="shared" si="0"/>
        <v>-24</v>
      </c>
      <c r="Y5" s="8">
        <f t="shared" si="1"/>
        <v>46059</v>
      </c>
      <c r="Z5" s="5">
        <f t="shared" si="2"/>
        <v>0.64</v>
      </c>
    </row>
    <row r="6" spans="1:27" x14ac:dyDescent="0.25">
      <c r="A6" s="12" t="s">
        <v>11</v>
      </c>
      <c r="B6" s="4">
        <v>0.65</v>
      </c>
      <c r="D6" s="8">
        <v>46114</v>
      </c>
      <c r="E6" s="5">
        <v>0</v>
      </c>
      <c r="F6" s="5">
        <v>0.63</v>
      </c>
      <c r="G6" s="5">
        <v>0</v>
      </c>
      <c r="H6" s="5">
        <v>0</v>
      </c>
      <c r="I6" s="5">
        <v>0</v>
      </c>
      <c r="J6" s="8">
        <v>46059</v>
      </c>
      <c r="K6" s="9">
        <f t="shared" si="0"/>
        <v>-55</v>
      </c>
      <c r="Y6" s="8">
        <f t="shared" si="1"/>
        <v>46059</v>
      </c>
      <c r="Z6" s="5">
        <f t="shared" si="2"/>
        <v>0</v>
      </c>
    </row>
    <row r="7" spans="1:27" x14ac:dyDescent="0.25">
      <c r="A7" s="12" t="s">
        <v>12</v>
      </c>
      <c r="B7" s="4" t="s">
        <v>24</v>
      </c>
      <c r="D7" s="8">
        <v>46144</v>
      </c>
      <c r="E7" s="5">
        <f>SUM(E2:E6)</f>
        <v>0</v>
      </c>
      <c r="F7" s="5">
        <v>0.6</v>
      </c>
      <c r="G7" s="5">
        <v>0</v>
      </c>
      <c r="H7" s="5">
        <v>0</v>
      </c>
      <c r="I7" s="5">
        <v>0</v>
      </c>
      <c r="J7" s="8">
        <v>46059</v>
      </c>
      <c r="K7" s="9">
        <f t="shared" si="0"/>
        <v>-85</v>
      </c>
      <c r="Y7" s="8">
        <f t="shared" si="1"/>
        <v>46059</v>
      </c>
      <c r="Z7" s="5">
        <f t="shared" si="2"/>
        <v>0</v>
      </c>
    </row>
    <row r="8" spans="1:27" x14ac:dyDescent="0.25">
      <c r="A8" s="12" t="s">
        <v>4</v>
      </c>
      <c r="B8" s="3">
        <v>12</v>
      </c>
      <c r="D8" s="8">
        <v>46175</v>
      </c>
      <c r="E8" s="5">
        <f t="shared" ref="E8:E12" si="3">SUM(E3:E7)</f>
        <v>0</v>
      </c>
      <c r="F8" s="5">
        <v>0.63</v>
      </c>
      <c r="G8" s="5">
        <v>0</v>
      </c>
      <c r="H8" s="5">
        <v>0</v>
      </c>
      <c r="I8" s="5">
        <v>0</v>
      </c>
      <c r="J8" s="8">
        <v>46059</v>
      </c>
      <c r="K8" s="9">
        <f t="shared" si="0"/>
        <v>-116</v>
      </c>
      <c r="Y8" s="8">
        <f t="shared" si="1"/>
        <v>46059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46205</v>
      </c>
      <c r="E9" s="5">
        <f t="shared" si="3"/>
        <v>0</v>
      </c>
      <c r="F9" s="5">
        <v>0.6</v>
      </c>
      <c r="G9" s="5">
        <v>0</v>
      </c>
      <c r="H9" s="5">
        <v>0</v>
      </c>
      <c r="I9" s="5">
        <v>0</v>
      </c>
      <c r="J9" s="8">
        <v>46059</v>
      </c>
      <c r="K9" s="9">
        <f t="shared" si="0"/>
        <v>-146</v>
      </c>
      <c r="Y9" s="8">
        <f t="shared" si="1"/>
        <v>46059</v>
      </c>
      <c r="Z9" s="5">
        <f t="shared" si="2"/>
        <v>0</v>
      </c>
    </row>
    <row r="10" spans="1:27" x14ac:dyDescent="0.25">
      <c r="A10" s="12" t="s">
        <v>7</v>
      </c>
      <c r="B10" s="14">
        <v>0.14000000000000001</v>
      </c>
      <c r="D10" s="8">
        <v>46236</v>
      </c>
      <c r="E10" s="5">
        <f t="shared" si="3"/>
        <v>0</v>
      </c>
      <c r="F10" s="5">
        <v>0.63</v>
      </c>
      <c r="G10" s="5">
        <v>0</v>
      </c>
      <c r="H10" s="5">
        <v>0</v>
      </c>
      <c r="I10" s="5">
        <v>0</v>
      </c>
      <c r="J10" s="8">
        <v>46059</v>
      </c>
      <c r="K10" s="9">
        <f t="shared" si="0"/>
        <v>-177</v>
      </c>
      <c r="Y10" s="8">
        <f t="shared" si="1"/>
        <v>46059</v>
      </c>
      <c r="Z10" s="5">
        <f t="shared" si="2"/>
        <v>0</v>
      </c>
    </row>
    <row r="11" spans="1:27" x14ac:dyDescent="0.25">
      <c r="A11" s="12" t="s">
        <v>104</v>
      </c>
      <c r="B11" s="5">
        <v>53</v>
      </c>
      <c r="D11" s="8">
        <v>46267</v>
      </c>
      <c r="E11" s="5">
        <f t="shared" si="3"/>
        <v>0</v>
      </c>
      <c r="F11" s="5">
        <v>0.63</v>
      </c>
      <c r="G11" s="5">
        <v>0</v>
      </c>
      <c r="H11" s="5">
        <v>0</v>
      </c>
      <c r="I11" s="5">
        <v>0</v>
      </c>
      <c r="J11" s="8">
        <v>46059</v>
      </c>
      <c r="K11" s="9">
        <f t="shared" si="0"/>
        <v>-208</v>
      </c>
      <c r="Y11" s="8">
        <f t="shared" si="1"/>
        <v>46059</v>
      </c>
      <c r="Z11" s="5">
        <f t="shared" si="2"/>
        <v>0</v>
      </c>
    </row>
    <row r="12" spans="1:27" x14ac:dyDescent="0.25">
      <c r="A12" s="12" t="s">
        <v>87</v>
      </c>
      <c r="B12" s="19">
        <v>46325</v>
      </c>
      <c r="D12" s="8">
        <v>46297</v>
      </c>
      <c r="E12" s="5">
        <f t="shared" si="3"/>
        <v>0</v>
      </c>
      <c r="F12" s="5">
        <v>0.6</v>
      </c>
      <c r="G12" s="5">
        <v>0</v>
      </c>
      <c r="H12" s="5">
        <v>0</v>
      </c>
      <c r="I12" s="5">
        <v>0</v>
      </c>
      <c r="J12" s="8">
        <v>46059</v>
      </c>
      <c r="K12" s="9">
        <f t="shared" si="0"/>
        <v>-238</v>
      </c>
      <c r="Y12" s="8">
        <f t="shared" si="1"/>
        <v>46059</v>
      </c>
      <c r="Z12" s="5">
        <f t="shared" si="2"/>
        <v>0</v>
      </c>
    </row>
    <row r="13" spans="1:27" x14ac:dyDescent="0.25">
      <c r="A13" s="12" t="s">
        <v>90</v>
      </c>
      <c r="B13" s="9" t="str">
        <f ca="1">IF(B11&lt;&gt;N3,(TODAY()-B12)*-1,"")</f>
        <v/>
      </c>
      <c r="D13" s="8">
        <v>46325</v>
      </c>
      <c r="E13" s="5">
        <v>53</v>
      </c>
      <c r="F13" s="5">
        <v>0.6</v>
      </c>
      <c r="G13" s="5">
        <v>53</v>
      </c>
      <c r="H13" s="3">
        <v>0.63</v>
      </c>
      <c r="I13" s="5">
        <v>0</v>
      </c>
      <c r="J13" s="8">
        <v>46059</v>
      </c>
      <c r="K13" s="9">
        <f t="shared" si="0"/>
        <v>-266</v>
      </c>
      <c r="Y13" s="8">
        <f t="shared" si="1"/>
        <v>46059</v>
      </c>
      <c r="Z13" s="5">
        <f t="shared" si="2"/>
        <v>0</v>
      </c>
    </row>
    <row r="14" spans="1:27" x14ac:dyDescent="0.25">
      <c r="A14" s="12" t="s">
        <v>56</v>
      </c>
      <c r="B14" s="8">
        <v>46059</v>
      </c>
      <c r="D14" s="8"/>
      <c r="E14" s="5"/>
      <c r="F14" s="5"/>
      <c r="G14" s="5"/>
      <c r="H14" s="5"/>
      <c r="I14" s="2"/>
      <c r="J14" s="3"/>
      <c r="K14" s="9" t="str">
        <f t="shared" si="0"/>
        <v/>
      </c>
      <c r="Y14" s="8">
        <f t="shared" si="1"/>
        <v>46059</v>
      </c>
      <c r="Z14" s="5">
        <f t="shared" si="2"/>
        <v>53.63</v>
      </c>
    </row>
    <row r="15" spans="1:27" x14ac:dyDescent="0.25">
      <c r="A15" s="12" t="s">
        <v>100</v>
      </c>
      <c r="B15" s="3">
        <f>IF(M3=N3,B14-B12,"")</f>
        <v>-266</v>
      </c>
      <c r="D15" s="8"/>
      <c r="E15" s="5"/>
      <c r="F15" s="5"/>
      <c r="G15" s="5"/>
      <c r="H15" s="5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4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4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4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4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4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4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4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4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4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4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4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4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4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4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4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53</v>
      </c>
      <c r="F42" s="5">
        <f t="shared" ref="F42:I42" si="5">SUM(F2:F41)</f>
        <v>7.4099999999999984</v>
      </c>
      <c r="G42" s="5">
        <f t="shared" si="5"/>
        <v>53</v>
      </c>
      <c r="H42" s="5">
        <f t="shared" si="5"/>
        <v>2.4899999999999998</v>
      </c>
      <c r="I42" s="5">
        <f t="shared" si="5"/>
        <v>0.04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84" priority="1">
      <formula>$M$3=$N$3</formula>
    </cfRule>
  </conditionalFormatting>
  <conditionalFormatting sqref="A1:B1">
    <cfRule type="expression" dxfId="83" priority="2">
      <formula>$AA$2="+"</formula>
    </cfRule>
  </conditionalFormatting>
  <conditionalFormatting sqref="B1">
    <cfRule type="expression" dxfId="82" priority="4">
      <formula>$M$3=$N$3</formula>
    </cfRule>
  </conditionalFormatting>
  <conditionalFormatting sqref="S3">
    <cfRule type="expression" dxfId="81" priority="6">
      <formula>$AA$2="+"</formula>
    </cfRule>
  </conditionalFormatting>
  <conditionalFormatting sqref="AA2">
    <cfRule type="expression" dxfId="8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AA42"/>
  <sheetViews>
    <sheetView workbookViewId="0">
      <selection activeCell="H21" sqref="H2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65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62</v>
      </c>
      <c r="D2" s="8">
        <v>45990</v>
      </c>
      <c r="E2" s="5">
        <v>0</v>
      </c>
      <c r="F2" s="5">
        <v>0.55000000000000004</v>
      </c>
      <c r="G2" s="5">
        <v>0</v>
      </c>
      <c r="H2" s="5">
        <v>0.55000000000000004</v>
      </c>
      <c r="I2" s="5">
        <v>0</v>
      </c>
      <c r="J2" s="8">
        <v>45987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45924</v>
      </c>
      <c r="Z2" s="5">
        <f>B11*-1</f>
        <v>-54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45924</v>
      </c>
      <c r="D3" s="8">
        <v>46020</v>
      </c>
      <c r="E3" s="5">
        <v>0</v>
      </c>
      <c r="F3" s="5">
        <v>0.53</v>
      </c>
      <c r="G3" s="5">
        <v>0</v>
      </c>
      <c r="H3" s="3">
        <v>0.53</v>
      </c>
      <c r="I3" s="5">
        <v>0</v>
      </c>
      <c r="J3" s="8">
        <v>46017</v>
      </c>
      <c r="K3" s="9">
        <f t="shared" si="0"/>
        <v>-3</v>
      </c>
      <c r="M3" s="5">
        <f>B11</f>
        <v>54</v>
      </c>
      <c r="N3" s="5">
        <f>G42</f>
        <v>0</v>
      </c>
      <c r="O3" s="5">
        <f>F42</f>
        <v>6.4600000000000009</v>
      </c>
      <c r="P3" s="5">
        <f>H42+I42</f>
        <v>3.4500000000000006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121</v>
      </c>
      <c r="T3" s="1"/>
      <c r="U3" s="1"/>
      <c r="V3" s="1"/>
      <c r="Y3" s="8">
        <f>J2</f>
        <v>45987</v>
      </c>
      <c r="Z3" s="5">
        <f>G2+H2+I2</f>
        <v>0.55000000000000004</v>
      </c>
    </row>
    <row r="4" spans="1:27" x14ac:dyDescent="0.25">
      <c r="A4" s="12" t="s">
        <v>10</v>
      </c>
      <c r="B4" s="8">
        <v>45959</v>
      </c>
      <c r="D4" s="8">
        <v>46051</v>
      </c>
      <c r="E4" s="5">
        <v>0</v>
      </c>
      <c r="F4" s="5">
        <v>0.55000000000000004</v>
      </c>
      <c r="G4" s="5">
        <v>0</v>
      </c>
      <c r="H4" s="3">
        <v>0.55000000000000004</v>
      </c>
      <c r="I4" s="5">
        <v>0</v>
      </c>
      <c r="J4" s="8">
        <v>46048</v>
      </c>
      <c r="K4" s="9">
        <f t="shared" si="0"/>
        <v>-3</v>
      </c>
      <c r="Y4" s="8">
        <f t="shared" ref="Y4:Y41" si="1">J3</f>
        <v>46017</v>
      </c>
      <c r="Z4" s="5">
        <f t="shared" ref="Z4:Z41" si="2">G3+H3+I3</f>
        <v>0.53</v>
      </c>
    </row>
    <row r="5" spans="1:27" x14ac:dyDescent="0.25">
      <c r="A5" s="12" t="s">
        <v>2</v>
      </c>
      <c r="B5" s="3" t="s">
        <v>14</v>
      </c>
      <c r="D5" s="8">
        <v>46082</v>
      </c>
      <c r="E5" s="5">
        <v>0</v>
      </c>
      <c r="F5" s="5">
        <v>0.55000000000000004</v>
      </c>
      <c r="G5" s="5">
        <v>0</v>
      </c>
      <c r="H5" s="3">
        <v>0.55000000000000004</v>
      </c>
      <c r="I5" s="5">
        <v>0.02</v>
      </c>
      <c r="J5" s="8">
        <v>46097</v>
      </c>
      <c r="K5" s="9">
        <f t="shared" si="0"/>
        <v>15</v>
      </c>
      <c r="Y5" s="8">
        <f t="shared" si="1"/>
        <v>46048</v>
      </c>
      <c r="Z5" s="5">
        <f t="shared" si="2"/>
        <v>0.55000000000000004</v>
      </c>
    </row>
    <row r="6" spans="1:27" x14ac:dyDescent="0.25">
      <c r="A6" s="12" t="s">
        <v>11</v>
      </c>
      <c r="B6" s="4">
        <v>0.55000000000000004</v>
      </c>
      <c r="D6" s="8">
        <v>46113</v>
      </c>
      <c r="E6" s="5">
        <v>0</v>
      </c>
      <c r="F6" s="5">
        <v>0.55000000000000004</v>
      </c>
      <c r="G6" s="5">
        <v>0</v>
      </c>
      <c r="H6" s="3">
        <v>0.55000000000000004</v>
      </c>
      <c r="I6" s="5">
        <v>0.02</v>
      </c>
      <c r="J6" s="8">
        <v>46128</v>
      </c>
      <c r="K6" s="9">
        <f t="shared" si="0"/>
        <v>15</v>
      </c>
      <c r="Y6" s="8">
        <f t="shared" si="1"/>
        <v>46097</v>
      </c>
      <c r="Z6" s="5">
        <f t="shared" si="2"/>
        <v>0.57000000000000006</v>
      </c>
    </row>
    <row r="7" spans="1:27" x14ac:dyDescent="0.25">
      <c r="A7" s="12" t="s">
        <v>12</v>
      </c>
      <c r="B7" s="4" t="s">
        <v>24</v>
      </c>
      <c r="D7" s="8">
        <v>46143</v>
      </c>
      <c r="E7" s="5">
        <f>SUM(E2:E6)</f>
        <v>0</v>
      </c>
      <c r="F7" s="5">
        <v>0.53</v>
      </c>
      <c r="G7" s="5">
        <v>0</v>
      </c>
      <c r="H7" s="5">
        <v>0.53</v>
      </c>
      <c r="I7" s="5">
        <v>0.15</v>
      </c>
      <c r="J7" s="8">
        <v>46282</v>
      </c>
      <c r="K7" s="9">
        <f t="shared" si="0"/>
        <v>139</v>
      </c>
      <c r="Y7" s="8">
        <f t="shared" si="1"/>
        <v>46128</v>
      </c>
      <c r="Z7" s="5">
        <f t="shared" si="2"/>
        <v>0.57000000000000006</v>
      </c>
    </row>
    <row r="8" spans="1:27" x14ac:dyDescent="0.25">
      <c r="A8" s="12" t="s">
        <v>4</v>
      </c>
      <c r="B8" s="3">
        <v>12</v>
      </c>
      <c r="D8" s="8">
        <v>46174</v>
      </c>
      <c r="E8" s="5">
        <f t="shared" ref="E8:E12" si="3">SUM(E3:E7)</f>
        <v>0</v>
      </c>
      <c r="F8" s="5">
        <v>0.55000000000000004</v>
      </c>
      <c r="G8" s="5"/>
      <c r="H8" s="5"/>
      <c r="I8" s="3"/>
      <c r="J8" s="8"/>
      <c r="K8" s="9" t="str">
        <f t="shared" si="0"/>
        <v/>
      </c>
      <c r="Y8" s="8">
        <f t="shared" si="1"/>
        <v>46282</v>
      </c>
      <c r="Z8" s="5">
        <f t="shared" si="2"/>
        <v>0.68</v>
      </c>
    </row>
    <row r="9" spans="1:27" x14ac:dyDescent="0.25">
      <c r="A9" s="12" t="s">
        <v>5</v>
      </c>
      <c r="B9" s="3" t="s">
        <v>15</v>
      </c>
      <c r="D9" s="8">
        <v>46204</v>
      </c>
      <c r="E9" s="5">
        <f t="shared" si="3"/>
        <v>0</v>
      </c>
      <c r="F9" s="5">
        <v>0.53</v>
      </c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0.12</v>
      </c>
      <c r="D10" s="8">
        <v>46235</v>
      </c>
      <c r="E10" s="5">
        <f t="shared" si="3"/>
        <v>0</v>
      </c>
      <c r="F10" s="5">
        <v>0.55000000000000004</v>
      </c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54</v>
      </c>
      <c r="D11" s="8">
        <v>46266</v>
      </c>
      <c r="E11" s="5">
        <f t="shared" si="3"/>
        <v>0</v>
      </c>
      <c r="F11" s="5">
        <v>0.55000000000000004</v>
      </c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8">
        <v>46323</v>
      </c>
      <c r="D12" s="8">
        <v>46296</v>
      </c>
      <c r="E12" s="5">
        <f t="shared" si="3"/>
        <v>0</v>
      </c>
      <c r="F12" s="5">
        <v>0.53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28</v>
      </c>
      <c r="D13" s="8">
        <v>46323</v>
      </c>
      <c r="E13" s="5">
        <v>54</v>
      </c>
      <c r="F13" s="5">
        <v>0.49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2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4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4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4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4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4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4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4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4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4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4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4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4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4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4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4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54</v>
      </c>
      <c r="F42" s="5">
        <f t="shared" ref="F42:I42" si="5">SUM(F2:F41)</f>
        <v>6.4600000000000009</v>
      </c>
      <c r="G42" s="5">
        <f t="shared" si="5"/>
        <v>0</v>
      </c>
      <c r="H42" s="5">
        <f t="shared" si="5"/>
        <v>3.2600000000000007</v>
      </c>
      <c r="I42" s="5">
        <f t="shared" si="5"/>
        <v>0.19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79" priority="1">
      <formula>$M$3=$N$3</formula>
    </cfRule>
  </conditionalFormatting>
  <conditionalFormatting sqref="A1:B1">
    <cfRule type="expression" dxfId="78" priority="2">
      <formula>$AA$2="+"</formula>
    </cfRule>
  </conditionalFormatting>
  <conditionalFormatting sqref="B1">
    <cfRule type="expression" dxfId="77" priority="4">
      <formula>$M$3=$N$3</formula>
    </cfRule>
  </conditionalFormatting>
  <conditionalFormatting sqref="S3">
    <cfRule type="expression" dxfId="76" priority="6">
      <formula>$AA$2="+"</formula>
    </cfRule>
  </conditionalFormatting>
  <conditionalFormatting sqref="AA2">
    <cfRule type="expression" dxfId="7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61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60</v>
      </c>
      <c r="D2" s="8">
        <v>45949</v>
      </c>
      <c r="E2" s="5">
        <v>0</v>
      </c>
      <c r="F2" s="5">
        <v>0.52</v>
      </c>
      <c r="G2" s="5">
        <v>0</v>
      </c>
      <c r="H2" s="5">
        <v>0.52</v>
      </c>
      <c r="I2" s="5">
        <v>0</v>
      </c>
      <c r="J2" s="8">
        <v>45950</v>
      </c>
      <c r="K2" s="9">
        <f t="shared" ref="K2:K26" si="0">IF(J2&gt;0,J2-D2,"")</f>
        <v>1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45915</v>
      </c>
      <c r="Z2" s="5">
        <f>B11*-1</f>
        <v>-53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45915</v>
      </c>
      <c r="D3" s="8">
        <v>45980</v>
      </c>
      <c r="E3" s="5">
        <v>0</v>
      </c>
      <c r="F3" s="5">
        <v>0.54</v>
      </c>
      <c r="G3" s="5">
        <v>0</v>
      </c>
      <c r="H3" s="3">
        <v>0.54</v>
      </c>
      <c r="I3" s="5">
        <v>0</v>
      </c>
      <c r="J3" s="8">
        <v>45980</v>
      </c>
      <c r="K3" s="9">
        <f t="shared" si="0"/>
        <v>0</v>
      </c>
      <c r="M3" s="5">
        <f>B11</f>
        <v>53</v>
      </c>
      <c r="N3" s="5">
        <f>G42</f>
        <v>0</v>
      </c>
      <c r="O3" s="5">
        <f>F42</f>
        <v>6.35</v>
      </c>
      <c r="P3" s="5">
        <f>H42+I42</f>
        <v>4.83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73</v>
      </c>
      <c r="T3" s="1"/>
      <c r="U3" s="1"/>
      <c r="V3" s="1"/>
      <c r="Y3" s="8">
        <f>J2</f>
        <v>45950</v>
      </c>
      <c r="Z3" s="5">
        <f>G2+H2+I2</f>
        <v>0.52</v>
      </c>
    </row>
    <row r="4" spans="1:27" x14ac:dyDescent="0.25">
      <c r="A4" s="12" t="s">
        <v>10</v>
      </c>
      <c r="B4" s="8">
        <v>45919</v>
      </c>
      <c r="D4" s="8">
        <v>46010</v>
      </c>
      <c r="E4" s="5">
        <v>0</v>
      </c>
      <c r="F4" s="5">
        <v>0.52</v>
      </c>
      <c r="G4" s="5">
        <v>0</v>
      </c>
      <c r="H4" s="3">
        <v>0.52</v>
      </c>
      <c r="I4" s="5">
        <v>0.01</v>
      </c>
      <c r="J4" s="8">
        <v>46020</v>
      </c>
      <c r="K4" s="9">
        <f t="shared" si="0"/>
        <v>10</v>
      </c>
      <c r="Y4" s="8">
        <f t="shared" ref="Y4:Y41" si="1">J3</f>
        <v>45980</v>
      </c>
      <c r="Z4" s="5">
        <f t="shared" ref="Z4:Z41" si="2">G3+H3+I3</f>
        <v>0.54</v>
      </c>
    </row>
    <row r="5" spans="1:27" x14ac:dyDescent="0.25">
      <c r="A5" s="12" t="s">
        <v>2</v>
      </c>
      <c r="B5" s="3" t="s">
        <v>14</v>
      </c>
      <c r="D5" s="8">
        <v>46041</v>
      </c>
      <c r="E5" s="5">
        <v>0</v>
      </c>
      <c r="F5" s="5">
        <v>0.54</v>
      </c>
      <c r="G5" s="5">
        <v>0</v>
      </c>
      <c r="H5" s="3">
        <v>0.54</v>
      </c>
      <c r="I5" s="5">
        <v>0</v>
      </c>
      <c r="J5" s="8">
        <v>46045</v>
      </c>
      <c r="K5" s="9">
        <f t="shared" si="0"/>
        <v>4</v>
      </c>
      <c r="Y5" s="8">
        <f t="shared" si="1"/>
        <v>46020</v>
      </c>
      <c r="Z5" s="5">
        <f t="shared" si="2"/>
        <v>0.53</v>
      </c>
    </row>
    <row r="6" spans="1:27" x14ac:dyDescent="0.25">
      <c r="A6" s="12" t="s">
        <v>11</v>
      </c>
      <c r="B6" s="4">
        <v>0.65</v>
      </c>
      <c r="D6" s="8">
        <v>46072</v>
      </c>
      <c r="E6" s="5">
        <v>0</v>
      </c>
      <c r="F6" s="5">
        <v>0.54</v>
      </c>
      <c r="G6" s="5">
        <v>0</v>
      </c>
      <c r="H6" s="3">
        <v>0.54</v>
      </c>
      <c r="I6" s="5">
        <v>0</v>
      </c>
      <c r="J6" s="8">
        <v>46071</v>
      </c>
      <c r="K6" s="9">
        <f t="shared" si="0"/>
        <v>-1</v>
      </c>
      <c r="Y6" s="8">
        <f t="shared" si="1"/>
        <v>46045</v>
      </c>
      <c r="Z6" s="5">
        <f t="shared" si="2"/>
        <v>0.54</v>
      </c>
    </row>
    <row r="7" spans="1:27" x14ac:dyDescent="0.25">
      <c r="A7" s="12" t="s">
        <v>12</v>
      </c>
      <c r="B7" s="4" t="s">
        <v>24</v>
      </c>
      <c r="D7" s="8">
        <v>46100</v>
      </c>
      <c r="E7" s="5">
        <f>SUM(E2:E6)</f>
        <v>0</v>
      </c>
      <c r="F7" s="5">
        <v>0.48</v>
      </c>
      <c r="G7" s="5">
        <v>0</v>
      </c>
      <c r="H7" s="5">
        <v>0.48</v>
      </c>
      <c r="I7" s="5">
        <v>0</v>
      </c>
      <c r="J7" s="8">
        <v>46091</v>
      </c>
      <c r="K7" s="9">
        <f t="shared" si="0"/>
        <v>-9</v>
      </c>
      <c r="Y7" s="8">
        <f t="shared" si="1"/>
        <v>46071</v>
      </c>
      <c r="Z7" s="5">
        <f t="shared" si="2"/>
        <v>0.54</v>
      </c>
    </row>
    <row r="8" spans="1:27" x14ac:dyDescent="0.25">
      <c r="A8" s="12" t="s">
        <v>4</v>
      </c>
      <c r="B8" s="3">
        <v>12</v>
      </c>
      <c r="D8" s="8">
        <v>46131</v>
      </c>
      <c r="E8" s="5">
        <f t="shared" ref="E8:E12" si="3">SUM(E3:E7)</f>
        <v>0</v>
      </c>
      <c r="F8" s="5">
        <v>0.54</v>
      </c>
      <c r="G8" s="5">
        <v>0</v>
      </c>
      <c r="H8" s="5">
        <v>0.54</v>
      </c>
      <c r="I8" s="3">
        <v>0.03</v>
      </c>
      <c r="J8" s="8">
        <v>46155</v>
      </c>
      <c r="K8" s="9">
        <f t="shared" si="0"/>
        <v>24</v>
      </c>
      <c r="Y8" s="8">
        <f t="shared" si="1"/>
        <v>46091</v>
      </c>
      <c r="Z8" s="5">
        <f t="shared" si="2"/>
        <v>0.48</v>
      </c>
    </row>
    <row r="9" spans="1:27" x14ac:dyDescent="0.25">
      <c r="A9" s="12" t="s">
        <v>5</v>
      </c>
      <c r="B9" s="3" t="s">
        <v>15</v>
      </c>
      <c r="D9" s="8">
        <v>46161</v>
      </c>
      <c r="E9" s="5">
        <f t="shared" si="3"/>
        <v>0</v>
      </c>
      <c r="F9" s="5">
        <v>0.52</v>
      </c>
      <c r="G9" s="5">
        <v>0</v>
      </c>
      <c r="H9" s="5">
        <v>0.52</v>
      </c>
      <c r="I9" s="5">
        <v>0.03</v>
      </c>
      <c r="J9" s="8">
        <v>46189</v>
      </c>
      <c r="K9" s="9">
        <f t="shared" si="0"/>
        <v>28</v>
      </c>
      <c r="Y9" s="8">
        <f t="shared" si="1"/>
        <v>46155</v>
      </c>
      <c r="Z9" s="5">
        <f t="shared" si="2"/>
        <v>0.57000000000000006</v>
      </c>
    </row>
    <row r="10" spans="1:27" x14ac:dyDescent="0.25">
      <c r="A10" s="12" t="s">
        <v>7</v>
      </c>
      <c r="B10" s="14">
        <v>0.12</v>
      </c>
      <c r="D10" s="8">
        <v>46192</v>
      </c>
      <c r="E10" s="5">
        <f t="shared" si="3"/>
        <v>0</v>
      </c>
      <c r="F10" s="5">
        <v>0.54</v>
      </c>
      <c r="G10" s="5">
        <v>0</v>
      </c>
      <c r="H10" s="5">
        <v>0.54</v>
      </c>
      <c r="I10" s="5">
        <v>0.02</v>
      </c>
      <c r="J10" s="8">
        <v>46206</v>
      </c>
      <c r="K10" s="9">
        <f t="shared" si="0"/>
        <v>14</v>
      </c>
      <c r="Y10" s="8">
        <f t="shared" si="1"/>
        <v>46189</v>
      </c>
      <c r="Z10" s="5">
        <f t="shared" si="2"/>
        <v>0.55000000000000004</v>
      </c>
    </row>
    <row r="11" spans="1:27" x14ac:dyDescent="0.25">
      <c r="A11" s="12" t="s">
        <v>104</v>
      </c>
      <c r="B11" s="5">
        <v>53</v>
      </c>
      <c r="D11" s="8">
        <v>46222</v>
      </c>
      <c r="E11" s="5">
        <f t="shared" si="3"/>
        <v>0</v>
      </c>
      <c r="F11" s="5">
        <v>0.52</v>
      </c>
      <c r="G11" s="5"/>
      <c r="H11" s="5"/>
      <c r="I11" s="5"/>
      <c r="J11" s="8"/>
      <c r="K11" s="9" t="str">
        <f t="shared" si="0"/>
        <v/>
      </c>
      <c r="Y11" s="8">
        <f t="shared" si="1"/>
        <v>46206</v>
      </c>
      <c r="Z11" s="5">
        <f t="shared" si="2"/>
        <v>0.56000000000000005</v>
      </c>
    </row>
    <row r="12" spans="1:27" x14ac:dyDescent="0.25">
      <c r="A12" s="12" t="s">
        <v>87</v>
      </c>
      <c r="B12" s="19">
        <v>46284</v>
      </c>
      <c r="D12" s="8">
        <v>46253</v>
      </c>
      <c r="E12" s="5">
        <f t="shared" si="3"/>
        <v>0</v>
      </c>
      <c r="F12" s="5">
        <v>0.54</v>
      </c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-11</v>
      </c>
      <c r="D13" s="8">
        <v>46284</v>
      </c>
      <c r="E13" s="5">
        <v>53</v>
      </c>
      <c r="F13" s="5">
        <v>0.55000000000000004</v>
      </c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2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5"/>
      <c r="G23" s="5"/>
      <c r="H23" s="5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5"/>
      <c r="G24" s="5"/>
      <c r="H24" s="5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5"/>
      <c r="G25" s="5"/>
      <c r="H25" s="5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4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4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4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4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4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4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4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4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4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4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4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4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4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4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4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53</v>
      </c>
      <c r="F42" s="5">
        <f t="shared" ref="F42:I42" si="5">SUM(F2:F41)</f>
        <v>6.35</v>
      </c>
      <c r="G42" s="5">
        <f t="shared" si="5"/>
        <v>0</v>
      </c>
      <c r="H42" s="5">
        <f t="shared" si="5"/>
        <v>4.74</v>
      </c>
      <c r="I42" s="5">
        <f t="shared" si="5"/>
        <v>9.0000000000000011E-2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74" priority="1">
      <formula>$M$3=$N$3</formula>
    </cfRule>
  </conditionalFormatting>
  <conditionalFormatting sqref="A1:B1">
    <cfRule type="expression" dxfId="73" priority="2">
      <formula>$AA$2="+"</formula>
    </cfRule>
  </conditionalFormatting>
  <conditionalFormatting sqref="B1">
    <cfRule type="expression" dxfId="72" priority="4">
      <formula>$M$3=$N$3</formula>
    </cfRule>
  </conditionalFormatting>
  <conditionalFormatting sqref="S3">
    <cfRule type="expression" dxfId="71" priority="6">
      <formula>$AA$2="+"</formula>
    </cfRule>
  </conditionalFormatting>
  <conditionalFormatting sqref="AA2">
    <cfRule type="expression" dxfId="7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2"/>
  <sheetViews>
    <sheetView workbookViewId="0">
      <selection activeCell="K13" sqref="K1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54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52</v>
      </c>
      <c r="D2" s="8">
        <v>45938</v>
      </c>
      <c r="E2" s="5">
        <v>0</v>
      </c>
      <c r="F2" s="5">
        <v>0.53</v>
      </c>
      <c r="G2" s="5">
        <v>0</v>
      </c>
      <c r="H2" s="5">
        <v>0.53</v>
      </c>
      <c r="I2" s="5">
        <v>0</v>
      </c>
      <c r="J2" s="8">
        <v>45931</v>
      </c>
      <c r="K2" s="9">
        <f t="shared" ref="K2:K26" si="0">IF(J2&gt;0,J2-D2,"")</f>
        <v>-7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45901</v>
      </c>
      <c r="Z2" s="5">
        <f>B11*-1</f>
        <v>-54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45901</v>
      </c>
      <c r="D3" s="8">
        <v>45969</v>
      </c>
      <c r="E3" s="5">
        <v>0</v>
      </c>
      <c r="F3" s="5">
        <v>0.55000000000000004</v>
      </c>
      <c r="G3" s="5">
        <v>0</v>
      </c>
      <c r="H3" s="3">
        <v>0.55000000000000004</v>
      </c>
      <c r="I3" s="5">
        <v>0</v>
      </c>
      <c r="J3" s="8">
        <v>45965</v>
      </c>
      <c r="K3" s="9">
        <f t="shared" si="0"/>
        <v>-4</v>
      </c>
      <c r="M3" s="5">
        <f>B11</f>
        <v>54</v>
      </c>
      <c r="N3" s="5">
        <f>G42</f>
        <v>0</v>
      </c>
      <c r="O3" s="5">
        <f>F42</f>
        <v>12.960000000000003</v>
      </c>
      <c r="P3" s="5">
        <f>H42+I42</f>
        <v>6.46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45931</v>
      </c>
      <c r="Z3" s="5">
        <f>G2+H2+I2</f>
        <v>0.53</v>
      </c>
    </row>
    <row r="4" spans="1:27" x14ac:dyDescent="0.25">
      <c r="A4" s="12" t="s">
        <v>10</v>
      </c>
      <c r="B4" s="8">
        <v>45908</v>
      </c>
      <c r="D4" s="8">
        <v>45999</v>
      </c>
      <c r="E4" s="5">
        <v>0</v>
      </c>
      <c r="F4" s="5">
        <v>0.53</v>
      </c>
      <c r="G4" s="5">
        <v>0</v>
      </c>
      <c r="H4" s="3">
        <v>0.53</v>
      </c>
      <c r="I4" s="5">
        <v>0</v>
      </c>
      <c r="J4" s="8">
        <v>45995</v>
      </c>
      <c r="K4" s="9">
        <f t="shared" si="0"/>
        <v>-4</v>
      </c>
      <c r="Y4" s="8">
        <f t="shared" ref="Y4:Y41" si="1">J3</f>
        <v>45965</v>
      </c>
      <c r="Z4" s="5">
        <f t="shared" ref="Z4:Z41" si="2">G3+H3+I3</f>
        <v>0.55000000000000004</v>
      </c>
    </row>
    <row r="5" spans="1:27" x14ac:dyDescent="0.25">
      <c r="A5" s="12" t="s">
        <v>2</v>
      </c>
      <c r="B5" s="3" t="s">
        <v>3</v>
      </c>
      <c r="D5" s="8">
        <v>46030</v>
      </c>
      <c r="E5" s="5">
        <v>0</v>
      </c>
      <c r="F5" s="5">
        <v>0.55000000000000004</v>
      </c>
      <c r="G5" s="5">
        <v>0</v>
      </c>
      <c r="H5" s="3">
        <v>0.55000000000000004</v>
      </c>
      <c r="I5" s="5">
        <v>0</v>
      </c>
      <c r="J5" s="8">
        <v>46030</v>
      </c>
      <c r="K5" s="9">
        <f t="shared" si="0"/>
        <v>0</v>
      </c>
      <c r="Y5" s="8">
        <f t="shared" si="1"/>
        <v>45995</v>
      </c>
      <c r="Z5" s="5">
        <f t="shared" si="2"/>
        <v>0.53</v>
      </c>
    </row>
    <row r="6" spans="1:27" x14ac:dyDescent="0.25">
      <c r="A6" s="12" t="s">
        <v>11</v>
      </c>
      <c r="B6" s="4">
        <v>0.6</v>
      </c>
      <c r="D6" s="8">
        <v>46061</v>
      </c>
      <c r="E6" s="5">
        <v>0</v>
      </c>
      <c r="F6" s="5">
        <v>0.55000000000000004</v>
      </c>
      <c r="G6" s="5">
        <v>0</v>
      </c>
      <c r="H6" s="3">
        <v>0.55000000000000004</v>
      </c>
      <c r="I6" s="5">
        <v>0</v>
      </c>
      <c r="J6" s="8">
        <v>46058</v>
      </c>
      <c r="K6" s="9">
        <f t="shared" si="0"/>
        <v>-3</v>
      </c>
      <c r="Y6" s="8">
        <f t="shared" si="1"/>
        <v>46030</v>
      </c>
      <c r="Z6" s="5">
        <f t="shared" si="2"/>
        <v>0.55000000000000004</v>
      </c>
    </row>
    <row r="7" spans="1:27" x14ac:dyDescent="0.25">
      <c r="A7" s="12" t="s">
        <v>12</v>
      </c>
      <c r="B7" s="4" t="s">
        <v>24</v>
      </c>
      <c r="D7" s="8">
        <v>46089</v>
      </c>
      <c r="E7" s="5">
        <v>0</v>
      </c>
      <c r="F7" s="5">
        <v>0.49</v>
      </c>
      <c r="G7" s="5">
        <v>0</v>
      </c>
      <c r="H7" s="5">
        <v>0.49</v>
      </c>
      <c r="I7" s="5">
        <v>0</v>
      </c>
      <c r="J7" s="8">
        <v>46087</v>
      </c>
      <c r="K7" s="9">
        <f t="shared" si="0"/>
        <v>-2</v>
      </c>
      <c r="Y7" s="8">
        <f t="shared" si="1"/>
        <v>46058</v>
      </c>
      <c r="Z7" s="5">
        <f t="shared" si="2"/>
        <v>0.55000000000000004</v>
      </c>
    </row>
    <row r="8" spans="1:27" x14ac:dyDescent="0.25">
      <c r="A8" s="12" t="s">
        <v>4</v>
      </c>
      <c r="B8" s="3">
        <v>24</v>
      </c>
      <c r="D8" s="8">
        <v>46120</v>
      </c>
      <c r="E8" s="5">
        <v>0</v>
      </c>
      <c r="F8" s="5">
        <v>0.55000000000000004</v>
      </c>
      <c r="G8" s="5">
        <v>0</v>
      </c>
      <c r="H8" s="5">
        <v>0.55000000000000004</v>
      </c>
      <c r="I8" s="5">
        <v>0</v>
      </c>
      <c r="J8" s="8">
        <v>46119</v>
      </c>
      <c r="K8" s="9">
        <f t="shared" si="0"/>
        <v>-1</v>
      </c>
      <c r="Y8" s="8">
        <f t="shared" si="1"/>
        <v>46087</v>
      </c>
      <c r="Z8" s="5">
        <f t="shared" si="2"/>
        <v>0.49</v>
      </c>
    </row>
    <row r="9" spans="1:27" x14ac:dyDescent="0.25">
      <c r="A9" s="12" t="s">
        <v>5</v>
      </c>
      <c r="B9" s="3" t="s">
        <v>15</v>
      </c>
      <c r="D9" s="8">
        <v>46150</v>
      </c>
      <c r="E9" s="5">
        <v>0</v>
      </c>
      <c r="F9" s="5">
        <v>0.53</v>
      </c>
      <c r="G9" s="5">
        <v>0</v>
      </c>
      <c r="H9" s="5">
        <v>0.53</v>
      </c>
      <c r="I9" s="5">
        <v>0</v>
      </c>
      <c r="J9" s="8">
        <v>46146</v>
      </c>
      <c r="K9" s="9">
        <f t="shared" si="0"/>
        <v>-4</v>
      </c>
      <c r="Y9" s="8">
        <f t="shared" si="1"/>
        <v>46119</v>
      </c>
      <c r="Z9" s="5">
        <f t="shared" si="2"/>
        <v>0.55000000000000004</v>
      </c>
    </row>
    <row r="10" spans="1:27" x14ac:dyDescent="0.25">
      <c r="A10" s="12" t="s">
        <v>7</v>
      </c>
      <c r="B10" s="14">
        <v>0.12</v>
      </c>
      <c r="D10" s="8">
        <v>46181</v>
      </c>
      <c r="E10" s="5">
        <v>0</v>
      </c>
      <c r="F10" s="5">
        <v>0.55000000000000004</v>
      </c>
      <c r="G10" s="5">
        <v>0</v>
      </c>
      <c r="H10" s="5">
        <v>0.55000000000000004</v>
      </c>
      <c r="I10" s="5">
        <v>0</v>
      </c>
      <c r="J10" s="8">
        <v>46177</v>
      </c>
      <c r="K10" s="9">
        <f t="shared" si="0"/>
        <v>-4</v>
      </c>
      <c r="Y10" s="8">
        <f t="shared" si="1"/>
        <v>46146</v>
      </c>
      <c r="Z10" s="5">
        <f t="shared" si="2"/>
        <v>0.53</v>
      </c>
    </row>
    <row r="11" spans="1:27" x14ac:dyDescent="0.25">
      <c r="A11" s="12" t="s">
        <v>104</v>
      </c>
      <c r="B11" s="5">
        <v>54</v>
      </c>
      <c r="D11" s="8">
        <v>46211</v>
      </c>
      <c r="E11" s="5">
        <v>0</v>
      </c>
      <c r="F11" s="5">
        <v>0.53</v>
      </c>
      <c r="G11" s="5">
        <v>0</v>
      </c>
      <c r="H11" s="5">
        <v>0.53</v>
      </c>
      <c r="I11" s="5">
        <v>0</v>
      </c>
      <c r="J11" s="8">
        <v>46210</v>
      </c>
      <c r="K11" s="9">
        <f t="shared" si="0"/>
        <v>-1</v>
      </c>
      <c r="Y11" s="8">
        <f t="shared" si="1"/>
        <v>46177</v>
      </c>
      <c r="Z11" s="5">
        <f t="shared" si="2"/>
        <v>0.55000000000000004</v>
      </c>
    </row>
    <row r="12" spans="1:27" x14ac:dyDescent="0.25">
      <c r="A12" s="12" t="s">
        <v>87</v>
      </c>
      <c r="B12" s="19">
        <v>46638</v>
      </c>
      <c r="D12" s="8">
        <v>46242</v>
      </c>
      <c r="E12" s="5">
        <v>0</v>
      </c>
      <c r="F12" s="5">
        <v>0.55000000000000004</v>
      </c>
      <c r="G12" s="5">
        <v>0</v>
      </c>
      <c r="H12" s="5">
        <v>0.55000000000000004</v>
      </c>
      <c r="I12" s="5">
        <v>0</v>
      </c>
      <c r="J12" s="8">
        <v>46239</v>
      </c>
      <c r="K12" s="9">
        <f t="shared" si="0"/>
        <v>-3</v>
      </c>
      <c r="Y12" s="8">
        <f t="shared" si="1"/>
        <v>46210</v>
      </c>
      <c r="Z12" s="5">
        <f t="shared" si="2"/>
        <v>0.53</v>
      </c>
    </row>
    <row r="13" spans="1:27" x14ac:dyDescent="0.25">
      <c r="A13" s="12" t="s">
        <v>90</v>
      </c>
      <c r="B13" s="9">
        <f ca="1">IF(B11&lt;&gt;N3,(TODAY()-B12)*-1,"")</f>
        <v>343</v>
      </c>
      <c r="D13" s="8">
        <v>46273</v>
      </c>
      <c r="E13" s="5">
        <v>0</v>
      </c>
      <c r="F13" s="5">
        <v>0.55000000000000004</v>
      </c>
      <c r="G13" s="5">
        <v>0</v>
      </c>
      <c r="H13" s="5">
        <v>0.55000000000000004</v>
      </c>
      <c r="I13" s="5">
        <v>0</v>
      </c>
      <c r="J13" s="8">
        <v>46266</v>
      </c>
      <c r="K13" s="9">
        <f t="shared" si="0"/>
        <v>-7</v>
      </c>
      <c r="Y13" s="8">
        <f t="shared" si="1"/>
        <v>46239</v>
      </c>
      <c r="Z13" s="5">
        <f t="shared" si="2"/>
        <v>0.55000000000000004</v>
      </c>
    </row>
    <row r="14" spans="1:27" x14ac:dyDescent="0.25">
      <c r="A14" s="12" t="s">
        <v>56</v>
      </c>
      <c r="B14" s="8"/>
      <c r="D14" s="8">
        <v>46303</v>
      </c>
      <c r="E14" s="5">
        <v>0</v>
      </c>
      <c r="F14" s="5">
        <v>0.53</v>
      </c>
      <c r="G14" s="5"/>
      <c r="H14" s="5"/>
      <c r="I14" s="2"/>
      <c r="J14" s="3"/>
      <c r="K14" s="9" t="str">
        <f t="shared" si="0"/>
        <v/>
      </c>
      <c r="Y14" s="8">
        <f t="shared" si="1"/>
        <v>46266</v>
      </c>
      <c r="Z14" s="5">
        <f t="shared" si="2"/>
        <v>0.55000000000000004</v>
      </c>
    </row>
    <row r="15" spans="1:27" x14ac:dyDescent="0.25">
      <c r="A15" s="12" t="s">
        <v>100</v>
      </c>
      <c r="B15" s="3" t="str">
        <f>IF(M3=N3,B14-B12,"")</f>
        <v/>
      </c>
      <c r="D15" s="8">
        <v>46334</v>
      </c>
      <c r="E15" s="5">
        <v>0</v>
      </c>
      <c r="F15" s="5">
        <v>0.55000000000000004</v>
      </c>
      <c r="G15" s="5"/>
      <c r="H15" s="5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>
        <v>46364</v>
      </c>
      <c r="E16" s="5">
        <v>0</v>
      </c>
      <c r="F16" s="5">
        <v>0.53</v>
      </c>
      <c r="G16" s="5"/>
      <c r="H16" s="5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>
        <v>46395</v>
      </c>
      <c r="E17" s="5">
        <v>0</v>
      </c>
      <c r="F17" s="5">
        <v>0.55000000000000004</v>
      </c>
      <c r="G17" s="5"/>
      <c r="H17" s="5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>
        <v>46426</v>
      </c>
      <c r="E18" s="5">
        <v>0</v>
      </c>
      <c r="F18" s="5">
        <v>0.55000000000000004</v>
      </c>
      <c r="G18" s="5"/>
      <c r="H18" s="5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>
        <v>46454</v>
      </c>
      <c r="E19" s="5">
        <v>0</v>
      </c>
      <c r="F19" s="5">
        <v>0.49</v>
      </c>
      <c r="G19" s="5"/>
      <c r="H19" s="5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>
        <v>46485</v>
      </c>
      <c r="E20" s="5">
        <v>0</v>
      </c>
      <c r="F20" s="5">
        <v>0.55000000000000004</v>
      </c>
      <c r="G20" s="5"/>
      <c r="H20" s="5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>
        <v>46515</v>
      </c>
      <c r="E21" s="5">
        <v>0</v>
      </c>
      <c r="F21" s="5">
        <v>0.53</v>
      </c>
      <c r="G21" s="5"/>
      <c r="H21" s="5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>
        <v>46546</v>
      </c>
      <c r="E22" s="5">
        <v>0</v>
      </c>
      <c r="F22" s="5">
        <v>0.55000000000000004</v>
      </c>
      <c r="G22" s="5"/>
      <c r="H22" s="5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>
        <v>46576</v>
      </c>
      <c r="E23" s="5">
        <v>0</v>
      </c>
      <c r="F23" s="5">
        <v>0.53</v>
      </c>
      <c r="G23" s="5"/>
      <c r="H23" s="5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>
        <v>46607</v>
      </c>
      <c r="E24" s="5">
        <v>0</v>
      </c>
      <c r="F24" s="5">
        <v>0.55000000000000004</v>
      </c>
      <c r="G24" s="5"/>
      <c r="H24" s="5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>
        <v>46638</v>
      </c>
      <c r="E25" s="5">
        <v>54</v>
      </c>
      <c r="F25" s="5">
        <v>0.59</v>
      </c>
      <c r="G25" s="5"/>
      <c r="H25" s="5"/>
      <c r="I25" s="2"/>
      <c r="J25" s="19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54</v>
      </c>
      <c r="F42" s="5">
        <f t="shared" ref="F42:I42" si="4">SUM(F2:F41)</f>
        <v>12.960000000000003</v>
      </c>
      <c r="G42" s="5">
        <f t="shared" si="4"/>
        <v>0</v>
      </c>
      <c r="H42" s="5">
        <f t="shared" si="4"/>
        <v>6.46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phoneticPr fontId="2" type="noConversion"/>
  <conditionalFormatting sqref="A1">
    <cfRule type="expression" dxfId="69" priority="1">
      <formula>$M$3=$N$3</formula>
    </cfRule>
  </conditionalFormatting>
  <conditionalFormatting sqref="A1:B1">
    <cfRule type="expression" dxfId="68" priority="2">
      <formula>$AA$2="+"</formula>
    </cfRule>
  </conditionalFormatting>
  <conditionalFormatting sqref="B1">
    <cfRule type="expression" dxfId="67" priority="4">
      <formula>$M$3=$N$3</formula>
    </cfRule>
  </conditionalFormatting>
  <conditionalFormatting sqref="S3">
    <cfRule type="expression" dxfId="66" priority="6">
      <formula>$AA$2="+"</formula>
    </cfRule>
  </conditionalFormatting>
  <conditionalFormatting sqref="AA2">
    <cfRule type="expression" dxfId="6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A42"/>
  <sheetViews>
    <sheetView workbookViewId="0">
      <selection activeCell="B25" sqref="B25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53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51</v>
      </c>
      <c r="D2" s="8">
        <v>45932</v>
      </c>
      <c r="E2" s="5">
        <v>0</v>
      </c>
      <c r="F2" s="5">
        <v>0.5</v>
      </c>
      <c r="G2" s="5">
        <v>0</v>
      </c>
      <c r="H2" s="5">
        <v>0.5</v>
      </c>
      <c r="I2" s="5">
        <v>0</v>
      </c>
      <c r="J2" s="8">
        <v>45932</v>
      </c>
      <c r="K2" s="9">
        <f t="shared" ref="K2:K26" si="0">IF(J2&gt;0,J2-D2,"")</f>
        <v>0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45889</v>
      </c>
      <c r="Z2" s="5">
        <f>B11*-1</f>
        <v>-56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45889</v>
      </c>
      <c r="D3" s="8">
        <v>45963</v>
      </c>
      <c r="E3" s="5">
        <v>0</v>
      </c>
      <c r="F3" s="5">
        <v>0.52</v>
      </c>
      <c r="G3" s="5">
        <v>0</v>
      </c>
      <c r="H3" s="3">
        <v>0.52</v>
      </c>
      <c r="I3" s="5">
        <v>0</v>
      </c>
      <c r="J3" s="8">
        <v>45963</v>
      </c>
      <c r="K3" s="9">
        <f t="shared" si="0"/>
        <v>0</v>
      </c>
      <c r="M3" s="5">
        <f>B11</f>
        <v>56</v>
      </c>
      <c r="N3" s="5">
        <f>G42</f>
        <v>0</v>
      </c>
      <c r="O3" s="5">
        <f>F42</f>
        <v>5.83</v>
      </c>
      <c r="P3" s="5">
        <f>H42+I42</f>
        <v>5.59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47</v>
      </c>
      <c r="T3" s="1"/>
      <c r="U3" s="1"/>
      <c r="V3" s="1"/>
      <c r="Y3" s="8">
        <f>J2</f>
        <v>45932</v>
      </c>
      <c r="Z3" s="5">
        <f>G2+H2+I2</f>
        <v>0.5</v>
      </c>
    </row>
    <row r="4" spans="1:27" x14ac:dyDescent="0.25">
      <c r="A4" s="12" t="s">
        <v>10</v>
      </c>
      <c r="B4" s="8">
        <v>45902</v>
      </c>
      <c r="D4" s="8">
        <v>45993</v>
      </c>
      <c r="E4" s="5">
        <v>0</v>
      </c>
      <c r="F4" s="5">
        <v>0.5</v>
      </c>
      <c r="G4" s="5">
        <v>0</v>
      </c>
      <c r="H4" s="5">
        <v>0.5</v>
      </c>
      <c r="I4" s="5">
        <v>0</v>
      </c>
      <c r="J4" s="8">
        <v>45993</v>
      </c>
      <c r="K4" s="9">
        <f t="shared" si="0"/>
        <v>0</v>
      </c>
      <c r="Y4" s="8">
        <f t="shared" ref="Y4:Y41" si="1">J3</f>
        <v>45963</v>
      </c>
      <c r="Z4" s="5">
        <f t="shared" ref="Z4:Z41" si="2">G3+H3+I3</f>
        <v>0.52</v>
      </c>
    </row>
    <row r="5" spans="1:27" x14ac:dyDescent="0.25">
      <c r="A5" s="12" t="s">
        <v>2</v>
      </c>
      <c r="B5" s="3" t="s">
        <v>3</v>
      </c>
      <c r="D5" s="8">
        <v>46024</v>
      </c>
      <c r="E5" s="5">
        <v>0</v>
      </c>
      <c r="F5" s="5">
        <v>0.52</v>
      </c>
      <c r="G5" s="5">
        <v>0</v>
      </c>
      <c r="H5" s="3">
        <v>0.52</v>
      </c>
      <c r="I5" s="5">
        <v>0</v>
      </c>
      <c r="J5" s="8">
        <v>46024</v>
      </c>
      <c r="K5" s="9">
        <f t="shared" si="0"/>
        <v>0</v>
      </c>
      <c r="Y5" s="8">
        <f t="shared" si="1"/>
        <v>45993</v>
      </c>
      <c r="Z5" s="5">
        <f t="shared" si="2"/>
        <v>0.5</v>
      </c>
    </row>
    <row r="6" spans="1:27" x14ac:dyDescent="0.25">
      <c r="A6" s="12" t="s">
        <v>11</v>
      </c>
      <c r="B6" s="4">
        <v>0.6</v>
      </c>
      <c r="D6" s="8">
        <v>46055</v>
      </c>
      <c r="E6" s="5">
        <v>0</v>
      </c>
      <c r="F6" s="5">
        <v>0.52</v>
      </c>
      <c r="G6" s="5">
        <v>0</v>
      </c>
      <c r="H6" s="3">
        <v>0.52</v>
      </c>
      <c r="I6" s="5">
        <v>0</v>
      </c>
      <c r="J6" s="8">
        <v>46055</v>
      </c>
      <c r="K6" s="9">
        <f t="shared" si="0"/>
        <v>0</v>
      </c>
      <c r="Y6" s="8">
        <f t="shared" si="1"/>
        <v>46024</v>
      </c>
      <c r="Z6" s="5">
        <f t="shared" si="2"/>
        <v>0.52</v>
      </c>
    </row>
    <row r="7" spans="1:27" x14ac:dyDescent="0.25">
      <c r="A7" s="12" t="s">
        <v>12</v>
      </c>
      <c r="B7" s="4" t="s">
        <v>24</v>
      </c>
      <c r="D7" s="8">
        <v>46083</v>
      </c>
      <c r="E7" s="5">
        <v>0</v>
      </c>
      <c r="F7" s="5">
        <v>0.47</v>
      </c>
      <c r="G7" s="5">
        <v>0</v>
      </c>
      <c r="H7" s="5">
        <v>0.47</v>
      </c>
      <c r="I7" s="5">
        <v>0</v>
      </c>
      <c r="J7" s="8">
        <v>46083</v>
      </c>
      <c r="K7" s="9">
        <f t="shared" si="0"/>
        <v>0</v>
      </c>
      <c r="Y7" s="8">
        <f t="shared" si="1"/>
        <v>46055</v>
      </c>
      <c r="Z7" s="5">
        <f t="shared" si="2"/>
        <v>0.52</v>
      </c>
    </row>
    <row r="8" spans="1:27" x14ac:dyDescent="0.25">
      <c r="A8" s="12" t="s">
        <v>4</v>
      </c>
      <c r="B8" s="3">
        <v>12</v>
      </c>
      <c r="D8" s="8">
        <v>46114</v>
      </c>
      <c r="E8" s="5">
        <v>0</v>
      </c>
      <c r="F8" s="5">
        <v>0.52</v>
      </c>
      <c r="G8" s="5">
        <v>0</v>
      </c>
      <c r="H8" s="3">
        <v>0.52</v>
      </c>
      <c r="I8" s="5">
        <v>0</v>
      </c>
      <c r="J8" s="8">
        <v>46112</v>
      </c>
      <c r="K8" s="9">
        <f t="shared" si="0"/>
        <v>-2</v>
      </c>
      <c r="Y8" s="8">
        <f t="shared" si="1"/>
        <v>46083</v>
      </c>
      <c r="Z8" s="5">
        <f t="shared" si="2"/>
        <v>0.47</v>
      </c>
    </row>
    <row r="9" spans="1:27" x14ac:dyDescent="0.25">
      <c r="A9" s="12" t="s">
        <v>5</v>
      </c>
      <c r="B9" s="3" t="s">
        <v>15</v>
      </c>
      <c r="D9" s="8">
        <v>46144</v>
      </c>
      <c r="E9" s="5">
        <v>0</v>
      </c>
      <c r="F9" s="5">
        <v>0.5</v>
      </c>
      <c r="G9" s="5">
        <v>0</v>
      </c>
      <c r="H9" s="5">
        <v>0.5</v>
      </c>
      <c r="I9" s="5">
        <v>0</v>
      </c>
      <c r="J9" s="8">
        <v>46144</v>
      </c>
      <c r="K9" s="9">
        <f t="shared" si="0"/>
        <v>0</v>
      </c>
      <c r="Y9" s="8">
        <f t="shared" si="1"/>
        <v>46112</v>
      </c>
      <c r="Z9" s="5">
        <f t="shared" si="2"/>
        <v>0.52</v>
      </c>
    </row>
    <row r="10" spans="1:27" x14ac:dyDescent="0.25">
      <c r="A10" s="12" t="s">
        <v>7</v>
      </c>
      <c r="B10" s="14">
        <v>0.11</v>
      </c>
      <c r="D10" s="8">
        <v>46175</v>
      </c>
      <c r="E10" s="5">
        <v>0</v>
      </c>
      <c r="F10" s="5">
        <v>0.52</v>
      </c>
      <c r="G10" s="5">
        <v>0</v>
      </c>
      <c r="H10" s="3">
        <v>0.52</v>
      </c>
      <c r="I10" s="5">
        <v>0</v>
      </c>
      <c r="J10" s="8">
        <v>46175</v>
      </c>
      <c r="K10" s="9">
        <f t="shared" si="0"/>
        <v>0</v>
      </c>
      <c r="Y10" s="8">
        <f t="shared" si="1"/>
        <v>46144</v>
      </c>
      <c r="Z10" s="5">
        <f t="shared" si="2"/>
        <v>0.5</v>
      </c>
    </row>
    <row r="11" spans="1:27" x14ac:dyDescent="0.25">
      <c r="A11" s="12" t="s">
        <v>104</v>
      </c>
      <c r="B11" s="5">
        <v>56</v>
      </c>
      <c r="D11" s="8">
        <v>46205</v>
      </c>
      <c r="E11" s="5">
        <v>0</v>
      </c>
      <c r="F11" s="5">
        <v>0.5</v>
      </c>
      <c r="G11" s="5">
        <v>0</v>
      </c>
      <c r="H11" s="5">
        <v>0.5</v>
      </c>
      <c r="I11" s="5">
        <v>0</v>
      </c>
      <c r="J11" s="8">
        <v>46205</v>
      </c>
      <c r="K11" s="9">
        <f t="shared" si="0"/>
        <v>0</v>
      </c>
      <c r="Y11" s="8">
        <f t="shared" si="1"/>
        <v>46175</v>
      </c>
      <c r="Z11" s="5">
        <f t="shared" si="2"/>
        <v>0.52</v>
      </c>
    </row>
    <row r="12" spans="1:27" x14ac:dyDescent="0.25">
      <c r="A12" s="12" t="s">
        <v>87</v>
      </c>
      <c r="B12" s="19">
        <v>46248</v>
      </c>
      <c r="D12" s="8">
        <v>46236</v>
      </c>
      <c r="E12" s="5">
        <v>0</v>
      </c>
      <c r="F12" s="5">
        <v>0.52</v>
      </c>
      <c r="G12" s="5">
        <v>0</v>
      </c>
      <c r="H12" s="3">
        <v>0.52</v>
      </c>
      <c r="I12" s="5">
        <v>0</v>
      </c>
      <c r="J12" s="8">
        <v>46237</v>
      </c>
      <c r="K12" s="9">
        <f t="shared" si="0"/>
        <v>1</v>
      </c>
      <c r="Y12" s="8">
        <f t="shared" si="1"/>
        <v>46205</v>
      </c>
      <c r="Z12" s="5">
        <f t="shared" si="2"/>
        <v>0.5</v>
      </c>
    </row>
    <row r="13" spans="1:27" x14ac:dyDescent="0.25">
      <c r="A13" s="12" t="s">
        <v>90</v>
      </c>
      <c r="B13" s="9">
        <f ca="1">IF(B11&lt;&gt;N3,(TODAY()-B12)*-1,"")</f>
        <v>-47</v>
      </c>
      <c r="D13" s="8">
        <v>46248</v>
      </c>
      <c r="E13" s="5">
        <v>56</v>
      </c>
      <c r="F13" s="5">
        <v>0.24</v>
      </c>
      <c r="G13" s="5"/>
      <c r="H13" s="3"/>
      <c r="I13" s="5"/>
      <c r="J13" s="8"/>
      <c r="K13" s="9" t="str">
        <f t="shared" si="0"/>
        <v/>
      </c>
      <c r="Y13" s="8">
        <f t="shared" si="1"/>
        <v>46237</v>
      </c>
      <c r="Z13" s="5">
        <f t="shared" si="2"/>
        <v>0.52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2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5"/>
      <c r="G21" s="5"/>
      <c r="H21" s="5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5"/>
      <c r="G22" s="5"/>
      <c r="H22" s="5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56</v>
      </c>
      <c r="F42" s="5">
        <f t="shared" ref="F42:I42" si="4">SUM(F2:F41)</f>
        <v>5.83</v>
      </c>
      <c r="G42" s="5">
        <f t="shared" si="4"/>
        <v>0</v>
      </c>
      <c r="H42" s="5">
        <f t="shared" si="4"/>
        <v>5.59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64" priority="1">
      <formula>$M$3=$N$3</formula>
    </cfRule>
  </conditionalFormatting>
  <conditionalFormatting sqref="A1:B1">
    <cfRule type="expression" dxfId="63" priority="2">
      <formula>$AA$2="+"</formula>
    </cfRule>
  </conditionalFormatting>
  <conditionalFormatting sqref="B1">
    <cfRule type="expression" dxfId="62" priority="4">
      <formula>$M$3=$N$3</formula>
    </cfRule>
  </conditionalFormatting>
  <conditionalFormatting sqref="S3">
    <cfRule type="expression" dxfId="61" priority="6">
      <formula>$AA$2="+"</formula>
    </cfRule>
  </conditionalFormatting>
  <conditionalFormatting sqref="AA2">
    <cfRule type="expression" dxfId="6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49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48</v>
      </c>
      <c r="D2" s="8">
        <v>45890</v>
      </c>
      <c r="E2" s="5">
        <v>0</v>
      </c>
      <c r="F2" s="5">
        <v>0.52</v>
      </c>
      <c r="G2" s="5">
        <v>0</v>
      </c>
      <c r="H2" s="5">
        <v>0.52</v>
      </c>
      <c r="I2" s="5">
        <v>0</v>
      </c>
      <c r="J2" s="8">
        <v>45887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45853</v>
      </c>
      <c r="Z2" s="5">
        <f>B11*-1</f>
        <v>-56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45853</v>
      </c>
      <c r="D3" s="8">
        <v>45921</v>
      </c>
      <c r="E3" s="5">
        <v>0</v>
      </c>
      <c r="F3" s="5">
        <v>0.52</v>
      </c>
      <c r="G3" s="5">
        <v>0</v>
      </c>
      <c r="H3" s="3">
        <v>0.52</v>
      </c>
      <c r="I3" s="5">
        <v>0</v>
      </c>
      <c r="J3" s="8">
        <v>45918</v>
      </c>
      <c r="K3" s="9">
        <f t="shared" si="0"/>
        <v>-3</v>
      </c>
      <c r="M3" s="5">
        <f>B11</f>
        <v>56</v>
      </c>
      <c r="N3" s="5">
        <f>G42</f>
        <v>56</v>
      </c>
      <c r="O3" s="5">
        <f>F42</f>
        <v>2.09</v>
      </c>
      <c r="P3" s="5">
        <f>H42+I42</f>
        <v>2.5299999999999998</v>
      </c>
      <c r="Q3" s="15">
        <f>IF(M3=N3,XIRR(Z2:Z26,Y2:Y26),"")</f>
        <v>0.11000266671180722</v>
      </c>
      <c r="R3" s="8">
        <f>IF(M3=N3,B14,"")</f>
        <v>46010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45887</v>
      </c>
      <c r="Z3" s="5">
        <f>G2+H2+I2</f>
        <v>0.52</v>
      </c>
    </row>
    <row r="4" spans="1:27" x14ac:dyDescent="0.25">
      <c r="A4" s="12" t="s">
        <v>10</v>
      </c>
      <c r="B4" s="8">
        <v>45859</v>
      </c>
      <c r="D4" s="8">
        <v>45951</v>
      </c>
      <c r="E4" s="5">
        <v>0</v>
      </c>
      <c r="F4" s="5">
        <v>0.5</v>
      </c>
      <c r="G4" s="5">
        <v>0</v>
      </c>
      <c r="H4" s="5">
        <v>0.5</v>
      </c>
      <c r="I4" s="5">
        <v>0</v>
      </c>
      <c r="J4" s="8">
        <v>45950</v>
      </c>
      <c r="K4" s="9">
        <f t="shared" si="0"/>
        <v>-1</v>
      </c>
      <c r="Y4" s="8">
        <f t="shared" ref="Y4:Y41" si="1">J3</f>
        <v>45918</v>
      </c>
      <c r="Z4" s="5">
        <f t="shared" ref="Z4:Z41" si="2">G3+H3+I3</f>
        <v>0.52</v>
      </c>
    </row>
    <row r="5" spans="1:27" x14ac:dyDescent="0.25">
      <c r="A5" s="12" t="s">
        <v>2</v>
      </c>
      <c r="B5" s="3" t="s">
        <v>14</v>
      </c>
      <c r="D5" s="8">
        <v>45982</v>
      </c>
      <c r="E5" s="5">
        <v>0</v>
      </c>
      <c r="F5" s="5">
        <v>0.52</v>
      </c>
      <c r="G5" s="5">
        <v>0</v>
      </c>
      <c r="H5" s="3">
        <v>0.52</v>
      </c>
      <c r="I5" s="5">
        <v>0</v>
      </c>
      <c r="J5" s="8">
        <v>46010</v>
      </c>
      <c r="K5" s="9">
        <f t="shared" si="0"/>
        <v>28</v>
      </c>
      <c r="Y5" s="8">
        <f t="shared" si="1"/>
        <v>45950</v>
      </c>
      <c r="Z5" s="5">
        <f t="shared" si="2"/>
        <v>0.5</v>
      </c>
    </row>
    <row r="6" spans="1:27" x14ac:dyDescent="0.25">
      <c r="A6" s="12" t="s">
        <v>11</v>
      </c>
      <c r="B6" s="4">
        <v>0.6</v>
      </c>
      <c r="D6" s="8">
        <v>45983</v>
      </c>
      <c r="E6" s="5">
        <v>56</v>
      </c>
      <c r="F6" s="5">
        <v>0.03</v>
      </c>
      <c r="G6" s="5">
        <v>56</v>
      </c>
      <c r="H6" s="3">
        <v>0.03</v>
      </c>
      <c r="I6" s="3">
        <v>0.44</v>
      </c>
      <c r="J6" s="8">
        <v>46010</v>
      </c>
      <c r="K6" s="9">
        <f t="shared" si="0"/>
        <v>27</v>
      </c>
      <c r="Y6" s="8">
        <f t="shared" si="1"/>
        <v>46010</v>
      </c>
      <c r="Z6" s="5">
        <f t="shared" si="2"/>
        <v>0.52</v>
      </c>
    </row>
    <row r="7" spans="1:27" x14ac:dyDescent="0.25">
      <c r="A7" s="12" t="s">
        <v>12</v>
      </c>
      <c r="B7" s="4" t="s">
        <v>24</v>
      </c>
      <c r="D7" s="8"/>
      <c r="E7" s="5"/>
      <c r="F7" s="5"/>
      <c r="G7" s="5"/>
      <c r="H7" s="3"/>
      <c r="I7" s="5"/>
      <c r="J7" s="8"/>
      <c r="K7" s="9" t="str">
        <f t="shared" si="0"/>
        <v/>
      </c>
      <c r="Y7" s="8">
        <f t="shared" si="1"/>
        <v>46010</v>
      </c>
      <c r="Z7" s="5">
        <f t="shared" si="2"/>
        <v>56.47</v>
      </c>
    </row>
    <row r="8" spans="1:27" x14ac:dyDescent="0.25">
      <c r="A8" s="12" t="s">
        <v>4</v>
      </c>
      <c r="B8" s="3">
        <v>5</v>
      </c>
      <c r="D8" s="8"/>
      <c r="E8" s="5"/>
      <c r="F8" s="5"/>
      <c r="G8" s="5"/>
      <c r="H8" s="3"/>
      <c r="I8" s="3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/>
      <c r="E9" s="5"/>
      <c r="F9" s="5"/>
      <c r="G9" s="5"/>
      <c r="H9" s="5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0.11</v>
      </c>
      <c r="D10" s="8"/>
      <c r="E10" s="5"/>
      <c r="F10" s="5"/>
      <c r="G10" s="5"/>
      <c r="H10" s="5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56</v>
      </c>
      <c r="D11" s="8"/>
      <c r="E11" s="5"/>
      <c r="F11" s="5"/>
      <c r="G11" s="5"/>
      <c r="H11" s="5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45983</v>
      </c>
      <c r="D12" s="8"/>
      <c r="E12" s="5"/>
      <c r="F12" s="5"/>
      <c r="G12" s="5"/>
      <c r="H12" s="5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 t="str">
        <f ca="1">IF(B11&lt;&gt;N3,(TODAY()-B12)*-1,"")</f>
        <v/>
      </c>
      <c r="D13" s="8"/>
      <c r="E13" s="5"/>
      <c r="F13" s="5"/>
      <c r="G13" s="5"/>
      <c r="H13" s="5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>
        <v>46010</v>
      </c>
      <c r="D14" s="8"/>
      <c r="E14" s="5"/>
      <c r="F14" s="5"/>
      <c r="G14" s="5"/>
      <c r="H14" s="5"/>
      <c r="I14" s="2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>
        <f>IF(M3=N3,B14-B12,"")</f>
        <v>27</v>
      </c>
      <c r="D15" s="8"/>
      <c r="E15" s="5"/>
      <c r="F15" s="5"/>
      <c r="G15" s="5"/>
      <c r="H15" s="5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2"/>
      <c r="J18" s="8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2"/>
      <c r="J19" s="8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2"/>
      <c r="J20" s="8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56</v>
      </c>
      <c r="F42" s="5">
        <f t="shared" ref="F42:I42" si="4">SUM(F2:F41)</f>
        <v>2.09</v>
      </c>
      <c r="G42" s="5">
        <f t="shared" si="4"/>
        <v>56</v>
      </c>
      <c r="H42" s="5">
        <f t="shared" si="4"/>
        <v>2.09</v>
      </c>
      <c r="I42" s="5">
        <f t="shared" si="4"/>
        <v>0.44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59" priority="1">
      <formula>$M$3=$N$3</formula>
    </cfRule>
  </conditionalFormatting>
  <conditionalFormatting sqref="A1:B1">
    <cfRule type="expression" dxfId="58" priority="2">
      <formula>$AA$2="+"</formula>
    </cfRule>
  </conditionalFormatting>
  <conditionalFormatting sqref="B1">
    <cfRule type="expression" dxfId="57" priority="4">
      <formula>$M$3=$N$3</formula>
    </cfRule>
  </conditionalFormatting>
  <conditionalFormatting sqref="S3">
    <cfRule type="expression" dxfId="56" priority="6">
      <formula>$AA$2="+"</formula>
    </cfRule>
  </conditionalFormatting>
  <conditionalFormatting sqref="AA2">
    <cfRule type="expression" dxfId="5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47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32</v>
      </c>
      <c r="D2" s="8">
        <v>45873</v>
      </c>
      <c r="E2" s="5">
        <v>0</v>
      </c>
      <c r="F2" s="5">
        <v>0.52</v>
      </c>
      <c r="G2" s="5">
        <v>0</v>
      </c>
      <c r="H2" s="5">
        <v>0.52</v>
      </c>
      <c r="I2" s="5">
        <v>0</v>
      </c>
      <c r="J2" s="8">
        <v>45870</v>
      </c>
      <c r="K2" s="9">
        <f t="shared" ref="K2:K12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45790</v>
      </c>
      <c r="Z2" s="5">
        <f>B11*-1</f>
        <v>-52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45790</v>
      </c>
      <c r="D3" s="8">
        <v>45904</v>
      </c>
      <c r="E3" s="5">
        <v>0</v>
      </c>
      <c r="F3" s="5">
        <v>0.52</v>
      </c>
      <c r="G3" s="5">
        <v>0</v>
      </c>
      <c r="H3" s="3">
        <v>0.52</v>
      </c>
      <c r="I3" s="5">
        <v>0</v>
      </c>
      <c r="J3" s="8">
        <v>45901</v>
      </c>
      <c r="K3" s="9">
        <f t="shared" si="0"/>
        <v>-3</v>
      </c>
      <c r="M3" s="5">
        <f>B11</f>
        <v>52</v>
      </c>
      <c r="N3" s="5">
        <f>G42</f>
        <v>0</v>
      </c>
      <c r="O3" s="5">
        <f>F42</f>
        <v>6.2299999999999986</v>
      </c>
      <c r="P3" s="5">
        <f>H42+I42</f>
        <v>5.169999999999999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118</v>
      </c>
      <c r="T3" s="1"/>
      <c r="U3" s="1"/>
      <c r="V3" s="1"/>
      <c r="Y3" s="8">
        <f>J2</f>
        <v>45870</v>
      </c>
      <c r="Z3" s="5">
        <f>G2+H2+I2</f>
        <v>0.52</v>
      </c>
    </row>
    <row r="4" spans="1:27" x14ac:dyDescent="0.25">
      <c r="A4" s="12" t="s">
        <v>10</v>
      </c>
      <c r="B4" s="8">
        <v>45842</v>
      </c>
      <c r="D4" s="8">
        <v>45934</v>
      </c>
      <c r="E4" s="5">
        <v>0</v>
      </c>
      <c r="F4" s="5">
        <v>0.51</v>
      </c>
      <c r="G4" s="5">
        <v>0</v>
      </c>
      <c r="H4" s="3">
        <v>0.51</v>
      </c>
      <c r="I4" s="5">
        <v>0</v>
      </c>
      <c r="J4" s="8">
        <v>45931</v>
      </c>
      <c r="K4" s="9">
        <f t="shared" si="0"/>
        <v>-3</v>
      </c>
      <c r="Y4" s="8">
        <f t="shared" ref="Y4:Y41" si="1">J3</f>
        <v>45901</v>
      </c>
      <c r="Z4" s="5">
        <f t="shared" ref="Z4:Z41" si="2">G3+H3+I3</f>
        <v>0.52</v>
      </c>
    </row>
    <row r="5" spans="1:27" x14ac:dyDescent="0.25">
      <c r="A5" s="12" t="s">
        <v>2</v>
      </c>
      <c r="B5" s="3" t="s">
        <v>14</v>
      </c>
      <c r="D5" s="8">
        <v>45965</v>
      </c>
      <c r="E5" s="5">
        <v>0</v>
      </c>
      <c r="F5" s="5">
        <v>0.52</v>
      </c>
      <c r="G5" s="5">
        <v>0</v>
      </c>
      <c r="H5" s="3">
        <v>0.52</v>
      </c>
      <c r="I5" s="5">
        <v>0.02</v>
      </c>
      <c r="J5" s="8">
        <v>45982</v>
      </c>
      <c r="K5" s="9">
        <f t="shared" si="0"/>
        <v>17</v>
      </c>
      <c r="Y5" s="8">
        <f t="shared" si="1"/>
        <v>45931</v>
      </c>
      <c r="Z5" s="5">
        <f t="shared" si="2"/>
        <v>0.51</v>
      </c>
    </row>
    <row r="6" spans="1:27" x14ac:dyDescent="0.25">
      <c r="A6" s="12" t="s">
        <v>11</v>
      </c>
      <c r="B6" s="4">
        <v>0.57999999999999996</v>
      </c>
      <c r="D6" s="8">
        <v>45995</v>
      </c>
      <c r="E6" s="5">
        <v>0</v>
      </c>
      <c r="F6" s="5">
        <v>0.51</v>
      </c>
      <c r="G6" s="5">
        <v>0</v>
      </c>
      <c r="H6" s="3">
        <v>0.51</v>
      </c>
      <c r="I6" s="5">
        <v>0</v>
      </c>
      <c r="J6" s="8">
        <v>45992</v>
      </c>
      <c r="K6" s="9">
        <f t="shared" si="0"/>
        <v>-3</v>
      </c>
      <c r="Y6" s="8">
        <f t="shared" si="1"/>
        <v>45982</v>
      </c>
      <c r="Z6" s="5">
        <f t="shared" si="2"/>
        <v>0.54</v>
      </c>
    </row>
    <row r="7" spans="1:27" x14ac:dyDescent="0.25">
      <c r="A7" s="12" t="s">
        <v>12</v>
      </c>
      <c r="B7" s="4" t="s">
        <v>24</v>
      </c>
      <c r="D7" s="8">
        <v>46026</v>
      </c>
      <c r="E7" s="5">
        <v>0</v>
      </c>
      <c r="F7" s="5">
        <v>0.52</v>
      </c>
      <c r="G7" s="5">
        <v>0</v>
      </c>
      <c r="H7" s="3">
        <v>0.52</v>
      </c>
      <c r="I7" s="5">
        <v>0</v>
      </c>
      <c r="J7" s="8">
        <v>46028</v>
      </c>
      <c r="K7" s="9">
        <f t="shared" si="0"/>
        <v>2</v>
      </c>
      <c r="Y7" s="8">
        <f t="shared" si="1"/>
        <v>45992</v>
      </c>
      <c r="Z7" s="5">
        <f t="shared" si="2"/>
        <v>0.51</v>
      </c>
    </row>
    <row r="8" spans="1:27" x14ac:dyDescent="0.25">
      <c r="A8" s="12" t="s">
        <v>4</v>
      </c>
      <c r="B8" s="3">
        <v>12</v>
      </c>
      <c r="D8" s="8">
        <v>46057</v>
      </c>
      <c r="E8" s="5">
        <v>0</v>
      </c>
      <c r="F8" s="5">
        <v>0.52</v>
      </c>
      <c r="G8" s="5">
        <v>0</v>
      </c>
      <c r="H8" s="3">
        <v>0.52</v>
      </c>
      <c r="I8" s="3">
        <v>0.01</v>
      </c>
      <c r="J8" s="8">
        <v>46071</v>
      </c>
      <c r="K8" s="9">
        <f t="shared" si="0"/>
        <v>14</v>
      </c>
      <c r="Y8" s="8">
        <f t="shared" si="1"/>
        <v>46028</v>
      </c>
      <c r="Z8" s="5">
        <f t="shared" si="2"/>
        <v>0.52</v>
      </c>
    </row>
    <row r="9" spans="1:27" x14ac:dyDescent="0.25">
      <c r="A9" s="12" t="s">
        <v>5</v>
      </c>
      <c r="B9" s="3" t="s">
        <v>15</v>
      </c>
      <c r="D9" s="8">
        <v>46085</v>
      </c>
      <c r="E9" s="5">
        <v>0</v>
      </c>
      <c r="F9" s="5">
        <v>0.47</v>
      </c>
      <c r="G9" s="5">
        <v>0</v>
      </c>
      <c r="H9" s="5">
        <v>0.47</v>
      </c>
      <c r="I9" s="5">
        <v>0.01</v>
      </c>
      <c r="J9" s="8">
        <v>46106</v>
      </c>
      <c r="K9" s="9">
        <f t="shared" si="0"/>
        <v>21</v>
      </c>
      <c r="Y9" s="8">
        <f t="shared" si="1"/>
        <v>46071</v>
      </c>
      <c r="Z9" s="5">
        <f t="shared" si="2"/>
        <v>0.53</v>
      </c>
    </row>
    <row r="10" spans="1:27" x14ac:dyDescent="0.25">
      <c r="A10" s="12" t="s">
        <v>7</v>
      </c>
      <c r="B10" s="14">
        <v>0.12</v>
      </c>
      <c r="D10" s="8">
        <v>46116</v>
      </c>
      <c r="E10" s="5">
        <v>0</v>
      </c>
      <c r="F10" s="5">
        <v>0.52</v>
      </c>
      <c r="G10" s="5">
        <v>0</v>
      </c>
      <c r="H10" s="5">
        <v>0.52</v>
      </c>
      <c r="I10" s="5">
        <v>0.01</v>
      </c>
      <c r="J10" s="8">
        <v>46128</v>
      </c>
      <c r="K10" s="9">
        <f t="shared" si="0"/>
        <v>12</v>
      </c>
      <c r="Y10" s="8">
        <f t="shared" si="1"/>
        <v>46106</v>
      </c>
      <c r="Z10" s="5">
        <f t="shared" si="2"/>
        <v>0.48</v>
      </c>
    </row>
    <row r="11" spans="1:27" x14ac:dyDescent="0.25">
      <c r="A11" s="12" t="s">
        <v>104</v>
      </c>
      <c r="B11" s="5">
        <v>52</v>
      </c>
      <c r="D11" s="8">
        <v>46146</v>
      </c>
      <c r="E11" s="5">
        <v>0</v>
      </c>
      <c r="F11" s="5">
        <v>0.51</v>
      </c>
      <c r="G11" s="5">
        <v>0</v>
      </c>
      <c r="H11" s="5">
        <v>0.51</v>
      </c>
      <c r="I11" s="5">
        <v>0</v>
      </c>
      <c r="J11" s="8">
        <v>46153</v>
      </c>
      <c r="K11" s="9">
        <f t="shared" si="0"/>
        <v>7</v>
      </c>
      <c r="Y11" s="8">
        <f t="shared" si="1"/>
        <v>46128</v>
      </c>
      <c r="Z11" s="5">
        <f t="shared" si="2"/>
        <v>0.53</v>
      </c>
    </row>
    <row r="12" spans="1:27" x14ac:dyDescent="0.25">
      <c r="A12" s="12" t="s">
        <v>87</v>
      </c>
      <c r="B12" s="19">
        <v>46207</v>
      </c>
      <c r="D12" s="8">
        <v>46177</v>
      </c>
      <c r="E12" s="5">
        <v>0</v>
      </c>
      <c r="F12" s="5">
        <v>0.52</v>
      </c>
      <c r="G12" s="5"/>
      <c r="H12" s="5"/>
      <c r="I12" s="5"/>
      <c r="J12" s="8"/>
      <c r="K12" s="9" t="str">
        <f t="shared" si="0"/>
        <v/>
      </c>
      <c r="Y12" s="8">
        <f t="shared" si="1"/>
        <v>46153</v>
      </c>
      <c r="Z12" s="5">
        <f t="shared" si="2"/>
        <v>0.51</v>
      </c>
    </row>
    <row r="13" spans="1:27" x14ac:dyDescent="0.25">
      <c r="A13" s="12" t="s">
        <v>90</v>
      </c>
      <c r="B13" s="9">
        <f ca="1">IF(B11&lt;&gt;N3,(TODAY()-B12)*-1,"")</f>
        <v>-88</v>
      </c>
      <c r="D13" s="8">
        <v>46207</v>
      </c>
      <c r="E13" s="5">
        <v>52</v>
      </c>
      <c r="F13" s="5">
        <v>0.59</v>
      </c>
      <c r="G13" s="5"/>
      <c r="H13" s="5"/>
      <c r="I13" s="5"/>
      <c r="J13" s="8"/>
      <c r="K13" s="9"/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5"/>
      <c r="I14" s="2"/>
      <c r="J14" s="8"/>
      <c r="K14" s="9" t="str">
        <f t="shared" ref="K14:K26" si="3">IF(J14&gt;0,J14-D14,"")</f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5"/>
      <c r="I15" s="2"/>
      <c r="J15" s="8"/>
      <c r="K15" s="9" t="str">
        <f t="shared" si="3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5"/>
      <c r="I16" s="2"/>
      <c r="J16" s="8"/>
      <c r="K16" s="9" t="str">
        <f t="shared" si="3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5"/>
      <c r="I17" s="2"/>
      <c r="J17" s="8"/>
      <c r="K17" s="9" t="str">
        <f t="shared" si="3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5"/>
      <c r="G18" s="5"/>
      <c r="H18" s="5"/>
      <c r="I18" s="2"/>
      <c r="J18" s="8"/>
      <c r="K18" s="9" t="str">
        <f t="shared" si="3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5"/>
      <c r="I19" s="2"/>
      <c r="J19" s="8"/>
      <c r="K19" s="9" t="str">
        <f t="shared" si="3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5"/>
      <c r="G20" s="5"/>
      <c r="H20" s="5"/>
      <c r="I20" s="2"/>
      <c r="J20" s="8"/>
      <c r="K20" s="9" t="str">
        <f t="shared" si="3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3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3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3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3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3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3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4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4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4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4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4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4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4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4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4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4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4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4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4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4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4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52</v>
      </c>
      <c r="F42" s="5">
        <f t="shared" ref="F42:I42" si="5">SUM(F2:F41)</f>
        <v>6.2299999999999986</v>
      </c>
      <c r="G42" s="5">
        <f t="shared" si="5"/>
        <v>0</v>
      </c>
      <c r="H42" s="5">
        <f t="shared" si="5"/>
        <v>5.1199999999999992</v>
      </c>
      <c r="I42" s="5">
        <f t="shared" si="5"/>
        <v>0.05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54" priority="1">
      <formula>$M$3=$N$3</formula>
    </cfRule>
  </conditionalFormatting>
  <conditionalFormatting sqref="A1:B1">
    <cfRule type="expression" dxfId="53" priority="2">
      <formula>$AA$2="+"</formula>
    </cfRule>
  </conditionalFormatting>
  <conditionalFormatting sqref="B1">
    <cfRule type="expression" dxfId="52" priority="4">
      <formula>$M$3=$N$3</formula>
    </cfRule>
  </conditionalFormatting>
  <conditionalFormatting sqref="S3">
    <cfRule type="expression" dxfId="51" priority="6">
      <formula>$AA$2="+"</formula>
    </cfRule>
  </conditionalFormatting>
  <conditionalFormatting sqref="AA2">
    <cfRule type="expression" dxfId="5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AA42"/>
  <sheetViews>
    <sheetView workbookViewId="0">
      <selection activeCell="Q3" sqref="Q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45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43</v>
      </c>
      <c r="D2" s="8">
        <v>45865</v>
      </c>
      <c r="E2" s="5">
        <v>0</v>
      </c>
      <c r="F2" s="5">
        <v>0.56999999999999995</v>
      </c>
      <c r="G2" s="5">
        <v>0</v>
      </c>
      <c r="H2" s="5">
        <v>0.56999999999999995</v>
      </c>
      <c r="I2" s="5">
        <v>0</v>
      </c>
      <c r="J2" s="8">
        <v>45866</v>
      </c>
      <c r="K2" s="9">
        <f t="shared" ref="K2:K26" si="0">IF(J2&gt;0,J2-D2,"")</f>
        <v>1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45826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45826</v>
      </c>
      <c r="D3" s="8">
        <v>45896</v>
      </c>
      <c r="E3" s="5">
        <v>0</v>
      </c>
      <c r="F3" s="5">
        <v>0.59</v>
      </c>
      <c r="G3" s="5">
        <v>0</v>
      </c>
      <c r="H3" s="3">
        <v>0.59</v>
      </c>
      <c r="I3" s="5">
        <v>0</v>
      </c>
      <c r="J3" s="8">
        <v>45897</v>
      </c>
      <c r="K3" s="9">
        <f t="shared" si="0"/>
        <v>1</v>
      </c>
      <c r="M3" s="5">
        <f>B11</f>
        <v>50</v>
      </c>
      <c r="N3" s="5">
        <f>G42</f>
        <v>50</v>
      </c>
      <c r="O3" s="5">
        <f>F42</f>
        <v>16</v>
      </c>
      <c r="P3" s="5">
        <f>H42+I42</f>
        <v>8.5</v>
      </c>
      <c r="Q3" s="15">
        <f>IF(M3=N3,XIRR(Z2:Z26,Y2:Y26),"")</f>
        <v>0.16716973185539247</v>
      </c>
      <c r="R3" s="8">
        <f>IF(M3=N3,B14,"")</f>
        <v>46220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45866</v>
      </c>
      <c r="Z3" s="5">
        <f>G2+H2+I2</f>
        <v>0.56999999999999995</v>
      </c>
    </row>
    <row r="4" spans="1:27" x14ac:dyDescent="0.25">
      <c r="A4" s="12" t="s">
        <v>10</v>
      </c>
      <c r="B4" s="8">
        <v>45835</v>
      </c>
      <c r="D4" s="8">
        <v>45927</v>
      </c>
      <c r="E4" s="5">
        <v>0</v>
      </c>
      <c r="F4" s="5">
        <v>0.59</v>
      </c>
      <c r="G4" s="5">
        <v>0</v>
      </c>
      <c r="H4" s="3">
        <v>0.59</v>
      </c>
      <c r="I4" s="5">
        <v>0</v>
      </c>
      <c r="J4" s="8">
        <v>45929</v>
      </c>
      <c r="K4" s="9">
        <f t="shared" si="0"/>
        <v>2</v>
      </c>
      <c r="Y4" s="8">
        <f t="shared" ref="Y4:Y41" si="1">J3</f>
        <v>45897</v>
      </c>
      <c r="Z4" s="5">
        <f t="shared" ref="Z4:Z41" si="2">G3+H3+I3</f>
        <v>0.59</v>
      </c>
    </row>
    <row r="5" spans="1:27" x14ac:dyDescent="0.25">
      <c r="A5" s="12" t="s">
        <v>2</v>
      </c>
      <c r="B5" s="3" t="s">
        <v>23</v>
      </c>
      <c r="D5" s="8">
        <v>45957</v>
      </c>
      <c r="E5" s="5">
        <v>0</v>
      </c>
      <c r="F5" s="5">
        <v>0.56999999999999995</v>
      </c>
      <c r="G5" s="5">
        <v>0</v>
      </c>
      <c r="H5" s="3">
        <v>0.56999999999999995</v>
      </c>
      <c r="I5" s="5">
        <v>0</v>
      </c>
      <c r="J5" s="8">
        <v>45958</v>
      </c>
      <c r="K5" s="9">
        <f t="shared" si="0"/>
        <v>1</v>
      </c>
      <c r="Y5" s="8">
        <f t="shared" si="1"/>
        <v>45929</v>
      </c>
      <c r="Z5" s="5">
        <f t="shared" si="2"/>
        <v>0.59</v>
      </c>
    </row>
    <row r="6" spans="1:27" x14ac:dyDescent="0.25">
      <c r="A6" s="12" t="s">
        <v>11</v>
      </c>
      <c r="B6" s="4">
        <v>0.6</v>
      </c>
      <c r="D6" s="8">
        <v>45988</v>
      </c>
      <c r="E6" s="5">
        <v>0</v>
      </c>
      <c r="F6" s="5">
        <v>0.59</v>
      </c>
      <c r="G6" s="5">
        <v>0</v>
      </c>
      <c r="H6" s="3">
        <v>0.59</v>
      </c>
      <c r="I6" s="5">
        <v>0</v>
      </c>
      <c r="J6" s="8">
        <v>45989</v>
      </c>
      <c r="K6" s="9">
        <f t="shared" si="0"/>
        <v>1</v>
      </c>
      <c r="Y6" s="8">
        <f t="shared" si="1"/>
        <v>45958</v>
      </c>
      <c r="Z6" s="5">
        <f t="shared" si="2"/>
        <v>0.56999999999999995</v>
      </c>
    </row>
    <row r="7" spans="1:27" x14ac:dyDescent="0.25">
      <c r="A7" s="12" t="s">
        <v>12</v>
      </c>
      <c r="B7" s="4" t="s">
        <v>24</v>
      </c>
      <c r="D7" s="8">
        <v>46018</v>
      </c>
      <c r="E7" s="5">
        <v>0</v>
      </c>
      <c r="F7" s="5">
        <v>0.56999999999999995</v>
      </c>
      <c r="G7" s="5">
        <v>0</v>
      </c>
      <c r="H7" s="3">
        <v>0.56999999999999995</v>
      </c>
      <c r="I7" s="5">
        <v>0</v>
      </c>
      <c r="J7" s="8">
        <v>46020</v>
      </c>
      <c r="K7" s="9">
        <f t="shared" si="0"/>
        <v>2</v>
      </c>
      <c r="Y7" s="8">
        <f t="shared" si="1"/>
        <v>45989</v>
      </c>
      <c r="Z7" s="5">
        <f t="shared" si="2"/>
        <v>0.59</v>
      </c>
    </row>
    <row r="8" spans="1:27" x14ac:dyDescent="0.25">
      <c r="A8" s="12" t="s">
        <v>4</v>
      </c>
      <c r="B8" s="3">
        <v>12</v>
      </c>
      <c r="D8" s="8">
        <v>46049</v>
      </c>
      <c r="E8" s="5">
        <v>0</v>
      </c>
      <c r="F8" s="5">
        <v>0.59</v>
      </c>
      <c r="G8" s="5">
        <v>0</v>
      </c>
      <c r="H8" s="3">
        <v>0.59</v>
      </c>
      <c r="I8" s="5">
        <v>0</v>
      </c>
      <c r="J8" s="8">
        <v>46049</v>
      </c>
      <c r="K8" s="9">
        <f t="shared" si="0"/>
        <v>0</v>
      </c>
      <c r="Y8" s="8">
        <f t="shared" si="1"/>
        <v>46020</v>
      </c>
      <c r="Z8" s="5">
        <f t="shared" si="2"/>
        <v>0.56999999999999995</v>
      </c>
    </row>
    <row r="9" spans="1:27" x14ac:dyDescent="0.25">
      <c r="A9" s="12" t="s">
        <v>5</v>
      </c>
      <c r="B9" s="3" t="s">
        <v>15</v>
      </c>
      <c r="D9" s="8">
        <v>46080</v>
      </c>
      <c r="E9" s="5">
        <v>0</v>
      </c>
      <c r="F9" s="5">
        <v>0.59</v>
      </c>
      <c r="G9" s="5">
        <v>0</v>
      </c>
      <c r="H9" s="5">
        <v>0.59</v>
      </c>
      <c r="I9" s="5">
        <v>0</v>
      </c>
      <c r="J9" s="8">
        <v>46080</v>
      </c>
      <c r="K9" s="9">
        <f t="shared" si="0"/>
        <v>0</v>
      </c>
      <c r="Y9" s="8">
        <f t="shared" si="1"/>
        <v>46049</v>
      </c>
      <c r="Z9" s="5">
        <f t="shared" si="2"/>
        <v>0.59</v>
      </c>
    </row>
    <row r="10" spans="1:27" x14ac:dyDescent="0.25">
      <c r="A10" s="12" t="s">
        <v>7</v>
      </c>
      <c r="B10" s="14">
        <v>0.14000000000000001</v>
      </c>
      <c r="D10" s="8">
        <v>46108</v>
      </c>
      <c r="E10" s="5">
        <v>0</v>
      </c>
      <c r="F10" s="5">
        <v>0.53</v>
      </c>
      <c r="G10" s="5">
        <v>0</v>
      </c>
      <c r="H10" s="5">
        <v>0.53</v>
      </c>
      <c r="I10" s="5">
        <v>0</v>
      </c>
      <c r="J10" s="8">
        <v>46108</v>
      </c>
      <c r="K10" s="9">
        <f t="shared" si="0"/>
        <v>0</v>
      </c>
      <c r="Y10" s="8">
        <f t="shared" si="1"/>
        <v>46080</v>
      </c>
      <c r="Z10" s="5">
        <f t="shared" si="2"/>
        <v>0.59</v>
      </c>
    </row>
    <row r="11" spans="1:27" x14ac:dyDescent="0.25">
      <c r="A11" s="12" t="s">
        <v>104</v>
      </c>
      <c r="B11" s="5">
        <v>50</v>
      </c>
      <c r="D11" s="8">
        <v>46139</v>
      </c>
      <c r="E11" s="5">
        <v>0</v>
      </c>
      <c r="F11" s="5">
        <v>0.59</v>
      </c>
      <c r="G11" s="5">
        <v>0</v>
      </c>
      <c r="H11" s="5">
        <v>0.59</v>
      </c>
      <c r="I11" s="5">
        <v>0</v>
      </c>
      <c r="J11" s="8">
        <v>46140</v>
      </c>
      <c r="K11" s="9">
        <f t="shared" si="0"/>
        <v>1</v>
      </c>
      <c r="Y11" s="8">
        <f t="shared" si="1"/>
        <v>46108</v>
      </c>
      <c r="Z11" s="5">
        <f t="shared" si="2"/>
        <v>0.53</v>
      </c>
    </row>
    <row r="12" spans="1:27" x14ac:dyDescent="0.25">
      <c r="A12" s="12" t="s">
        <v>87</v>
      </c>
      <c r="B12" s="32">
        <v>46383</v>
      </c>
      <c r="D12" s="8">
        <v>46169</v>
      </c>
      <c r="E12" s="5">
        <v>0</v>
      </c>
      <c r="F12" s="5">
        <v>0.56999999999999995</v>
      </c>
      <c r="G12" s="5">
        <v>0</v>
      </c>
      <c r="H12" s="5">
        <v>0.56999999999999995</v>
      </c>
      <c r="I12" s="5">
        <v>0</v>
      </c>
      <c r="J12" s="8">
        <v>46169</v>
      </c>
      <c r="K12" s="9">
        <f t="shared" si="0"/>
        <v>0</v>
      </c>
      <c r="Y12" s="8">
        <f t="shared" si="1"/>
        <v>46140</v>
      </c>
      <c r="Z12" s="5">
        <f t="shared" si="2"/>
        <v>0.59</v>
      </c>
    </row>
    <row r="13" spans="1:27" x14ac:dyDescent="0.25">
      <c r="A13" s="12" t="s">
        <v>90</v>
      </c>
      <c r="B13" s="9" t="str">
        <f ca="1">IF(B11&lt;&gt;N3,(TODAY()-B12)*-1,"")</f>
        <v/>
      </c>
      <c r="D13" s="8">
        <v>46200</v>
      </c>
      <c r="E13" s="5">
        <v>0</v>
      </c>
      <c r="F13" s="5">
        <v>0.65</v>
      </c>
      <c r="G13" s="5">
        <v>0</v>
      </c>
      <c r="H13" s="5">
        <v>0.65</v>
      </c>
      <c r="I13" s="5">
        <v>0</v>
      </c>
      <c r="J13" s="8">
        <v>46200</v>
      </c>
      <c r="K13" s="9">
        <f t="shared" si="0"/>
        <v>0</v>
      </c>
      <c r="Y13" s="8">
        <f t="shared" si="1"/>
        <v>46169</v>
      </c>
      <c r="Z13" s="5">
        <f t="shared" si="2"/>
        <v>0.56999999999999995</v>
      </c>
    </row>
    <row r="14" spans="1:27" x14ac:dyDescent="0.25">
      <c r="A14" s="12" t="s">
        <v>56</v>
      </c>
      <c r="B14" s="8">
        <v>46220</v>
      </c>
      <c r="D14" s="29">
        <v>46230</v>
      </c>
      <c r="E14" s="30">
        <v>0</v>
      </c>
      <c r="F14" s="30">
        <v>1.5</v>
      </c>
      <c r="G14" s="30">
        <v>0</v>
      </c>
      <c r="H14" s="30">
        <v>1.5</v>
      </c>
      <c r="I14" s="30">
        <v>0</v>
      </c>
      <c r="J14" s="29">
        <v>46218</v>
      </c>
      <c r="K14" s="31">
        <f t="shared" si="0"/>
        <v>-12</v>
      </c>
      <c r="Y14" s="8">
        <f t="shared" si="1"/>
        <v>46200</v>
      </c>
      <c r="Z14" s="5">
        <f t="shared" si="2"/>
        <v>0.65</v>
      </c>
    </row>
    <row r="15" spans="1:27" x14ac:dyDescent="0.25">
      <c r="A15" s="12" t="s">
        <v>100</v>
      </c>
      <c r="B15" s="3">
        <f>IF(M3=N3,B14-B12,"")</f>
        <v>-163</v>
      </c>
      <c r="D15" s="8">
        <v>46261</v>
      </c>
      <c r="E15" s="5">
        <v>0</v>
      </c>
      <c r="F15" s="5">
        <v>1.5</v>
      </c>
      <c r="G15" s="5">
        <v>0</v>
      </c>
      <c r="H15" s="5">
        <v>0</v>
      </c>
      <c r="I15" s="5">
        <v>0</v>
      </c>
      <c r="J15" s="8">
        <v>46220</v>
      </c>
      <c r="K15" s="9">
        <f t="shared" si="0"/>
        <v>-41</v>
      </c>
      <c r="Y15" s="8">
        <f t="shared" si="1"/>
        <v>46218</v>
      </c>
      <c r="Z15" s="5">
        <f t="shared" si="2"/>
        <v>1.5</v>
      </c>
    </row>
    <row r="16" spans="1:27" x14ac:dyDescent="0.25">
      <c r="D16" s="8">
        <v>46292</v>
      </c>
      <c r="E16" s="5">
        <v>0</v>
      </c>
      <c r="F16" s="5">
        <v>1.5</v>
      </c>
      <c r="G16" s="5">
        <v>0</v>
      </c>
      <c r="H16" s="5">
        <v>0</v>
      </c>
      <c r="I16" s="5">
        <v>0</v>
      </c>
      <c r="J16" s="8">
        <v>46220</v>
      </c>
      <c r="K16" s="9">
        <f t="shared" si="0"/>
        <v>-72</v>
      </c>
      <c r="Y16" s="8">
        <f t="shared" si="1"/>
        <v>46220</v>
      </c>
      <c r="Z16" s="5">
        <f t="shared" si="2"/>
        <v>0</v>
      </c>
    </row>
    <row r="17" spans="4:26" x14ac:dyDescent="0.25">
      <c r="D17" s="8">
        <v>46322</v>
      </c>
      <c r="E17" s="5">
        <v>0</v>
      </c>
      <c r="F17" s="5">
        <v>1.5</v>
      </c>
      <c r="G17" s="5">
        <v>0</v>
      </c>
      <c r="H17" s="5">
        <v>0</v>
      </c>
      <c r="I17" s="5">
        <v>0</v>
      </c>
      <c r="J17" s="8">
        <v>46220</v>
      </c>
      <c r="K17" s="9">
        <f t="shared" si="0"/>
        <v>-102</v>
      </c>
      <c r="Y17" s="8">
        <f t="shared" si="1"/>
        <v>46220</v>
      </c>
      <c r="Z17" s="5">
        <f t="shared" si="2"/>
        <v>0</v>
      </c>
    </row>
    <row r="18" spans="4:26" x14ac:dyDescent="0.25">
      <c r="D18" s="8">
        <v>46353</v>
      </c>
      <c r="E18" s="5">
        <v>0</v>
      </c>
      <c r="F18" s="5">
        <v>1.5</v>
      </c>
      <c r="G18" s="5">
        <v>0</v>
      </c>
      <c r="H18" s="5">
        <v>0</v>
      </c>
      <c r="I18" s="5">
        <v>0</v>
      </c>
      <c r="J18" s="8">
        <v>46220</v>
      </c>
      <c r="K18" s="9">
        <f t="shared" si="0"/>
        <v>-133</v>
      </c>
      <c r="Y18" s="8">
        <f t="shared" si="1"/>
        <v>46220</v>
      </c>
      <c r="Z18" s="5">
        <f t="shared" si="2"/>
        <v>0</v>
      </c>
    </row>
    <row r="19" spans="4:26" x14ac:dyDescent="0.25">
      <c r="D19" s="8">
        <v>46383</v>
      </c>
      <c r="E19" s="5">
        <v>50</v>
      </c>
      <c r="F19" s="5">
        <v>1.5</v>
      </c>
      <c r="G19" s="5">
        <v>50</v>
      </c>
      <c r="H19" s="5">
        <v>0</v>
      </c>
      <c r="I19" s="5">
        <v>0</v>
      </c>
      <c r="J19" s="8">
        <v>46220</v>
      </c>
      <c r="K19" s="9">
        <f t="shared" si="0"/>
        <v>-163</v>
      </c>
      <c r="Y19" s="8">
        <f t="shared" si="1"/>
        <v>46220</v>
      </c>
      <c r="Z19" s="5">
        <f t="shared" si="2"/>
        <v>0</v>
      </c>
    </row>
    <row r="20" spans="4:26" x14ac:dyDescent="0.25">
      <c r="D20" s="8"/>
      <c r="E20" s="5"/>
      <c r="F20" s="3"/>
      <c r="G20" s="5"/>
      <c r="H20" s="3"/>
      <c r="I20" s="2"/>
      <c r="J20" s="3"/>
      <c r="K20" s="9" t="str">
        <f t="shared" si="0"/>
        <v/>
      </c>
      <c r="Y20" s="8">
        <f t="shared" si="1"/>
        <v>46220</v>
      </c>
      <c r="Z20" s="5">
        <f t="shared" si="2"/>
        <v>50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4">SUM(F2:F41)</f>
        <v>16</v>
      </c>
      <c r="G42" s="5">
        <f t="shared" si="4"/>
        <v>50</v>
      </c>
      <c r="H42" s="5">
        <f t="shared" si="4"/>
        <v>8.5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49" priority="1">
      <formula>$M$3=$N$3</formula>
    </cfRule>
  </conditionalFormatting>
  <conditionalFormatting sqref="A1:B1">
    <cfRule type="expression" dxfId="48" priority="2">
      <formula>$AA$2="+"</formula>
    </cfRule>
  </conditionalFormatting>
  <conditionalFormatting sqref="B1">
    <cfRule type="expression" dxfId="47" priority="4">
      <formula>$M$3=$N$3</formula>
    </cfRule>
  </conditionalFormatting>
  <conditionalFormatting sqref="S3">
    <cfRule type="expression" dxfId="46" priority="6">
      <formula>$AA$2="+"</formula>
    </cfRule>
  </conditionalFormatting>
  <conditionalFormatting sqref="AA2">
    <cfRule type="expression" dxfId="4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C000"/>
  </sheetPr>
  <dimension ref="A1:AA42"/>
  <sheetViews>
    <sheetView workbookViewId="0">
      <selection activeCell="K10" sqref="K10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44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42</v>
      </c>
      <c r="D2" s="8">
        <v>45864</v>
      </c>
      <c r="E2" s="5">
        <v>0</v>
      </c>
      <c r="F2" s="5">
        <v>0.67</v>
      </c>
      <c r="G2" s="5">
        <v>0</v>
      </c>
      <c r="H2" s="5">
        <v>0.67</v>
      </c>
      <c r="I2" s="5">
        <v>0</v>
      </c>
      <c r="J2" s="8">
        <v>45861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45820</v>
      </c>
      <c r="Z2" s="5">
        <f>B11*-1</f>
        <v>-55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45820</v>
      </c>
      <c r="D3" s="8">
        <v>45895</v>
      </c>
      <c r="E3" s="5">
        <v>0</v>
      </c>
      <c r="F3" s="5">
        <v>0.7</v>
      </c>
      <c r="G3" s="5">
        <v>0</v>
      </c>
      <c r="H3" s="5">
        <v>0.7</v>
      </c>
      <c r="I3" s="5">
        <v>0</v>
      </c>
      <c r="J3" s="8">
        <v>45894</v>
      </c>
      <c r="K3" s="9">
        <f t="shared" si="0"/>
        <v>-1</v>
      </c>
      <c r="M3" s="5">
        <f>B11</f>
        <v>55</v>
      </c>
      <c r="N3" s="5">
        <f>G42</f>
        <v>0</v>
      </c>
      <c r="O3" s="5">
        <f>F42</f>
        <v>16.429999999999996</v>
      </c>
      <c r="P3" s="5">
        <f>H42+I42</f>
        <v>11.51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45861</v>
      </c>
      <c r="Z3" s="5">
        <f>G2+H2+I2</f>
        <v>0.67</v>
      </c>
    </row>
    <row r="4" spans="1:27" x14ac:dyDescent="0.25">
      <c r="A4" s="12" t="s">
        <v>10</v>
      </c>
      <c r="B4" s="8">
        <v>45834</v>
      </c>
      <c r="D4" s="8">
        <v>45926</v>
      </c>
      <c r="E4" s="5">
        <v>0</v>
      </c>
      <c r="F4" s="5">
        <v>0.7</v>
      </c>
      <c r="G4" s="5">
        <v>0</v>
      </c>
      <c r="H4" s="5">
        <v>0.7</v>
      </c>
      <c r="I4" s="5">
        <v>0</v>
      </c>
      <c r="J4" s="8">
        <v>45923</v>
      </c>
      <c r="K4" s="9">
        <f t="shared" si="0"/>
        <v>-3</v>
      </c>
      <c r="Y4" s="8">
        <f t="shared" ref="Y4:Y41" si="1">J3</f>
        <v>45894</v>
      </c>
      <c r="Z4" s="5">
        <f t="shared" ref="Z4:Z41" si="2">G3+H3+I3</f>
        <v>0.7</v>
      </c>
    </row>
    <row r="5" spans="1:27" x14ac:dyDescent="0.25">
      <c r="A5" s="12" t="s">
        <v>2</v>
      </c>
      <c r="B5" s="3" t="s">
        <v>23</v>
      </c>
      <c r="D5" s="8">
        <v>45956</v>
      </c>
      <c r="E5" s="5">
        <v>0</v>
      </c>
      <c r="F5" s="5">
        <v>0.67</v>
      </c>
      <c r="G5" s="5">
        <v>0</v>
      </c>
      <c r="H5" s="3">
        <v>0.67</v>
      </c>
      <c r="I5" s="5">
        <v>0.1</v>
      </c>
      <c r="J5" s="8">
        <v>46028</v>
      </c>
      <c r="K5" s="9">
        <f t="shared" si="0"/>
        <v>72</v>
      </c>
      <c r="Y5" s="8">
        <f t="shared" si="1"/>
        <v>45923</v>
      </c>
      <c r="Z5" s="5">
        <f t="shared" si="2"/>
        <v>0.7</v>
      </c>
    </row>
    <row r="6" spans="1:27" x14ac:dyDescent="0.25">
      <c r="A6" s="12" t="s">
        <v>11</v>
      </c>
      <c r="B6" s="4">
        <v>0.6</v>
      </c>
      <c r="D6" s="8">
        <v>45987</v>
      </c>
      <c r="E6" s="5">
        <v>0</v>
      </c>
      <c r="F6" s="5">
        <v>0.7</v>
      </c>
      <c r="G6" s="5">
        <v>0</v>
      </c>
      <c r="H6" s="5">
        <v>0.7</v>
      </c>
      <c r="I6" s="5">
        <v>0.09</v>
      </c>
      <c r="J6" s="8">
        <v>46051</v>
      </c>
      <c r="K6" s="9">
        <f t="shared" si="0"/>
        <v>64</v>
      </c>
      <c r="Y6" s="8">
        <f t="shared" si="1"/>
        <v>46028</v>
      </c>
      <c r="Z6" s="5">
        <f t="shared" si="2"/>
        <v>0.77</v>
      </c>
    </row>
    <row r="7" spans="1:27" x14ac:dyDescent="0.25">
      <c r="A7" s="12" t="s">
        <v>12</v>
      </c>
      <c r="B7" s="4" t="s">
        <v>24</v>
      </c>
      <c r="D7" s="8">
        <v>46017</v>
      </c>
      <c r="E7" s="5">
        <v>0</v>
      </c>
      <c r="F7" s="5">
        <v>0.67</v>
      </c>
      <c r="G7" s="5">
        <v>0</v>
      </c>
      <c r="H7" s="3">
        <v>0.67</v>
      </c>
      <c r="I7" s="5">
        <v>0.18</v>
      </c>
      <c r="J7" s="8">
        <v>46150</v>
      </c>
      <c r="K7" s="9">
        <f t="shared" si="0"/>
        <v>133</v>
      </c>
      <c r="Y7" s="8">
        <f t="shared" si="1"/>
        <v>46051</v>
      </c>
      <c r="Z7" s="5">
        <f t="shared" si="2"/>
        <v>0.78999999999999992</v>
      </c>
    </row>
    <row r="8" spans="1:27" x14ac:dyDescent="0.25">
      <c r="A8" s="12" t="s">
        <v>4</v>
      </c>
      <c r="B8" s="3">
        <v>24</v>
      </c>
      <c r="D8" s="8">
        <v>46048</v>
      </c>
      <c r="E8" s="5">
        <v>0</v>
      </c>
      <c r="F8" s="5">
        <v>0.7</v>
      </c>
      <c r="G8" s="5">
        <v>0</v>
      </c>
      <c r="H8" s="5">
        <v>0.7</v>
      </c>
      <c r="I8" s="5">
        <v>0.14000000000000001</v>
      </c>
      <c r="J8" s="8">
        <v>46150</v>
      </c>
      <c r="K8" s="9">
        <f t="shared" si="0"/>
        <v>102</v>
      </c>
      <c r="Y8" s="8">
        <f t="shared" si="1"/>
        <v>46150</v>
      </c>
      <c r="Z8" s="5">
        <f t="shared" si="2"/>
        <v>0.85000000000000009</v>
      </c>
    </row>
    <row r="9" spans="1:27" x14ac:dyDescent="0.25">
      <c r="A9" s="12" t="s">
        <v>5</v>
      </c>
      <c r="B9" s="3" t="s">
        <v>15</v>
      </c>
      <c r="D9" s="8">
        <v>46079</v>
      </c>
      <c r="E9" s="5">
        <v>0</v>
      </c>
      <c r="F9" s="5">
        <v>0.7</v>
      </c>
      <c r="G9" s="5">
        <v>0</v>
      </c>
      <c r="H9" s="5">
        <v>0.7</v>
      </c>
      <c r="I9" s="5">
        <v>0.1</v>
      </c>
      <c r="J9" s="8">
        <v>46150</v>
      </c>
      <c r="K9" s="9">
        <f t="shared" si="0"/>
        <v>71</v>
      </c>
      <c r="Y9" s="8">
        <f t="shared" si="1"/>
        <v>46150</v>
      </c>
      <c r="Z9" s="5">
        <f t="shared" si="2"/>
        <v>0.84</v>
      </c>
    </row>
    <row r="10" spans="1:27" x14ac:dyDescent="0.25">
      <c r="A10" s="12" t="s">
        <v>7</v>
      </c>
      <c r="B10" s="14">
        <v>0.15</v>
      </c>
      <c r="D10" s="8">
        <v>46107</v>
      </c>
      <c r="E10" s="5">
        <v>0</v>
      </c>
      <c r="F10" s="5">
        <v>0.63</v>
      </c>
      <c r="G10" s="5">
        <v>0</v>
      </c>
      <c r="H10" s="5">
        <v>0.63</v>
      </c>
      <c r="I10" s="5">
        <v>0.15</v>
      </c>
      <c r="J10" s="8">
        <v>46226</v>
      </c>
      <c r="K10" s="9">
        <f t="shared" si="0"/>
        <v>119</v>
      </c>
      <c r="Y10" s="8">
        <f t="shared" si="1"/>
        <v>46150</v>
      </c>
      <c r="Z10" s="5">
        <f t="shared" si="2"/>
        <v>0.79999999999999993</v>
      </c>
    </row>
    <row r="11" spans="1:27" x14ac:dyDescent="0.25">
      <c r="A11" s="12" t="s">
        <v>104</v>
      </c>
      <c r="B11" s="5">
        <v>55</v>
      </c>
      <c r="D11" s="8">
        <v>46138</v>
      </c>
      <c r="E11" s="5">
        <v>0</v>
      </c>
      <c r="F11" s="5">
        <v>0.7</v>
      </c>
      <c r="G11" s="5">
        <v>0</v>
      </c>
      <c r="H11" s="5">
        <v>0.7</v>
      </c>
      <c r="I11" s="5">
        <v>0.12</v>
      </c>
      <c r="J11" s="8">
        <v>46226</v>
      </c>
      <c r="K11" s="9">
        <f t="shared" si="0"/>
        <v>88</v>
      </c>
      <c r="Y11" s="8">
        <f t="shared" si="1"/>
        <v>46226</v>
      </c>
      <c r="Z11" s="5">
        <f t="shared" si="2"/>
        <v>0.78</v>
      </c>
    </row>
    <row r="12" spans="1:27" x14ac:dyDescent="0.25">
      <c r="A12" s="12" t="s">
        <v>87</v>
      </c>
      <c r="B12" s="19">
        <v>46564</v>
      </c>
      <c r="D12" s="8">
        <v>46168</v>
      </c>
      <c r="E12" s="5">
        <v>0</v>
      </c>
      <c r="F12" s="5">
        <v>0.67</v>
      </c>
      <c r="G12" s="5">
        <v>0</v>
      </c>
      <c r="H12" s="5">
        <v>0.67</v>
      </c>
      <c r="I12" s="5">
        <v>0.12</v>
      </c>
      <c r="J12" s="8">
        <v>46255</v>
      </c>
      <c r="K12" s="9">
        <f t="shared" si="0"/>
        <v>87</v>
      </c>
      <c r="Y12" s="8">
        <f t="shared" si="1"/>
        <v>46226</v>
      </c>
      <c r="Z12" s="5">
        <f t="shared" si="2"/>
        <v>0.82</v>
      </c>
    </row>
    <row r="13" spans="1:27" x14ac:dyDescent="0.25">
      <c r="A13" s="12" t="s">
        <v>90</v>
      </c>
      <c r="B13" s="9">
        <f ca="1">IF(B11&lt;&gt;N3,(TODAY()-B12)*-1,"")</f>
        <v>269</v>
      </c>
      <c r="D13" s="8">
        <v>46199</v>
      </c>
      <c r="E13" s="5">
        <v>0</v>
      </c>
      <c r="F13" s="5">
        <v>0.7</v>
      </c>
      <c r="G13" s="5">
        <v>0</v>
      </c>
      <c r="H13" s="5">
        <v>0.7</v>
      </c>
      <c r="I13" s="5">
        <v>0.11</v>
      </c>
      <c r="J13" s="8">
        <v>46281</v>
      </c>
      <c r="K13" s="9">
        <f t="shared" si="0"/>
        <v>82</v>
      </c>
      <c r="Y13" s="8">
        <f t="shared" si="1"/>
        <v>46255</v>
      </c>
      <c r="Z13" s="5">
        <f t="shared" si="2"/>
        <v>0.79</v>
      </c>
    </row>
    <row r="14" spans="1:27" x14ac:dyDescent="0.25">
      <c r="A14" s="12" t="s">
        <v>56</v>
      </c>
      <c r="B14" s="8"/>
      <c r="D14" s="8">
        <v>46229</v>
      </c>
      <c r="E14" s="5">
        <v>0</v>
      </c>
      <c r="F14" s="5">
        <v>0.67</v>
      </c>
      <c r="G14" s="5">
        <v>0</v>
      </c>
      <c r="H14" s="5">
        <v>0.67</v>
      </c>
      <c r="I14" s="3">
        <v>0.08</v>
      </c>
      <c r="J14" s="8">
        <v>46286</v>
      </c>
      <c r="K14" s="9">
        <f t="shared" si="0"/>
        <v>57</v>
      </c>
      <c r="Y14" s="8">
        <f t="shared" si="1"/>
        <v>46281</v>
      </c>
      <c r="Z14" s="5">
        <f t="shared" si="2"/>
        <v>0.80999999999999994</v>
      </c>
    </row>
    <row r="15" spans="1:27" x14ac:dyDescent="0.25">
      <c r="A15" s="12" t="s">
        <v>100</v>
      </c>
      <c r="B15" s="3" t="str">
        <f>IF(M3=N3,B14-B12,"")</f>
        <v/>
      </c>
      <c r="D15" s="8">
        <v>46260</v>
      </c>
      <c r="E15" s="5">
        <v>0</v>
      </c>
      <c r="F15" s="5">
        <v>0.7</v>
      </c>
      <c r="G15" s="5">
        <v>0</v>
      </c>
      <c r="H15" s="5">
        <v>0.7</v>
      </c>
      <c r="I15" s="3">
        <v>0.04</v>
      </c>
      <c r="J15" s="8">
        <v>46286</v>
      </c>
      <c r="K15" s="9">
        <f t="shared" si="0"/>
        <v>26</v>
      </c>
      <c r="Y15" s="8">
        <f t="shared" si="1"/>
        <v>46286</v>
      </c>
      <c r="Z15" s="5">
        <f t="shared" si="2"/>
        <v>0.75</v>
      </c>
    </row>
    <row r="16" spans="1:27" x14ac:dyDescent="0.25">
      <c r="D16" s="8">
        <v>46291</v>
      </c>
      <c r="E16" s="5">
        <v>0</v>
      </c>
      <c r="F16" s="5">
        <v>0.7</v>
      </c>
      <c r="G16" s="5">
        <v>0</v>
      </c>
      <c r="H16" s="5">
        <v>0.7</v>
      </c>
      <c r="I16" s="5">
        <v>0</v>
      </c>
      <c r="J16" s="8">
        <v>46286</v>
      </c>
      <c r="K16" s="9">
        <f t="shared" si="0"/>
        <v>-5</v>
      </c>
      <c r="Y16" s="8">
        <f t="shared" si="1"/>
        <v>46286</v>
      </c>
      <c r="Z16" s="5">
        <f t="shared" si="2"/>
        <v>0.74</v>
      </c>
    </row>
    <row r="17" spans="4:26" x14ac:dyDescent="0.25">
      <c r="D17" s="8">
        <v>46321</v>
      </c>
      <c r="E17" s="5">
        <v>0</v>
      </c>
      <c r="F17" s="5">
        <v>0.67</v>
      </c>
      <c r="G17" s="5"/>
      <c r="H17" s="5"/>
      <c r="I17" s="2"/>
      <c r="J17" s="8"/>
      <c r="K17" s="9" t="str">
        <f t="shared" si="0"/>
        <v/>
      </c>
      <c r="Y17" s="8">
        <f t="shared" si="1"/>
        <v>46286</v>
      </c>
      <c r="Z17" s="5">
        <f t="shared" si="2"/>
        <v>0.7</v>
      </c>
    </row>
    <row r="18" spans="4:26" x14ac:dyDescent="0.25">
      <c r="D18" s="8">
        <v>46352</v>
      </c>
      <c r="E18" s="5">
        <v>0</v>
      </c>
      <c r="F18" s="5">
        <v>0.7</v>
      </c>
      <c r="G18" s="5"/>
      <c r="H18" s="5"/>
      <c r="I18" s="2"/>
      <c r="J18" s="8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>
        <v>46382</v>
      </c>
      <c r="E19" s="5">
        <v>0</v>
      </c>
      <c r="F19" s="5">
        <v>0.67</v>
      </c>
      <c r="G19" s="5"/>
      <c r="H19" s="5"/>
      <c r="I19" s="2"/>
      <c r="J19" s="8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>
        <v>46413</v>
      </c>
      <c r="E20" s="5">
        <v>0</v>
      </c>
      <c r="F20" s="5">
        <v>0.7</v>
      </c>
      <c r="G20" s="5"/>
      <c r="H20" s="5"/>
      <c r="I20" s="2"/>
      <c r="J20" s="8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>
        <v>46444</v>
      </c>
      <c r="E21" s="5">
        <v>0</v>
      </c>
      <c r="F21" s="5">
        <v>0.7</v>
      </c>
      <c r="G21" s="5"/>
      <c r="H21" s="5"/>
      <c r="I21" s="2"/>
      <c r="J21" s="8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>
        <v>46472</v>
      </c>
      <c r="E22" s="5">
        <v>0</v>
      </c>
      <c r="F22" s="5">
        <v>0.63</v>
      </c>
      <c r="G22" s="5"/>
      <c r="H22" s="5"/>
      <c r="I22" s="2"/>
      <c r="J22" s="8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>
        <v>46503</v>
      </c>
      <c r="E23" s="5">
        <v>0</v>
      </c>
      <c r="F23" s="5">
        <v>0.7</v>
      </c>
      <c r="G23" s="5"/>
      <c r="H23" s="5"/>
      <c r="I23" s="2"/>
      <c r="J23" s="8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>
        <v>46533</v>
      </c>
      <c r="E24" s="5">
        <v>0</v>
      </c>
      <c r="F24" s="5">
        <v>0.67</v>
      </c>
      <c r="G24" s="5"/>
      <c r="H24" s="5"/>
      <c r="I24" s="2"/>
      <c r="J24" s="8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>
        <v>46564</v>
      </c>
      <c r="E25" s="5">
        <v>55</v>
      </c>
      <c r="F25" s="5">
        <v>0.71</v>
      </c>
      <c r="G25" s="5"/>
      <c r="H25" s="5"/>
      <c r="I25" s="2"/>
      <c r="J25" s="8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55</v>
      </c>
      <c r="F42" s="5">
        <f t="shared" ref="F42:I42" si="4">SUM(F2:F41)</f>
        <v>16.429999999999996</v>
      </c>
      <c r="G42" s="5">
        <f t="shared" si="4"/>
        <v>0</v>
      </c>
      <c r="H42" s="5">
        <f t="shared" si="4"/>
        <v>10.28</v>
      </c>
      <c r="I42" s="5">
        <f t="shared" si="4"/>
        <v>1.2300000000000002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44" priority="1">
      <formula>$M$3=$N$3</formula>
    </cfRule>
  </conditionalFormatting>
  <conditionalFormatting sqref="A1:B1">
    <cfRule type="expression" dxfId="43" priority="2">
      <formula>$AA$2="+"</formula>
    </cfRule>
  </conditionalFormatting>
  <conditionalFormatting sqref="B1">
    <cfRule type="expression" dxfId="42" priority="4">
      <formula>$M$3=$N$3</formula>
    </cfRule>
  </conditionalFormatting>
  <conditionalFormatting sqref="S3">
    <cfRule type="expression" dxfId="41" priority="6">
      <formula>$AA$2="+"</formula>
    </cfRule>
  </conditionalFormatting>
  <conditionalFormatting sqref="AA2">
    <cfRule type="expression" dxfId="4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36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31</v>
      </c>
      <c r="D2" s="8">
        <v>45838</v>
      </c>
      <c r="E2" s="5">
        <v>0</v>
      </c>
      <c r="F2" s="5">
        <v>0.55000000000000004</v>
      </c>
      <c r="G2" s="5">
        <v>0</v>
      </c>
      <c r="H2" s="5">
        <v>0.55000000000000004</v>
      </c>
      <c r="I2" s="5">
        <v>0</v>
      </c>
      <c r="J2" s="8">
        <v>45835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45797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45797</v>
      </c>
      <c r="D3" s="8">
        <v>45868</v>
      </c>
      <c r="E3" s="5">
        <v>0</v>
      </c>
      <c r="F3" s="5">
        <v>0.53</v>
      </c>
      <c r="G3" s="5">
        <v>0</v>
      </c>
      <c r="H3" s="3">
        <v>0.53</v>
      </c>
      <c r="I3" s="5">
        <v>0</v>
      </c>
      <c r="J3" s="8">
        <v>45866</v>
      </c>
      <c r="K3" s="9">
        <f t="shared" si="0"/>
        <v>-2</v>
      </c>
      <c r="M3" s="5">
        <f>B11</f>
        <v>50</v>
      </c>
      <c r="N3" s="5">
        <f>G42</f>
        <v>50</v>
      </c>
      <c r="O3" s="5">
        <f>F42</f>
        <v>6.42</v>
      </c>
      <c r="P3" s="5">
        <f>H42+I42</f>
        <v>6.6899999999999995</v>
      </c>
      <c r="Q3" s="15">
        <f>IF(M3=N3,XIRR(Z2:Z26,Y2:Y26),"")</f>
        <v>0.13828828930854803</v>
      </c>
      <c r="R3" s="8">
        <f>IF(M3=N3,B14,"")</f>
        <v>46171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45835</v>
      </c>
      <c r="Z3" s="5">
        <f>G2+H2+I2</f>
        <v>0.55000000000000004</v>
      </c>
    </row>
    <row r="4" spans="1:27" x14ac:dyDescent="0.25">
      <c r="A4" s="12" t="s">
        <v>10</v>
      </c>
      <c r="B4" s="8">
        <v>45807</v>
      </c>
      <c r="D4" s="8">
        <v>45899</v>
      </c>
      <c r="E4" s="5">
        <v>0</v>
      </c>
      <c r="F4" s="5">
        <v>0.55000000000000004</v>
      </c>
      <c r="G4" s="5">
        <v>0</v>
      </c>
      <c r="H4" s="3">
        <v>0.55000000000000004</v>
      </c>
      <c r="I4" s="5">
        <v>0</v>
      </c>
      <c r="J4" s="8">
        <v>45896</v>
      </c>
      <c r="K4" s="9">
        <f t="shared" si="0"/>
        <v>-3</v>
      </c>
      <c r="Y4" s="8">
        <f t="shared" ref="Y4:Y41" si="1">J3</f>
        <v>45866</v>
      </c>
      <c r="Z4" s="5">
        <f t="shared" ref="Z4:Z41" si="2">G3+H3+I3</f>
        <v>0.53</v>
      </c>
    </row>
    <row r="5" spans="1:27" x14ac:dyDescent="0.25">
      <c r="A5" s="12" t="s">
        <v>2</v>
      </c>
      <c r="B5" s="3" t="s">
        <v>14</v>
      </c>
      <c r="D5" s="8">
        <v>45930</v>
      </c>
      <c r="E5" s="5">
        <v>0</v>
      </c>
      <c r="F5" s="5">
        <v>0.55000000000000004</v>
      </c>
      <c r="G5" s="5">
        <v>0</v>
      </c>
      <c r="H5" s="3">
        <v>0.55000000000000004</v>
      </c>
      <c r="I5" s="5">
        <v>0</v>
      </c>
      <c r="J5" s="8">
        <v>45922</v>
      </c>
      <c r="K5" s="9">
        <f t="shared" si="0"/>
        <v>-8</v>
      </c>
      <c r="Y5" s="8">
        <f t="shared" si="1"/>
        <v>45896</v>
      </c>
      <c r="Z5" s="5">
        <f t="shared" si="2"/>
        <v>0.55000000000000004</v>
      </c>
    </row>
    <row r="6" spans="1:27" x14ac:dyDescent="0.25">
      <c r="A6" s="12" t="s">
        <v>11</v>
      </c>
      <c r="B6" s="4">
        <v>0.6</v>
      </c>
      <c r="D6" s="8">
        <v>45960</v>
      </c>
      <c r="E6" s="5">
        <v>0</v>
      </c>
      <c r="F6" s="5">
        <v>0.53</v>
      </c>
      <c r="G6" s="5">
        <v>0</v>
      </c>
      <c r="H6" s="3">
        <v>0.53</v>
      </c>
      <c r="I6" s="5">
        <v>0</v>
      </c>
      <c r="J6" s="8">
        <v>45945</v>
      </c>
      <c r="K6" s="9">
        <f t="shared" si="0"/>
        <v>-15</v>
      </c>
      <c r="Y6" s="8">
        <f t="shared" si="1"/>
        <v>45922</v>
      </c>
      <c r="Z6" s="5">
        <f t="shared" si="2"/>
        <v>0.55000000000000004</v>
      </c>
    </row>
    <row r="7" spans="1:27" x14ac:dyDescent="0.25">
      <c r="A7" s="12" t="s">
        <v>12</v>
      </c>
      <c r="B7" s="4" t="s">
        <v>24</v>
      </c>
      <c r="D7" s="8">
        <v>45991</v>
      </c>
      <c r="E7" s="5">
        <v>0</v>
      </c>
      <c r="F7" s="5">
        <v>0.55000000000000004</v>
      </c>
      <c r="G7" s="5">
        <v>0</v>
      </c>
      <c r="H7" s="3">
        <v>0.55000000000000004</v>
      </c>
      <c r="I7" s="5">
        <v>0</v>
      </c>
      <c r="J7" s="8">
        <v>45987</v>
      </c>
      <c r="K7" s="9">
        <f t="shared" si="0"/>
        <v>-4</v>
      </c>
      <c r="Y7" s="8">
        <f t="shared" si="1"/>
        <v>45945</v>
      </c>
      <c r="Z7" s="5">
        <f t="shared" si="2"/>
        <v>0.53</v>
      </c>
    </row>
    <row r="8" spans="1:27" x14ac:dyDescent="0.25">
      <c r="A8" s="12" t="s">
        <v>4</v>
      </c>
      <c r="B8" s="3">
        <v>12</v>
      </c>
      <c r="D8" s="8">
        <v>46021</v>
      </c>
      <c r="E8" s="5">
        <v>0</v>
      </c>
      <c r="F8" s="5">
        <v>0.53</v>
      </c>
      <c r="G8" s="5">
        <v>0</v>
      </c>
      <c r="H8" s="3">
        <v>0.53</v>
      </c>
      <c r="I8" s="5">
        <v>0</v>
      </c>
      <c r="J8" s="8">
        <v>46020</v>
      </c>
      <c r="K8" s="9">
        <f t="shared" si="0"/>
        <v>-1</v>
      </c>
      <c r="Y8" s="8">
        <f t="shared" si="1"/>
        <v>45987</v>
      </c>
      <c r="Z8" s="5">
        <f t="shared" si="2"/>
        <v>0.55000000000000004</v>
      </c>
    </row>
    <row r="9" spans="1:27" x14ac:dyDescent="0.25">
      <c r="A9" s="12" t="s">
        <v>5</v>
      </c>
      <c r="B9" s="3" t="s">
        <v>15</v>
      </c>
      <c r="D9" s="8">
        <v>46052</v>
      </c>
      <c r="E9" s="5">
        <v>0</v>
      </c>
      <c r="F9" s="5">
        <v>0.55000000000000004</v>
      </c>
      <c r="G9" s="5">
        <v>0</v>
      </c>
      <c r="H9" s="5">
        <v>0.55000000000000004</v>
      </c>
      <c r="I9" s="5">
        <v>0</v>
      </c>
      <c r="J9" s="8">
        <v>46052</v>
      </c>
      <c r="K9" s="9">
        <f t="shared" si="0"/>
        <v>0</v>
      </c>
      <c r="Y9" s="8">
        <f t="shared" si="1"/>
        <v>46020</v>
      </c>
      <c r="Z9" s="5">
        <f t="shared" si="2"/>
        <v>0.53</v>
      </c>
    </row>
    <row r="10" spans="1:27" x14ac:dyDescent="0.25">
      <c r="A10" s="12" t="s">
        <v>7</v>
      </c>
      <c r="B10" s="14">
        <v>0.13</v>
      </c>
      <c r="D10" s="8">
        <v>46083</v>
      </c>
      <c r="E10" s="5">
        <v>0</v>
      </c>
      <c r="F10" s="5">
        <v>0.55000000000000004</v>
      </c>
      <c r="G10" s="5">
        <v>0</v>
      </c>
      <c r="H10" s="5">
        <v>0.55000000000000004</v>
      </c>
      <c r="I10" s="5">
        <v>0</v>
      </c>
      <c r="J10" s="8">
        <v>46080</v>
      </c>
      <c r="K10" s="9">
        <f t="shared" si="0"/>
        <v>-3</v>
      </c>
      <c r="Y10" s="8">
        <f t="shared" si="1"/>
        <v>46052</v>
      </c>
      <c r="Z10" s="5">
        <f t="shared" si="2"/>
        <v>0.55000000000000004</v>
      </c>
    </row>
    <row r="11" spans="1:27" x14ac:dyDescent="0.25">
      <c r="A11" s="12" t="s">
        <v>104</v>
      </c>
      <c r="B11" s="5">
        <v>50</v>
      </c>
      <c r="D11" s="8">
        <v>46114</v>
      </c>
      <c r="E11" s="5">
        <v>0</v>
      </c>
      <c r="F11" s="5">
        <v>0.55000000000000004</v>
      </c>
      <c r="G11" s="5">
        <v>0</v>
      </c>
      <c r="H11" s="5">
        <v>0.55000000000000004</v>
      </c>
      <c r="I11" s="5">
        <v>0</v>
      </c>
      <c r="J11" s="8">
        <v>46112</v>
      </c>
      <c r="K11" s="9">
        <f t="shared" si="0"/>
        <v>-2</v>
      </c>
      <c r="Y11" s="8">
        <f t="shared" si="1"/>
        <v>46080</v>
      </c>
      <c r="Z11" s="5">
        <f t="shared" si="2"/>
        <v>0.55000000000000004</v>
      </c>
    </row>
    <row r="12" spans="1:27" x14ac:dyDescent="0.25">
      <c r="A12" s="12" t="s">
        <v>87</v>
      </c>
      <c r="B12" s="19">
        <v>46168</v>
      </c>
      <c r="D12" s="8">
        <v>46144</v>
      </c>
      <c r="E12" s="5">
        <v>0</v>
      </c>
      <c r="F12" s="5">
        <v>0.53</v>
      </c>
      <c r="G12" s="5">
        <v>0</v>
      </c>
      <c r="H12" s="5">
        <v>0.53</v>
      </c>
      <c r="I12" s="5">
        <v>0</v>
      </c>
      <c r="J12" s="8">
        <v>46144</v>
      </c>
      <c r="K12" s="9">
        <f t="shared" si="0"/>
        <v>0</v>
      </c>
      <c r="Y12" s="8">
        <f t="shared" si="1"/>
        <v>46112</v>
      </c>
      <c r="Z12" s="5">
        <f t="shared" si="2"/>
        <v>0.55000000000000004</v>
      </c>
    </row>
    <row r="13" spans="1:27" x14ac:dyDescent="0.25">
      <c r="A13" s="12" t="s">
        <v>90</v>
      </c>
      <c r="B13" s="9" t="str">
        <f ca="1">IF(B11&lt;&gt;N3,(TODAY()-B12)*-1,"")</f>
        <v/>
      </c>
      <c r="D13" s="8">
        <v>46168</v>
      </c>
      <c r="E13" s="5">
        <v>50</v>
      </c>
      <c r="F13" s="5">
        <v>0.45</v>
      </c>
      <c r="G13" s="5">
        <v>50</v>
      </c>
      <c r="H13" s="5">
        <v>0.42</v>
      </c>
      <c r="I13" s="5">
        <v>0.3</v>
      </c>
      <c r="J13" s="8">
        <v>46171</v>
      </c>
      <c r="K13" s="9">
        <f t="shared" si="0"/>
        <v>3</v>
      </c>
      <c r="Y13" s="8">
        <f t="shared" si="1"/>
        <v>46144</v>
      </c>
      <c r="Z13" s="5">
        <f t="shared" si="2"/>
        <v>0.53</v>
      </c>
    </row>
    <row r="14" spans="1:27" x14ac:dyDescent="0.25">
      <c r="A14" s="12" t="s">
        <v>56</v>
      </c>
      <c r="B14" s="8">
        <v>46171</v>
      </c>
      <c r="D14" s="8"/>
      <c r="E14" s="5"/>
      <c r="F14" s="5"/>
      <c r="G14" s="5"/>
      <c r="H14" s="3"/>
      <c r="I14" s="2"/>
      <c r="J14" s="3"/>
      <c r="K14" s="9" t="str">
        <f t="shared" si="0"/>
        <v/>
      </c>
      <c r="Y14" s="8">
        <f t="shared" si="1"/>
        <v>46171</v>
      </c>
      <c r="Z14" s="5">
        <f t="shared" si="2"/>
        <v>50.72</v>
      </c>
    </row>
    <row r="15" spans="1:27" x14ac:dyDescent="0.25">
      <c r="A15" s="12" t="s">
        <v>100</v>
      </c>
      <c r="B15" s="3">
        <f>IF(M3=N3,B14-B12,"")</f>
        <v>3</v>
      </c>
      <c r="D15" s="8"/>
      <c r="E15" s="5"/>
      <c r="F15" s="5"/>
      <c r="G15" s="5"/>
      <c r="H15" s="3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3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3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3"/>
      <c r="G18" s="5"/>
      <c r="H18" s="3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3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3"/>
      <c r="G20" s="5"/>
      <c r="H20" s="3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4">SUM(F2:F41)</f>
        <v>6.42</v>
      </c>
      <c r="G42" s="5">
        <f t="shared" si="4"/>
        <v>50</v>
      </c>
      <c r="H42" s="5">
        <f t="shared" si="4"/>
        <v>6.39</v>
      </c>
      <c r="I42" s="5">
        <f t="shared" si="4"/>
        <v>0.3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phoneticPr fontId="2" type="noConversion"/>
  <conditionalFormatting sqref="A1">
    <cfRule type="expression" dxfId="39" priority="1">
      <formula>$M$3=$N$3</formula>
    </cfRule>
  </conditionalFormatting>
  <conditionalFormatting sqref="A1:B1">
    <cfRule type="expression" dxfId="38" priority="2">
      <formula>$AA$2="+"</formula>
    </cfRule>
  </conditionalFormatting>
  <conditionalFormatting sqref="B1">
    <cfRule type="expression" dxfId="37" priority="4">
      <formula>$M$3=$N$3</formula>
    </cfRule>
  </conditionalFormatting>
  <conditionalFormatting sqref="S3">
    <cfRule type="expression" dxfId="36" priority="6">
      <formula>$AA$2="+"</formula>
    </cfRule>
  </conditionalFormatting>
  <conditionalFormatting sqref="AA2">
    <cfRule type="expression" dxfId="3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29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30</v>
      </c>
      <c r="D2" s="8">
        <v>45813</v>
      </c>
      <c r="E2" s="5">
        <v>0</v>
      </c>
      <c r="F2" s="5">
        <v>0.51</v>
      </c>
      <c r="G2" s="5">
        <v>0</v>
      </c>
      <c r="H2" s="5">
        <v>0.51</v>
      </c>
      <c r="I2" s="5">
        <v>0</v>
      </c>
      <c r="J2" s="8">
        <v>45817</v>
      </c>
      <c r="K2" s="9">
        <f t="shared" ref="K2:K26" si="0">IF(J2&gt;0,J2-D2,"")</f>
        <v>4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45779</v>
      </c>
      <c r="Z2" s="5">
        <f>B11*-1</f>
        <v>-51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45779</v>
      </c>
      <c r="D3" s="8">
        <v>45843</v>
      </c>
      <c r="E3" s="5">
        <v>0</v>
      </c>
      <c r="F3" s="5">
        <v>0.5</v>
      </c>
      <c r="G3" s="5">
        <v>0</v>
      </c>
      <c r="H3" s="5">
        <v>0.5</v>
      </c>
      <c r="I3" s="5">
        <v>0</v>
      </c>
      <c r="J3" s="8">
        <v>45840</v>
      </c>
      <c r="K3" s="9">
        <f t="shared" si="0"/>
        <v>-3</v>
      </c>
      <c r="M3" s="5">
        <f>B11</f>
        <v>51</v>
      </c>
      <c r="N3" s="5">
        <f>G42</f>
        <v>51</v>
      </c>
      <c r="O3" s="5">
        <f>F42</f>
        <v>3.37</v>
      </c>
      <c r="P3" s="5">
        <f>H42+I42</f>
        <v>3.77</v>
      </c>
      <c r="Q3" s="15">
        <f>IF(M3=N3,XIRR(Z2:Z26,Y2:Y26),"")</f>
        <v>0.12293871045112609</v>
      </c>
      <c r="R3" s="8">
        <f>IF(M3=N3,B14,"")</f>
        <v>46010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45817</v>
      </c>
      <c r="Z3" s="5">
        <f>G2+H2+I2</f>
        <v>0.51</v>
      </c>
    </row>
    <row r="4" spans="1:27" x14ac:dyDescent="0.25">
      <c r="A4" s="12" t="s">
        <v>10</v>
      </c>
      <c r="B4" s="8">
        <v>45782</v>
      </c>
      <c r="D4" s="8">
        <v>45874</v>
      </c>
      <c r="E4" s="5">
        <v>0</v>
      </c>
      <c r="F4" s="5">
        <v>0.51</v>
      </c>
      <c r="G4" s="5">
        <v>0</v>
      </c>
      <c r="H4" s="3">
        <v>0.51</v>
      </c>
      <c r="I4" s="5">
        <v>0</v>
      </c>
      <c r="J4" s="8">
        <v>45872</v>
      </c>
      <c r="K4" s="9">
        <f t="shared" si="0"/>
        <v>-2</v>
      </c>
      <c r="Y4" s="8">
        <f t="shared" ref="Y4:Y41" si="1">J3</f>
        <v>45840</v>
      </c>
      <c r="Z4" s="5">
        <f t="shared" ref="Z4:Z41" si="2">G3+H3+I3</f>
        <v>0.5</v>
      </c>
    </row>
    <row r="5" spans="1:27" x14ac:dyDescent="0.25">
      <c r="A5" s="12" t="s">
        <v>2</v>
      </c>
      <c r="B5" s="3" t="s">
        <v>14</v>
      </c>
      <c r="D5" s="8">
        <v>45905</v>
      </c>
      <c r="E5" s="5">
        <v>0</v>
      </c>
      <c r="F5" s="5">
        <v>0.51</v>
      </c>
      <c r="G5" s="5">
        <v>0</v>
      </c>
      <c r="H5" s="3">
        <v>0.51</v>
      </c>
      <c r="I5" s="5">
        <v>0</v>
      </c>
      <c r="J5" s="8">
        <v>45902</v>
      </c>
      <c r="K5" s="9">
        <f t="shared" si="0"/>
        <v>-3</v>
      </c>
      <c r="Y5" s="8">
        <f t="shared" si="1"/>
        <v>45872</v>
      </c>
      <c r="Z5" s="5">
        <f t="shared" si="2"/>
        <v>0.51</v>
      </c>
    </row>
    <row r="6" spans="1:27" x14ac:dyDescent="0.25">
      <c r="A6" s="12" t="s">
        <v>11</v>
      </c>
      <c r="B6" s="4">
        <v>0.6</v>
      </c>
      <c r="D6" s="8">
        <v>45935</v>
      </c>
      <c r="E6" s="5">
        <v>0</v>
      </c>
      <c r="F6" s="5">
        <v>0.5</v>
      </c>
      <c r="G6" s="5">
        <v>0</v>
      </c>
      <c r="H6" s="5">
        <v>0.5</v>
      </c>
      <c r="I6" s="5">
        <v>0</v>
      </c>
      <c r="J6" s="8">
        <v>45932</v>
      </c>
      <c r="K6" s="9">
        <f t="shared" si="0"/>
        <v>-3</v>
      </c>
      <c r="Y6" s="8">
        <f t="shared" si="1"/>
        <v>45902</v>
      </c>
      <c r="Z6" s="5">
        <f t="shared" si="2"/>
        <v>0.51</v>
      </c>
    </row>
    <row r="7" spans="1:27" x14ac:dyDescent="0.25">
      <c r="A7" s="12" t="s">
        <v>12</v>
      </c>
      <c r="B7" s="4" t="s">
        <v>24</v>
      </c>
      <c r="D7" s="8">
        <v>45966</v>
      </c>
      <c r="E7" s="5">
        <v>0</v>
      </c>
      <c r="F7" s="5">
        <v>0.51</v>
      </c>
      <c r="G7" s="5">
        <v>0</v>
      </c>
      <c r="H7" s="3">
        <v>0.51</v>
      </c>
      <c r="I7" s="5">
        <v>0</v>
      </c>
      <c r="J7" s="8">
        <v>46010</v>
      </c>
      <c r="K7" s="9">
        <f t="shared" si="0"/>
        <v>44</v>
      </c>
      <c r="Y7" s="8">
        <f t="shared" si="1"/>
        <v>45932</v>
      </c>
      <c r="Z7" s="5">
        <f t="shared" si="2"/>
        <v>0.5</v>
      </c>
    </row>
    <row r="8" spans="1:27" x14ac:dyDescent="0.25">
      <c r="A8" s="12" t="s">
        <v>4</v>
      </c>
      <c r="B8" s="3">
        <v>7</v>
      </c>
      <c r="D8" s="8">
        <v>45983</v>
      </c>
      <c r="E8" s="5">
        <v>51</v>
      </c>
      <c r="F8" s="5">
        <v>0.33</v>
      </c>
      <c r="G8" s="5">
        <v>51</v>
      </c>
      <c r="H8" s="3">
        <v>0.33</v>
      </c>
      <c r="I8" s="5">
        <v>0.4</v>
      </c>
      <c r="J8" s="8">
        <v>46010</v>
      </c>
      <c r="K8" s="9">
        <f t="shared" si="0"/>
        <v>27</v>
      </c>
      <c r="Y8" s="8">
        <f t="shared" si="1"/>
        <v>46010</v>
      </c>
      <c r="Z8" s="5">
        <f t="shared" si="2"/>
        <v>0.51</v>
      </c>
    </row>
    <row r="9" spans="1:27" x14ac:dyDescent="0.25">
      <c r="A9" s="12" t="s">
        <v>5</v>
      </c>
      <c r="B9" s="3" t="s">
        <v>15</v>
      </c>
      <c r="D9" s="8"/>
      <c r="E9" s="5"/>
      <c r="F9" s="5"/>
      <c r="G9" s="5"/>
      <c r="H9" s="3"/>
      <c r="I9" s="5"/>
      <c r="J9" s="8"/>
      <c r="K9" s="9" t="str">
        <f t="shared" si="0"/>
        <v/>
      </c>
      <c r="Y9" s="8">
        <f t="shared" si="1"/>
        <v>46010</v>
      </c>
      <c r="Z9" s="5">
        <f t="shared" si="2"/>
        <v>51.73</v>
      </c>
    </row>
    <row r="10" spans="1:27" x14ac:dyDescent="0.25">
      <c r="A10" s="12" t="s">
        <v>7</v>
      </c>
      <c r="B10" s="14">
        <v>0.12</v>
      </c>
      <c r="D10" s="8"/>
      <c r="E10" s="5"/>
      <c r="F10" s="5"/>
      <c r="G10" s="5"/>
      <c r="H10" s="3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51</v>
      </c>
      <c r="D11" s="8"/>
      <c r="E11" s="5"/>
      <c r="F11" s="5"/>
      <c r="G11" s="5"/>
      <c r="H11" s="3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45983</v>
      </c>
      <c r="D12" s="8"/>
      <c r="E12" s="5"/>
      <c r="F12" s="5"/>
      <c r="G12" s="5"/>
      <c r="H12" s="3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 t="str">
        <f ca="1">IF(B11&lt;&gt;N3,(TODAY()-B12)*-1,"")</f>
        <v/>
      </c>
      <c r="D13" s="8"/>
      <c r="E13" s="5"/>
      <c r="F13" s="5"/>
      <c r="G13" s="5"/>
      <c r="H13" s="3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>
        <v>46010</v>
      </c>
      <c r="D14" s="8"/>
      <c r="E14" s="5"/>
      <c r="F14" s="5"/>
      <c r="G14" s="5"/>
      <c r="H14" s="3"/>
      <c r="I14" s="2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>
        <f>IF(M3=N3,B14-B12,"")</f>
        <v>27</v>
      </c>
      <c r="D15" s="8"/>
      <c r="E15" s="5"/>
      <c r="F15" s="5"/>
      <c r="G15" s="5"/>
      <c r="H15" s="3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3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3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3"/>
      <c r="G18" s="5"/>
      <c r="H18" s="3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3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3"/>
      <c r="G20" s="5"/>
      <c r="H20" s="3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51</v>
      </c>
      <c r="F42" s="5">
        <f t="shared" ref="F42:I42" si="4">SUM(F2:F41)</f>
        <v>3.37</v>
      </c>
      <c r="G42" s="5">
        <f t="shared" si="4"/>
        <v>51</v>
      </c>
      <c r="H42" s="5">
        <f t="shared" si="4"/>
        <v>3.37</v>
      </c>
      <c r="I42" s="5">
        <f t="shared" si="4"/>
        <v>0.4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34" priority="1">
      <formula>$M$3=$N$3</formula>
    </cfRule>
  </conditionalFormatting>
  <conditionalFormatting sqref="A1:B1">
    <cfRule type="expression" dxfId="33" priority="2">
      <formula>$AA$2="+"</formula>
    </cfRule>
  </conditionalFormatting>
  <conditionalFormatting sqref="B1">
    <cfRule type="expression" dxfId="32" priority="4">
      <formula>$M$3=$N$3</formula>
    </cfRule>
  </conditionalFormatting>
  <conditionalFormatting sqref="S3">
    <cfRule type="expression" dxfId="31" priority="6">
      <formula>$AA$2="+"</formula>
    </cfRule>
  </conditionalFormatting>
  <conditionalFormatting sqref="AA2">
    <cfRule type="expression" dxfId="30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27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28</v>
      </c>
      <c r="D2" s="8">
        <v>45807</v>
      </c>
      <c r="E2" s="5">
        <v>0</v>
      </c>
      <c r="F2" s="5">
        <v>0.53</v>
      </c>
      <c r="G2" s="5">
        <v>0</v>
      </c>
      <c r="H2" s="5">
        <v>0.53</v>
      </c>
      <c r="I2" s="5">
        <v>0</v>
      </c>
      <c r="J2" s="8">
        <v>45804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45773</v>
      </c>
      <c r="Z2" s="5">
        <f>B11*-1</f>
        <v>-54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45773</v>
      </c>
      <c r="D3" s="8">
        <v>45838</v>
      </c>
      <c r="E3" s="5">
        <v>0</v>
      </c>
      <c r="F3" s="5">
        <v>0.55000000000000004</v>
      </c>
      <c r="G3" s="5">
        <v>0</v>
      </c>
      <c r="H3" s="3">
        <v>0.55000000000000004</v>
      </c>
      <c r="I3" s="5">
        <v>0</v>
      </c>
      <c r="J3" s="8">
        <v>45817</v>
      </c>
      <c r="K3" s="9">
        <f t="shared" si="0"/>
        <v>-21</v>
      </c>
      <c r="M3" s="5">
        <f>B11</f>
        <v>54</v>
      </c>
      <c r="N3" s="5">
        <f>G42</f>
        <v>54</v>
      </c>
      <c r="O3" s="5">
        <f>F42</f>
        <v>6.39</v>
      </c>
      <c r="P3" s="5">
        <f>H42+I42</f>
        <v>6.09</v>
      </c>
      <c r="Q3" s="15">
        <f>IF(M3=N3,XIRR(Z2:Z26,Y2:Y26),"")</f>
        <v>0.12616831660270689</v>
      </c>
      <c r="R3" s="8">
        <f>IF(M3=N3,B14,"")</f>
        <v>46125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45804</v>
      </c>
      <c r="Z3" s="5">
        <f>G2+H2+I2</f>
        <v>0.53</v>
      </c>
    </row>
    <row r="4" spans="1:27" x14ac:dyDescent="0.25">
      <c r="A4" s="12" t="s">
        <v>10</v>
      </c>
      <c r="B4" s="8">
        <v>45777</v>
      </c>
      <c r="D4" s="8">
        <v>45868</v>
      </c>
      <c r="E4" s="5">
        <v>0</v>
      </c>
      <c r="F4" s="5">
        <v>0.53</v>
      </c>
      <c r="G4" s="5">
        <v>0</v>
      </c>
      <c r="H4" s="3">
        <v>0.53</v>
      </c>
      <c r="I4" s="5">
        <v>0</v>
      </c>
      <c r="J4" s="8">
        <v>45860</v>
      </c>
      <c r="K4" s="9">
        <f t="shared" si="0"/>
        <v>-8</v>
      </c>
      <c r="Y4" s="8">
        <f t="shared" ref="Y4:Y41" si="1">J3</f>
        <v>45817</v>
      </c>
      <c r="Z4" s="5">
        <f t="shared" ref="Z4:Z41" si="2">G3+H3+I3</f>
        <v>0.55000000000000004</v>
      </c>
    </row>
    <row r="5" spans="1:27" x14ac:dyDescent="0.25">
      <c r="A5" s="12" t="s">
        <v>2</v>
      </c>
      <c r="B5" s="3" t="s">
        <v>14</v>
      </c>
      <c r="D5" s="8">
        <v>45899</v>
      </c>
      <c r="E5" s="5">
        <v>0</v>
      </c>
      <c r="F5" s="5">
        <v>0.55000000000000004</v>
      </c>
      <c r="G5" s="5">
        <v>0</v>
      </c>
      <c r="H5" s="3">
        <v>0.55000000000000004</v>
      </c>
      <c r="I5" s="5">
        <v>0</v>
      </c>
      <c r="J5" s="8">
        <v>45891</v>
      </c>
      <c r="K5" s="9">
        <f t="shared" si="0"/>
        <v>-8</v>
      </c>
      <c r="Y5" s="8">
        <f t="shared" si="1"/>
        <v>45860</v>
      </c>
      <c r="Z5" s="5">
        <f t="shared" si="2"/>
        <v>0.53</v>
      </c>
    </row>
    <row r="6" spans="1:27" x14ac:dyDescent="0.25">
      <c r="A6" s="12" t="s">
        <v>11</v>
      </c>
      <c r="B6" s="4">
        <v>0.51</v>
      </c>
      <c r="D6" s="8">
        <v>45930</v>
      </c>
      <c r="E6" s="5">
        <v>0</v>
      </c>
      <c r="F6" s="5">
        <v>0.55000000000000004</v>
      </c>
      <c r="G6" s="5">
        <v>0</v>
      </c>
      <c r="H6" s="3">
        <v>0.55000000000000004</v>
      </c>
      <c r="I6" s="5">
        <v>0</v>
      </c>
      <c r="J6" s="8">
        <v>45924</v>
      </c>
      <c r="K6" s="9">
        <f t="shared" si="0"/>
        <v>-6</v>
      </c>
      <c r="Y6" s="8">
        <f t="shared" si="1"/>
        <v>45891</v>
      </c>
      <c r="Z6" s="5">
        <f t="shared" si="2"/>
        <v>0.55000000000000004</v>
      </c>
    </row>
    <row r="7" spans="1:27" x14ac:dyDescent="0.25">
      <c r="A7" s="12" t="s">
        <v>12</v>
      </c>
      <c r="B7" s="4" t="s">
        <v>24</v>
      </c>
      <c r="D7" s="8">
        <v>45960</v>
      </c>
      <c r="E7" s="5">
        <v>0</v>
      </c>
      <c r="F7" s="5">
        <v>0.53</v>
      </c>
      <c r="G7" s="5">
        <v>0</v>
      </c>
      <c r="H7" s="3">
        <v>0.53</v>
      </c>
      <c r="I7" s="5">
        <v>0</v>
      </c>
      <c r="J7" s="8">
        <v>45953</v>
      </c>
      <c r="K7" s="9">
        <f t="shared" si="0"/>
        <v>-7</v>
      </c>
      <c r="Y7" s="8">
        <f t="shared" si="1"/>
        <v>45924</v>
      </c>
      <c r="Z7" s="5">
        <f t="shared" si="2"/>
        <v>0.55000000000000004</v>
      </c>
    </row>
    <row r="8" spans="1:27" x14ac:dyDescent="0.25">
      <c r="A8" s="12" t="s">
        <v>4</v>
      </c>
      <c r="B8" s="3">
        <v>12</v>
      </c>
      <c r="D8" s="8">
        <v>45991</v>
      </c>
      <c r="E8" s="5">
        <v>0</v>
      </c>
      <c r="F8" s="5">
        <v>0.55000000000000004</v>
      </c>
      <c r="G8" s="5">
        <v>0</v>
      </c>
      <c r="H8" s="3">
        <v>0.55000000000000004</v>
      </c>
      <c r="I8" s="5">
        <v>0</v>
      </c>
      <c r="J8" s="8">
        <v>45985</v>
      </c>
      <c r="K8" s="9">
        <f t="shared" si="0"/>
        <v>-6</v>
      </c>
      <c r="Y8" s="8">
        <f t="shared" si="1"/>
        <v>45953</v>
      </c>
      <c r="Z8" s="5">
        <f t="shared" si="2"/>
        <v>0.53</v>
      </c>
    </row>
    <row r="9" spans="1:27" x14ac:dyDescent="0.25">
      <c r="A9" s="12" t="s">
        <v>5</v>
      </c>
      <c r="B9" s="3" t="s">
        <v>15</v>
      </c>
      <c r="D9" s="8">
        <v>46021</v>
      </c>
      <c r="E9" s="5">
        <v>0</v>
      </c>
      <c r="F9" s="5">
        <v>0.53</v>
      </c>
      <c r="G9" s="5">
        <v>0</v>
      </c>
      <c r="H9" s="3">
        <v>0.53</v>
      </c>
      <c r="I9" s="5">
        <v>0</v>
      </c>
      <c r="J9" s="8">
        <v>46013</v>
      </c>
      <c r="K9" s="9">
        <f t="shared" si="0"/>
        <v>-8</v>
      </c>
      <c r="Y9" s="8">
        <f t="shared" si="1"/>
        <v>45985</v>
      </c>
      <c r="Z9" s="5">
        <f t="shared" si="2"/>
        <v>0.55000000000000004</v>
      </c>
    </row>
    <row r="10" spans="1:27" x14ac:dyDescent="0.25">
      <c r="A10" s="12" t="s">
        <v>7</v>
      </c>
      <c r="B10" s="14">
        <v>0.12</v>
      </c>
      <c r="D10" s="8">
        <v>46052</v>
      </c>
      <c r="E10" s="5">
        <v>0</v>
      </c>
      <c r="F10" s="5">
        <v>0.55000000000000004</v>
      </c>
      <c r="G10" s="5">
        <v>0</v>
      </c>
      <c r="H10" s="3">
        <v>0.55000000000000004</v>
      </c>
      <c r="I10" s="5">
        <v>0</v>
      </c>
      <c r="J10" s="8">
        <v>46041</v>
      </c>
      <c r="K10" s="9">
        <f t="shared" si="0"/>
        <v>-11</v>
      </c>
      <c r="Y10" s="8">
        <f t="shared" si="1"/>
        <v>46013</v>
      </c>
      <c r="Z10" s="5">
        <f t="shared" si="2"/>
        <v>0.53</v>
      </c>
    </row>
    <row r="11" spans="1:27" x14ac:dyDescent="0.25">
      <c r="A11" s="12" t="s">
        <v>104</v>
      </c>
      <c r="B11" s="5">
        <v>54</v>
      </c>
      <c r="D11" s="8">
        <v>46083</v>
      </c>
      <c r="E11" s="5">
        <v>0</v>
      </c>
      <c r="F11" s="5">
        <v>0.55000000000000004</v>
      </c>
      <c r="G11" s="5">
        <v>0</v>
      </c>
      <c r="H11" s="3">
        <v>0.55000000000000004</v>
      </c>
      <c r="I11" s="5">
        <v>0</v>
      </c>
      <c r="J11" s="8">
        <v>46079</v>
      </c>
      <c r="K11" s="9">
        <f t="shared" si="0"/>
        <v>-4</v>
      </c>
      <c r="Y11" s="8">
        <f t="shared" si="1"/>
        <v>46041</v>
      </c>
      <c r="Z11" s="5">
        <f t="shared" si="2"/>
        <v>0.55000000000000004</v>
      </c>
    </row>
    <row r="12" spans="1:27" x14ac:dyDescent="0.25">
      <c r="A12" s="12" t="s">
        <v>87</v>
      </c>
      <c r="B12" s="19">
        <v>46137</v>
      </c>
      <c r="D12" s="8">
        <v>46114</v>
      </c>
      <c r="E12" s="5">
        <v>0</v>
      </c>
      <c r="F12" s="5">
        <v>0.55000000000000004</v>
      </c>
      <c r="G12" s="5">
        <v>0</v>
      </c>
      <c r="H12" s="3">
        <v>0.55000000000000004</v>
      </c>
      <c r="I12" s="5">
        <v>0</v>
      </c>
      <c r="J12" s="8">
        <v>46104</v>
      </c>
      <c r="K12" s="9">
        <f t="shared" si="0"/>
        <v>-10</v>
      </c>
      <c r="Y12" s="8">
        <f t="shared" si="1"/>
        <v>46079</v>
      </c>
      <c r="Z12" s="5">
        <f t="shared" si="2"/>
        <v>0.55000000000000004</v>
      </c>
    </row>
    <row r="13" spans="1:27" x14ac:dyDescent="0.25">
      <c r="A13" s="12" t="s">
        <v>90</v>
      </c>
      <c r="B13" s="9" t="str">
        <f ca="1">IF(B11&lt;&gt;N3,(TODAY()-B12)*-1,"")</f>
        <v/>
      </c>
      <c r="D13" s="8">
        <v>46107</v>
      </c>
      <c r="E13" s="5">
        <v>0</v>
      </c>
      <c r="F13" s="5">
        <v>0</v>
      </c>
      <c r="G13" s="5">
        <v>20.12</v>
      </c>
      <c r="H13" s="5">
        <v>0</v>
      </c>
      <c r="I13" s="5">
        <v>0</v>
      </c>
      <c r="J13" s="8">
        <v>46107</v>
      </c>
      <c r="K13" s="9">
        <f t="shared" si="0"/>
        <v>0</v>
      </c>
      <c r="Y13" s="8">
        <f t="shared" si="1"/>
        <v>46104</v>
      </c>
      <c r="Z13" s="5">
        <f t="shared" si="2"/>
        <v>0.55000000000000004</v>
      </c>
    </row>
    <row r="14" spans="1:27" x14ac:dyDescent="0.25">
      <c r="A14" s="12" t="s">
        <v>56</v>
      </c>
      <c r="B14" s="8">
        <v>46125</v>
      </c>
      <c r="D14" s="8">
        <v>46137</v>
      </c>
      <c r="E14" s="5">
        <v>54</v>
      </c>
      <c r="F14" s="5">
        <v>0.42</v>
      </c>
      <c r="G14" s="5">
        <v>33.880000000000003</v>
      </c>
      <c r="H14" s="3">
        <v>0.12</v>
      </c>
      <c r="I14" s="5">
        <v>0</v>
      </c>
      <c r="J14" s="8">
        <v>46125</v>
      </c>
      <c r="K14" s="9">
        <f t="shared" si="0"/>
        <v>-12</v>
      </c>
      <c r="Y14" s="8">
        <f t="shared" si="1"/>
        <v>46107</v>
      </c>
      <c r="Z14" s="5">
        <f t="shared" si="2"/>
        <v>20.12</v>
      </c>
    </row>
    <row r="15" spans="1:27" x14ac:dyDescent="0.25">
      <c r="A15" s="12" t="s">
        <v>100</v>
      </c>
      <c r="B15" s="3">
        <f>IF(M3=N3,B14-B12,"")</f>
        <v>-12</v>
      </c>
      <c r="D15" s="8"/>
      <c r="E15" s="5"/>
      <c r="F15" s="5"/>
      <c r="G15" s="5"/>
      <c r="H15" s="3"/>
      <c r="I15" s="2"/>
      <c r="J15" s="3"/>
      <c r="K15" s="9" t="str">
        <f t="shared" si="0"/>
        <v/>
      </c>
      <c r="Y15" s="8">
        <f t="shared" si="1"/>
        <v>46125</v>
      </c>
      <c r="Z15" s="5">
        <f t="shared" si="2"/>
        <v>34</v>
      </c>
    </row>
    <row r="16" spans="1:27" x14ac:dyDescent="0.25">
      <c r="D16" s="8"/>
      <c r="E16" s="5"/>
      <c r="F16" s="5"/>
      <c r="G16" s="5"/>
      <c r="H16" s="3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3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3"/>
      <c r="G18" s="5"/>
      <c r="H18" s="3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3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3"/>
      <c r="G20" s="5"/>
      <c r="H20" s="3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54</v>
      </c>
      <c r="F42" s="5">
        <f t="shared" ref="F42:I42" si="4">SUM(F2:F41)</f>
        <v>6.39</v>
      </c>
      <c r="G42" s="5">
        <f t="shared" si="4"/>
        <v>54</v>
      </c>
      <c r="H42" s="5">
        <f t="shared" si="4"/>
        <v>6.09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29" priority="1">
      <formula>$M$3=$N$3</formula>
    </cfRule>
  </conditionalFormatting>
  <conditionalFormatting sqref="A1:B1">
    <cfRule type="expression" dxfId="28" priority="2">
      <formula>$AA$2="+"</formula>
    </cfRule>
  </conditionalFormatting>
  <conditionalFormatting sqref="B1">
    <cfRule type="expression" dxfId="27" priority="4">
      <formula>$M$3=$N$3</formula>
    </cfRule>
  </conditionalFormatting>
  <conditionalFormatting sqref="S3">
    <cfRule type="expression" dxfId="26" priority="8">
      <formula>$AA$2="+"</formula>
    </cfRule>
  </conditionalFormatting>
  <conditionalFormatting sqref="AA2">
    <cfRule type="expression" dxfId="25" priority="7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A42"/>
  <sheetViews>
    <sheetView workbookViewId="0">
      <selection activeCell="A11" sqref="A1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26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25</v>
      </c>
      <c r="D2" s="8">
        <v>45802</v>
      </c>
      <c r="E2" s="5">
        <v>0</v>
      </c>
      <c r="F2" s="5">
        <v>0.49</v>
      </c>
      <c r="G2" s="5">
        <v>0</v>
      </c>
      <c r="H2" s="5">
        <v>0.49</v>
      </c>
      <c r="I2" s="5">
        <v>0</v>
      </c>
      <c r="J2" s="8">
        <v>45799</v>
      </c>
      <c r="K2" s="9">
        <f t="shared" ref="K2:K26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45766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45766</v>
      </c>
      <c r="D3" s="8">
        <v>45833</v>
      </c>
      <c r="E3" s="5">
        <v>0</v>
      </c>
      <c r="F3" s="5">
        <v>0.5</v>
      </c>
      <c r="G3" s="5">
        <v>0</v>
      </c>
      <c r="H3" s="5">
        <v>0.5</v>
      </c>
      <c r="I3" s="5">
        <v>0</v>
      </c>
      <c r="J3" s="8">
        <v>45817</v>
      </c>
      <c r="K3" s="9">
        <f t="shared" si="0"/>
        <v>-16</v>
      </c>
      <c r="M3" s="5">
        <f>B11</f>
        <v>50</v>
      </c>
      <c r="N3" s="5">
        <f>G42</f>
        <v>50</v>
      </c>
      <c r="O3" s="5">
        <f>F42</f>
        <v>6</v>
      </c>
      <c r="P3" s="5">
        <f>H42+I42</f>
        <v>5.6099999999999994</v>
      </c>
      <c r="Q3" s="15">
        <f>IF(M3=N3,XIRR(Z2:Z26,Y2:Y26),"")</f>
        <v>0.12268292307853698</v>
      </c>
      <c r="R3" s="8">
        <f>IF(M3=N3,B14,"")</f>
        <v>46125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45799</v>
      </c>
      <c r="Z3" s="5">
        <f>G2+H2+I2</f>
        <v>0.49</v>
      </c>
    </row>
    <row r="4" spans="1:27" x14ac:dyDescent="0.25">
      <c r="A4" s="12" t="s">
        <v>10</v>
      </c>
      <c r="B4" s="8">
        <v>45772</v>
      </c>
      <c r="D4" s="8">
        <v>45863</v>
      </c>
      <c r="E4" s="5">
        <v>0</v>
      </c>
      <c r="F4" s="5">
        <v>0.49</v>
      </c>
      <c r="G4" s="5">
        <v>0</v>
      </c>
      <c r="H4" s="3">
        <v>0.49</v>
      </c>
      <c r="I4" s="5">
        <v>0</v>
      </c>
      <c r="J4" s="8">
        <v>45860</v>
      </c>
      <c r="K4" s="9">
        <f t="shared" si="0"/>
        <v>-3</v>
      </c>
      <c r="Y4" s="8">
        <f t="shared" ref="Y4:Y41" si="1">J3</f>
        <v>45817</v>
      </c>
      <c r="Z4" s="5">
        <f t="shared" ref="Z4:Z41" si="2">G3+H3+I3</f>
        <v>0.5</v>
      </c>
    </row>
    <row r="5" spans="1:27" x14ac:dyDescent="0.25">
      <c r="A5" s="12" t="s">
        <v>2</v>
      </c>
      <c r="B5" s="3" t="s">
        <v>14</v>
      </c>
      <c r="D5" s="8">
        <v>45894</v>
      </c>
      <c r="E5" s="5">
        <v>0</v>
      </c>
      <c r="F5" s="5">
        <v>0.5</v>
      </c>
      <c r="G5" s="5">
        <v>0</v>
      </c>
      <c r="H5" s="5">
        <v>0.5</v>
      </c>
      <c r="I5" s="5">
        <v>0</v>
      </c>
      <c r="J5" s="8">
        <v>45891</v>
      </c>
      <c r="K5" s="9">
        <f t="shared" si="0"/>
        <v>-3</v>
      </c>
      <c r="Y5" s="8">
        <f t="shared" si="1"/>
        <v>45860</v>
      </c>
      <c r="Z5" s="5">
        <f t="shared" si="2"/>
        <v>0.49</v>
      </c>
    </row>
    <row r="6" spans="1:27" x14ac:dyDescent="0.25">
      <c r="A6" s="12" t="s">
        <v>11</v>
      </c>
      <c r="B6" s="4">
        <v>0.51</v>
      </c>
      <c r="D6" s="8">
        <v>45925</v>
      </c>
      <c r="E6" s="5">
        <v>0</v>
      </c>
      <c r="F6" s="5">
        <v>0.5</v>
      </c>
      <c r="G6" s="5">
        <v>0</v>
      </c>
      <c r="H6" s="5">
        <v>0.5</v>
      </c>
      <c r="I6" s="5">
        <v>0</v>
      </c>
      <c r="J6" s="8">
        <v>45924</v>
      </c>
      <c r="K6" s="9">
        <f t="shared" si="0"/>
        <v>-1</v>
      </c>
      <c r="Y6" s="8">
        <f t="shared" si="1"/>
        <v>45891</v>
      </c>
      <c r="Z6" s="5">
        <f t="shared" si="2"/>
        <v>0.5</v>
      </c>
    </row>
    <row r="7" spans="1:27" x14ac:dyDescent="0.25">
      <c r="A7" s="12" t="s">
        <v>12</v>
      </c>
      <c r="B7" s="4" t="s">
        <v>24</v>
      </c>
      <c r="D7" s="8">
        <v>45955</v>
      </c>
      <c r="E7" s="5">
        <v>0</v>
      </c>
      <c r="F7" s="5">
        <v>0.49</v>
      </c>
      <c r="G7" s="5">
        <v>0</v>
      </c>
      <c r="H7" s="3">
        <v>0.49</v>
      </c>
      <c r="I7" s="5">
        <v>0</v>
      </c>
      <c r="J7" s="8">
        <v>45953</v>
      </c>
      <c r="K7" s="9">
        <f t="shared" si="0"/>
        <v>-2</v>
      </c>
      <c r="Y7" s="8">
        <f t="shared" si="1"/>
        <v>45924</v>
      </c>
      <c r="Z7" s="5">
        <f t="shared" si="2"/>
        <v>0.5</v>
      </c>
    </row>
    <row r="8" spans="1:27" x14ac:dyDescent="0.25">
      <c r="A8" s="12" t="s">
        <v>4</v>
      </c>
      <c r="B8" s="3">
        <v>12</v>
      </c>
      <c r="D8" s="8">
        <v>45986</v>
      </c>
      <c r="E8" s="5">
        <v>0</v>
      </c>
      <c r="F8" s="5">
        <v>0.5</v>
      </c>
      <c r="G8" s="5">
        <v>0</v>
      </c>
      <c r="H8" s="5">
        <v>0.5</v>
      </c>
      <c r="I8" s="5">
        <v>0</v>
      </c>
      <c r="J8" s="8">
        <v>45985</v>
      </c>
      <c r="K8" s="9">
        <f t="shared" si="0"/>
        <v>-1</v>
      </c>
      <c r="Y8" s="8">
        <f t="shared" si="1"/>
        <v>45953</v>
      </c>
      <c r="Z8" s="5">
        <f t="shared" si="2"/>
        <v>0.49</v>
      </c>
    </row>
    <row r="9" spans="1:27" x14ac:dyDescent="0.25">
      <c r="A9" s="12" t="s">
        <v>5</v>
      </c>
      <c r="B9" s="3" t="s">
        <v>15</v>
      </c>
      <c r="D9" s="8">
        <v>46016</v>
      </c>
      <c r="E9" s="5">
        <v>0</v>
      </c>
      <c r="F9" s="5">
        <v>0.49</v>
      </c>
      <c r="G9" s="5">
        <v>0</v>
      </c>
      <c r="H9" s="3">
        <v>0.49</v>
      </c>
      <c r="I9" s="5">
        <v>0</v>
      </c>
      <c r="J9" s="8">
        <v>46014</v>
      </c>
      <c r="K9" s="9">
        <f t="shared" si="0"/>
        <v>-2</v>
      </c>
      <c r="Y9" s="8">
        <f t="shared" si="1"/>
        <v>45985</v>
      </c>
      <c r="Z9" s="5">
        <f t="shared" si="2"/>
        <v>0.5</v>
      </c>
    </row>
    <row r="10" spans="1:27" x14ac:dyDescent="0.25">
      <c r="A10" s="12" t="s">
        <v>7</v>
      </c>
      <c r="B10" s="14">
        <v>0.12</v>
      </c>
      <c r="D10" s="8">
        <v>46047</v>
      </c>
      <c r="E10" s="5">
        <v>0</v>
      </c>
      <c r="F10" s="5">
        <v>0.5</v>
      </c>
      <c r="G10" s="5">
        <v>0</v>
      </c>
      <c r="H10" s="5">
        <v>0.5</v>
      </c>
      <c r="I10" s="5">
        <v>0</v>
      </c>
      <c r="J10" s="8">
        <v>46041</v>
      </c>
      <c r="K10" s="9">
        <f t="shared" si="0"/>
        <v>-6</v>
      </c>
      <c r="Y10" s="8">
        <f t="shared" si="1"/>
        <v>46014</v>
      </c>
      <c r="Z10" s="5">
        <f t="shared" si="2"/>
        <v>0.49</v>
      </c>
    </row>
    <row r="11" spans="1:27" x14ac:dyDescent="0.25">
      <c r="A11" s="12" t="s">
        <v>104</v>
      </c>
      <c r="B11" s="5">
        <v>50</v>
      </c>
      <c r="D11" s="8">
        <v>46078</v>
      </c>
      <c r="E11" s="5">
        <v>0</v>
      </c>
      <c r="F11" s="5">
        <v>0.5</v>
      </c>
      <c r="G11" s="5">
        <v>0</v>
      </c>
      <c r="H11" s="5">
        <v>0.5</v>
      </c>
      <c r="I11" s="5">
        <v>0</v>
      </c>
      <c r="J11" s="8">
        <v>46079</v>
      </c>
      <c r="K11" s="9">
        <f t="shared" si="0"/>
        <v>1</v>
      </c>
      <c r="Y11" s="8">
        <f t="shared" si="1"/>
        <v>46041</v>
      </c>
      <c r="Z11" s="5">
        <f t="shared" si="2"/>
        <v>0.5</v>
      </c>
    </row>
    <row r="12" spans="1:27" x14ac:dyDescent="0.25">
      <c r="A12" s="12" t="s">
        <v>87</v>
      </c>
      <c r="B12" s="19">
        <v>46137</v>
      </c>
      <c r="D12" s="8">
        <v>46106</v>
      </c>
      <c r="E12" s="5">
        <v>0</v>
      </c>
      <c r="F12" s="5">
        <v>0.46</v>
      </c>
      <c r="G12" s="5">
        <v>0</v>
      </c>
      <c r="H12" s="3">
        <v>0.46</v>
      </c>
      <c r="I12" s="5">
        <v>0</v>
      </c>
      <c r="J12" s="8">
        <v>46104</v>
      </c>
      <c r="K12" s="9">
        <f t="shared" si="0"/>
        <v>-2</v>
      </c>
      <c r="Y12" s="8">
        <f t="shared" si="1"/>
        <v>46079</v>
      </c>
      <c r="Z12" s="5">
        <f t="shared" si="2"/>
        <v>0.5</v>
      </c>
    </row>
    <row r="13" spans="1:27" x14ac:dyDescent="0.25">
      <c r="A13" s="12" t="s">
        <v>90</v>
      </c>
      <c r="B13" s="9" t="str">
        <f ca="1">IF(B11&lt;&gt;N3,(TODAY()-B12)*-1,"")</f>
        <v/>
      </c>
      <c r="D13" s="8">
        <v>46107</v>
      </c>
      <c r="E13" s="5">
        <v>0</v>
      </c>
      <c r="F13" s="5">
        <v>0</v>
      </c>
      <c r="G13" s="5">
        <v>18.66</v>
      </c>
      <c r="H13" s="5">
        <v>0.01</v>
      </c>
      <c r="I13" s="5">
        <v>0</v>
      </c>
      <c r="J13" s="8">
        <v>46107</v>
      </c>
      <c r="K13" s="9">
        <f t="shared" si="0"/>
        <v>0</v>
      </c>
      <c r="Y13" s="8">
        <f t="shared" si="1"/>
        <v>46104</v>
      </c>
      <c r="Z13" s="5">
        <f t="shared" si="2"/>
        <v>0.46</v>
      </c>
    </row>
    <row r="14" spans="1:27" x14ac:dyDescent="0.25">
      <c r="A14" s="12" t="s">
        <v>56</v>
      </c>
      <c r="B14" s="8">
        <v>46125</v>
      </c>
      <c r="D14" s="8">
        <v>46137</v>
      </c>
      <c r="E14" s="5">
        <v>50</v>
      </c>
      <c r="F14" s="5">
        <v>0.57999999999999996</v>
      </c>
      <c r="G14" s="5">
        <v>31.34</v>
      </c>
      <c r="H14" s="3">
        <v>0.18</v>
      </c>
      <c r="I14" s="5">
        <v>0</v>
      </c>
      <c r="J14" s="8">
        <v>46125</v>
      </c>
      <c r="K14" s="9">
        <f t="shared" si="0"/>
        <v>-12</v>
      </c>
      <c r="Y14" s="8">
        <f t="shared" si="1"/>
        <v>46107</v>
      </c>
      <c r="Z14" s="5">
        <f t="shared" si="2"/>
        <v>18.670000000000002</v>
      </c>
    </row>
    <row r="15" spans="1:27" x14ac:dyDescent="0.25">
      <c r="A15" s="12" t="s">
        <v>100</v>
      </c>
      <c r="B15" s="3">
        <f>IF(M3=N3,B14-B12,"")</f>
        <v>-12</v>
      </c>
      <c r="D15" s="8"/>
      <c r="E15" s="5"/>
      <c r="F15" s="5"/>
      <c r="G15" s="5"/>
      <c r="H15" s="3"/>
      <c r="I15" s="2"/>
      <c r="J15" s="3"/>
      <c r="K15" s="9" t="str">
        <f t="shared" si="0"/>
        <v/>
      </c>
      <c r="Y15" s="8">
        <f t="shared" si="1"/>
        <v>46125</v>
      </c>
      <c r="Z15" s="5">
        <f t="shared" si="2"/>
        <v>31.52</v>
      </c>
    </row>
    <row r="16" spans="1:27" x14ac:dyDescent="0.25">
      <c r="D16" s="8"/>
      <c r="E16" s="5"/>
      <c r="F16" s="5"/>
      <c r="G16" s="5"/>
      <c r="H16" s="3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3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3"/>
      <c r="G18" s="5"/>
      <c r="H18" s="3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5"/>
      <c r="F19" s="5"/>
      <c r="G19" s="5"/>
      <c r="H19" s="3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8"/>
      <c r="E20" s="5"/>
      <c r="F20" s="3"/>
      <c r="G20" s="5"/>
      <c r="H20" s="3"/>
      <c r="I20" s="2"/>
      <c r="J20" s="3"/>
      <c r="K20" s="9" t="str">
        <f t="shared" si="0"/>
        <v/>
      </c>
      <c r="Y20" s="8">
        <f t="shared" si="1"/>
        <v>0</v>
      </c>
      <c r="Z20" s="5">
        <f t="shared" si="2"/>
        <v>0</v>
      </c>
    </row>
    <row r="21" spans="4:26" x14ac:dyDescent="0.25">
      <c r="D21" s="8"/>
      <c r="E21" s="5"/>
      <c r="F21" s="3"/>
      <c r="G21" s="5"/>
      <c r="H21" s="3"/>
      <c r="I21" s="2"/>
      <c r="J21" s="3"/>
      <c r="K21" s="9" t="str">
        <f t="shared" si="0"/>
        <v/>
      </c>
      <c r="Y21" s="8">
        <f t="shared" si="1"/>
        <v>0</v>
      </c>
      <c r="Z21" s="5">
        <f t="shared" si="2"/>
        <v>0</v>
      </c>
    </row>
    <row r="22" spans="4:26" x14ac:dyDescent="0.25">
      <c r="D22" s="8"/>
      <c r="E22" s="5"/>
      <c r="F22" s="3"/>
      <c r="G22" s="5"/>
      <c r="H22" s="3"/>
      <c r="I22" s="2"/>
      <c r="J22" s="3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/>
      <c r="E23" s="5"/>
      <c r="F23" s="3"/>
      <c r="G23" s="5"/>
      <c r="H23" s="3"/>
      <c r="I23" s="2"/>
      <c r="J23" s="3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/>
      <c r="E24" s="5"/>
      <c r="F24" s="3"/>
      <c r="G24" s="5"/>
      <c r="H24" s="3"/>
      <c r="I24" s="2"/>
      <c r="J24" s="3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/>
      <c r="E25" s="5"/>
      <c r="F25" s="3"/>
      <c r="G25" s="5"/>
      <c r="H25" s="3"/>
      <c r="I25" s="2"/>
      <c r="J25" s="3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/>
      <c r="E26" s="2"/>
      <c r="F26" s="2"/>
      <c r="G26" s="2"/>
      <c r="H26" s="2"/>
      <c r="I26" s="2"/>
      <c r="J26" s="3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4">SUM(F2:F41)</f>
        <v>6</v>
      </c>
      <c r="G42" s="5">
        <f t="shared" si="4"/>
        <v>50</v>
      </c>
      <c r="H42" s="5">
        <f t="shared" si="4"/>
        <v>5.6099999999999994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24" priority="1">
      <formula>$M$3=$N$3</formula>
    </cfRule>
  </conditionalFormatting>
  <conditionalFormatting sqref="A1:B1">
    <cfRule type="expression" dxfId="23" priority="2">
      <formula>$AA$2="+"</formula>
    </cfRule>
  </conditionalFormatting>
  <conditionalFormatting sqref="B1">
    <cfRule type="expression" dxfId="22" priority="4">
      <formula>$M$3=$N$3</formula>
    </cfRule>
  </conditionalFormatting>
  <conditionalFormatting sqref="S3">
    <cfRule type="expression" dxfId="21" priority="8">
      <formula>$AA$2="+"</formula>
    </cfRule>
  </conditionalFormatting>
  <conditionalFormatting sqref="AA2">
    <cfRule type="expression" dxfId="20" priority="7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42"/>
  <sheetViews>
    <sheetView workbookViewId="0">
      <selection activeCell="J21" sqref="J21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19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20</v>
      </c>
      <c r="D2" s="8">
        <v>45767</v>
      </c>
      <c r="E2" s="5">
        <v>0</v>
      </c>
      <c r="F2" s="5">
        <v>0.46</v>
      </c>
      <c r="G2" s="5">
        <v>0</v>
      </c>
      <c r="H2" s="5">
        <v>0.46</v>
      </c>
      <c r="I2" s="5">
        <v>0</v>
      </c>
      <c r="J2" s="8">
        <v>45769</v>
      </c>
      <c r="K2" s="9">
        <f t="shared" ref="K2:K26" si="0">IF(J2&gt;0,J2-D2,"")</f>
        <v>2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45730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45730</v>
      </c>
      <c r="D3" s="8">
        <v>45797</v>
      </c>
      <c r="E3" s="5">
        <v>0</v>
      </c>
      <c r="F3" s="5">
        <v>0.45</v>
      </c>
      <c r="G3" s="5">
        <v>0</v>
      </c>
      <c r="H3" s="3">
        <v>0.45</v>
      </c>
      <c r="I3" s="5">
        <v>0</v>
      </c>
      <c r="J3" s="8">
        <v>45789</v>
      </c>
      <c r="K3" s="9">
        <f t="shared" si="0"/>
        <v>-8</v>
      </c>
      <c r="M3" s="5">
        <f>B11</f>
        <v>50</v>
      </c>
      <c r="N3" s="5">
        <f>G42</f>
        <v>0.51</v>
      </c>
      <c r="O3" s="5">
        <f>F42</f>
        <v>10.590000000000003</v>
      </c>
      <c r="P3" s="5">
        <f>H42+I42</f>
        <v>8.1700000000000017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45769</v>
      </c>
      <c r="Z3" s="5">
        <f>G2+H2+I2</f>
        <v>0.46</v>
      </c>
    </row>
    <row r="4" spans="1:27" x14ac:dyDescent="0.25">
      <c r="A4" s="12" t="s">
        <v>10</v>
      </c>
      <c r="B4" s="8">
        <v>45736</v>
      </c>
      <c r="D4" s="8">
        <v>45828</v>
      </c>
      <c r="E4" s="5">
        <v>0</v>
      </c>
      <c r="F4" s="5">
        <v>0.46</v>
      </c>
      <c r="G4" s="5">
        <v>0</v>
      </c>
      <c r="H4" s="3">
        <v>0.46</v>
      </c>
      <c r="I4" s="5">
        <v>0</v>
      </c>
      <c r="J4" s="8">
        <v>45814</v>
      </c>
      <c r="K4" s="9">
        <f t="shared" si="0"/>
        <v>-14</v>
      </c>
      <c r="Y4" s="8">
        <f t="shared" ref="Y4:Y41" si="1">J3</f>
        <v>45789</v>
      </c>
      <c r="Z4" s="5">
        <f t="shared" ref="Z4:Z41" si="2">G3+H3+I3</f>
        <v>0.45</v>
      </c>
    </row>
    <row r="5" spans="1:27" x14ac:dyDescent="0.25">
      <c r="A5" s="12" t="s">
        <v>2</v>
      </c>
      <c r="B5" s="3" t="s">
        <v>3</v>
      </c>
      <c r="D5" s="8">
        <v>45858</v>
      </c>
      <c r="E5" s="5">
        <v>0</v>
      </c>
      <c r="F5" s="5">
        <v>0.45</v>
      </c>
      <c r="G5" s="5">
        <v>0</v>
      </c>
      <c r="H5" s="3">
        <v>0.45</v>
      </c>
      <c r="I5" s="5">
        <v>0</v>
      </c>
      <c r="J5" s="8">
        <v>45859</v>
      </c>
      <c r="K5" s="9">
        <f t="shared" si="0"/>
        <v>1</v>
      </c>
      <c r="Y5" s="8">
        <f t="shared" si="1"/>
        <v>45814</v>
      </c>
      <c r="Z5" s="5">
        <f t="shared" si="2"/>
        <v>0.46</v>
      </c>
    </row>
    <row r="6" spans="1:27" x14ac:dyDescent="0.25">
      <c r="A6" s="12" t="s">
        <v>11</v>
      </c>
      <c r="B6" s="4">
        <v>0.69</v>
      </c>
      <c r="D6" s="8">
        <v>45889</v>
      </c>
      <c r="E6" s="5">
        <v>0</v>
      </c>
      <c r="F6" s="5">
        <v>0.46</v>
      </c>
      <c r="G6" s="5">
        <v>0</v>
      </c>
      <c r="H6" s="3">
        <v>0.46</v>
      </c>
      <c r="I6" s="5">
        <v>0</v>
      </c>
      <c r="J6" s="8">
        <v>45882</v>
      </c>
      <c r="K6" s="9">
        <f t="shared" si="0"/>
        <v>-7</v>
      </c>
      <c r="Y6" s="8">
        <f t="shared" si="1"/>
        <v>45859</v>
      </c>
      <c r="Z6" s="5">
        <f t="shared" si="2"/>
        <v>0.45</v>
      </c>
    </row>
    <row r="7" spans="1:27" x14ac:dyDescent="0.25">
      <c r="A7" s="12" t="s">
        <v>12</v>
      </c>
      <c r="B7" s="4" t="s">
        <v>24</v>
      </c>
      <c r="D7" s="8">
        <v>45920</v>
      </c>
      <c r="E7" s="5">
        <v>0</v>
      </c>
      <c r="F7" s="5">
        <v>0.46</v>
      </c>
      <c r="G7" s="5">
        <v>0</v>
      </c>
      <c r="H7" s="3">
        <v>0.46</v>
      </c>
      <c r="I7" s="5">
        <v>0</v>
      </c>
      <c r="J7" s="8">
        <v>45910</v>
      </c>
      <c r="K7" s="9">
        <f t="shared" si="0"/>
        <v>-10</v>
      </c>
      <c r="Y7" s="8">
        <f t="shared" si="1"/>
        <v>45882</v>
      </c>
      <c r="Z7" s="5">
        <f t="shared" si="2"/>
        <v>0.46</v>
      </c>
    </row>
    <row r="8" spans="1:27" x14ac:dyDescent="0.25">
      <c r="A8" s="12" t="s">
        <v>4</v>
      </c>
      <c r="B8" s="3">
        <v>24</v>
      </c>
      <c r="D8" s="8">
        <v>45950</v>
      </c>
      <c r="E8" s="5">
        <v>0</v>
      </c>
      <c r="F8" s="5">
        <v>0.45</v>
      </c>
      <c r="G8" s="5">
        <v>0</v>
      </c>
      <c r="H8" s="3">
        <v>0.45</v>
      </c>
      <c r="I8" s="5">
        <v>0</v>
      </c>
      <c r="J8" s="8">
        <v>45939</v>
      </c>
      <c r="K8" s="9">
        <f t="shared" si="0"/>
        <v>-11</v>
      </c>
      <c r="Y8" s="8">
        <f t="shared" si="1"/>
        <v>45910</v>
      </c>
      <c r="Z8" s="5">
        <f t="shared" si="2"/>
        <v>0.46</v>
      </c>
    </row>
    <row r="9" spans="1:27" x14ac:dyDescent="0.25">
      <c r="A9" s="12" t="s">
        <v>5</v>
      </c>
      <c r="B9" s="3" t="s">
        <v>15</v>
      </c>
      <c r="D9" s="8">
        <v>45981</v>
      </c>
      <c r="E9" s="5">
        <v>0</v>
      </c>
      <c r="F9" s="5">
        <v>0.46</v>
      </c>
      <c r="G9" s="5">
        <v>0</v>
      </c>
      <c r="H9" s="3">
        <v>0.46</v>
      </c>
      <c r="I9" s="5">
        <v>0</v>
      </c>
      <c r="J9" s="8">
        <v>45968</v>
      </c>
      <c r="K9" s="9">
        <f t="shared" si="0"/>
        <v>-13</v>
      </c>
      <c r="Y9" s="8">
        <f t="shared" si="1"/>
        <v>45939</v>
      </c>
      <c r="Z9" s="5">
        <f t="shared" si="2"/>
        <v>0.45</v>
      </c>
    </row>
    <row r="10" spans="1:27" x14ac:dyDescent="0.25">
      <c r="A10" s="12" t="s">
        <v>7</v>
      </c>
      <c r="B10" s="14">
        <v>0.11</v>
      </c>
      <c r="D10" s="8">
        <v>46011</v>
      </c>
      <c r="E10" s="5">
        <v>0</v>
      </c>
      <c r="F10" s="5">
        <v>0.45</v>
      </c>
      <c r="G10" s="5">
        <v>0</v>
      </c>
      <c r="H10" s="3">
        <v>0.45</v>
      </c>
      <c r="I10" s="5">
        <v>0</v>
      </c>
      <c r="J10" s="8">
        <v>45999</v>
      </c>
      <c r="K10" s="9">
        <f t="shared" si="0"/>
        <v>-12</v>
      </c>
      <c r="Y10" s="8">
        <f t="shared" si="1"/>
        <v>45968</v>
      </c>
      <c r="Z10" s="5">
        <f t="shared" si="2"/>
        <v>0.46</v>
      </c>
    </row>
    <row r="11" spans="1:27" x14ac:dyDescent="0.25">
      <c r="A11" s="12" t="s">
        <v>104</v>
      </c>
      <c r="B11" s="5">
        <v>50</v>
      </c>
      <c r="D11" s="8">
        <v>46042</v>
      </c>
      <c r="E11" s="5">
        <v>0</v>
      </c>
      <c r="F11" s="5">
        <v>0.46</v>
      </c>
      <c r="G11" s="5">
        <v>0</v>
      </c>
      <c r="H11" s="3">
        <v>0.46</v>
      </c>
      <c r="I11" s="5">
        <v>0</v>
      </c>
      <c r="J11" s="8">
        <v>46038</v>
      </c>
      <c r="K11" s="9">
        <f t="shared" si="0"/>
        <v>-4</v>
      </c>
      <c r="Y11" s="8">
        <f t="shared" si="1"/>
        <v>45999</v>
      </c>
      <c r="Z11" s="5">
        <f t="shared" si="2"/>
        <v>0.45</v>
      </c>
    </row>
    <row r="12" spans="1:27" x14ac:dyDescent="0.25">
      <c r="A12" s="12" t="s">
        <v>87</v>
      </c>
      <c r="B12" s="19">
        <v>46439</v>
      </c>
      <c r="D12" s="8">
        <v>46073</v>
      </c>
      <c r="E12" s="5">
        <v>0</v>
      </c>
      <c r="F12" s="5">
        <v>0.46</v>
      </c>
      <c r="G12" s="5">
        <v>0</v>
      </c>
      <c r="H12" s="3">
        <v>0.46</v>
      </c>
      <c r="I12" s="5">
        <v>0</v>
      </c>
      <c r="J12" s="8">
        <v>46062</v>
      </c>
      <c r="K12" s="9">
        <f t="shared" si="0"/>
        <v>-11</v>
      </c>
      <c r="Y12" s="8">
        <f t="shared" si="1"/>
        <v>46038</v>
      </c>
      <c r="Z12" s="5">
        <f t="shared" si="2"/>
        <v>0.46</v>
      </c>
    </row>
    <row r="13" spans="1:27" x14ac:dyDescent="0.25">
      <c r="A13" s="12" t="s">
        <v>90</v>
      </c>
      <c r="B13" s="9">
        <f ca="1">IF(B11&lt;&gt;N3,(TODAY()-B12)*-1,"")</f>
        <v>144</v>
      </c>
      <c r="D13" s="8">
        <v>46101</v>
      </c>
      <c r="E13" s="5">
        <v>0</v>
      </c>
      <c r="F13" s="5">
        <v>0.42</v>
      </c>
      <c r="G13" s="5">
        <v>0</v>
      </c>
      <c r="H13" s="3">
        <v>0.42</v>
      </c>
      <c r="I13" s="5">
        <v>0</v>
      </c>
      <c r="J13" s="8">
        <v>46091</v>
      </c>
      <c r="K13" s="9">
        <f t="shared" si="0"/>
        <v>-10</v>
      </c>
      <c r="Y13" s="8">
        <f t="shared" si="1"/>
        <v>46062</v>
      </c>
      <c r="Z13" s="5">
        <f t="shared" si="2"/>
        <v>0.46</v>
      </c>
    </row>
    <row r="14" spans="1:27" x14ac:dyDescent="0.25">
      <c r="A14" s="12" t="s">
        <v>56</v>
      </c>
      <c r="B14" s="8"/>
      <c r="D14" s="8">
        <v>46132</v>
      </c>
      <c r="E14" s="5">
        <v>0</v>
      </c>
      <c r="F14" s="5">
        <v>0.46</v>
      </c>
      <c r="G14" s="5">
        <v>0</v>
      </c>
      <c r="H14" s="3">
        <v>0.46</v>
      </c>
      <c r="I14" s="5">
        <v>0</v>
      </c>
      <c r="J14" s="8">
        <v>46126</v>
      </c>
      <c r="K14" s="9">
        <f t="shared" si="0"/>
        <v>-6</v>
      </c>
      <c r="Y14" s="8">
        <f t="shared" si="1"/>
        <v>46091</v>
      </c>
      <c r="Z14" s="5">
        <f t="shared" si="2"/>
        <v>0.42</v>
      </c>
    </row>
    <row r="15" spans="1:27" x14ac:dyDescent="0.25">
      <c r="A15" s="12" t="s">
        <v>100</v>
      </c>
      <c r="B15" s="3" t="str">
        <f>IF(M3=N3,B14-B12,"")</f>
        <v/>
      </c>
      <c r="D15" s="8">
        <v>46162</v>
      </c>
      <c r="E15" s="5">
        <v>0</v>
      </c>
      <c r="F15" s="5">
        <v>0.45</v>
      </c>
      <c r="G15" s="5">
        <v>0</v>
      </c>
      <c r="H15" s="3">
        <v>0.45</v>
      </c>
      <c r="I15" s="5">
        <v>0</v>
      </c>
      <c r="J15" s="8">
        <v>46150</v>
      </c>
      <c r="K15" s="9">
        <f t="shared" si="0"/>
        <v>-12</v>
      </c>
      <c r="Y15" s="8">
        <f t="shared" si="1"/>
        <v>46126</v>
      </c>
      <c r="Z15" s="5">
        <f t="shared" si="2"/>
        <v>0.46</v>
      </c>
    </row>
    <row r="16" spans="1:27" x14ac:dyDescent="0.25">
      <c r="D16" s="8">
        <v>46193</v>
      </c>
      <c r="E16" s="5">
        <v>0</v>
      </c>
      <c r="F16" s="5">
        <v>0.46</v>
      </c>
      <c r="G16" s="5">
        <v>0</v>
      </c>
      <c r="H16" s="3">
        <v>0.46</v>
      </c>
      <c r="I16" s="5">
        <v>0</v>
      </c>
      <c r="J16" s="8">
        <v>46183</v>
      </c>
      <c r="K16" s="9">
        <f t="shared" si="0"/>
        <v>-10</v>
      </c>
      <c r="Y16" s="8">
        <f t="shared" si="1"/>
        <v>46150</v>
      </c>
      <c r="Z16" s="5">
        <f t="shared" si="2"/>
        <v>0.45</v>
      </c>
    </row>
    <row r="17" spans="4:26" x14ac:dyDescent="0.25">
      <c r="D17" s="8">
        <v>46185</v>
      </c>
      <c r="E17" s="5">
        <v>0</v>
      </c>
      <c r="F17" s="5">
        <v>0</v>
      </c>
      <c r="G17" s="5">
        <v>0.51</v>
      </c>
      <c r="H17" s="5">
        <v>0</v>
      </c>
      <c r="I17" s="5">
        <v>0</v>
      </c>
      <c r="J17" s="8">
        <v>46185</v>
      </c>
      <c r="K17" s="9">
        <f t="shared" si="0"/>
        <v>0</v>
      </c>
      <c r="Y17" s="8">
        <f t="shared" si="1"/>
        <v>46183</v>
      </c>
      <c r="Z17" s="5">
        <f t="shared" si="2"/>
        <v>0.46</v>
      </c>
    </row>
    <row r="18" spans="4:26" x14ac:dyDescent="0.25">
      <c r="D18" s="8">
        <v>46223</v>
      </c>
      <c r="E18" s="5">
        <v>0</v>
      </c>
      <c r="F18" s="5">
        <v>0.45</v>
      </c>
      <c r="G18" s="5">
        <v>0</v>
      </c>
      <c r="H18" s="3">
        <v>0.44</v>
      </c>
      <c r="I18" s="5">
        <v>0</v>
      </c>
      <c r="J18" s="8">
        <v>46223</v>
      </c>
      <c r="K18" s="9">
        <f t="shared" si="0"/>
        <v>0</v>
      </c>
      <c r="Y18" s="8">
        <f t="shared" si="1"/>
        <v>46185</v>
      </c>
      <c r="Z18" s="5">
        <f t="shared" si="2"/>
        <v>0.51</v>
      </c>
    </row>
    <row r="19" spans="4:26" x14ac:dyDescent="0.25">
      <c r="D19" s="8">
        <v>46254</v>
      </c>
      <c r="E19" s="5">
        <v>0</v>
      </c>
      <c r="F19" s="3">
        <v>0.46</v>
      </c>
      <c r="G19" s="5">
        <v>0</v>
      </c>
      <c r="H19" s="3">
        <v>0.46</v>
      </c>
      <c r="I19" s="5">
        <v>0</v>
      </c>
      <c r="J19" s="8">
        <v>46252</v>
      </c>
      <c r="K19" s="9">
        <f t="shared" si="0"/>
        <v>-2</v>
      </c>
      <c r="Y19" s="8">
        <f t="shared" si="1"/>
        <v>46223</v>
      </c>
      <c r="Z19" s="5">
        <f t="shared" si="2"/>
        <v>0.44</v>
      </c>
    </row>
    <row r="20" spans="4:26" x14ac:dyDescent="0.25">
      <c r="D20" s="8">
        <v>46285</v>
      </c>
      <c r="E20" s="5">
        <v>0</v>
      </c>
      <c r="F20" s="5">
        <v>0.46</v>
      </c>
      <c r="G20" s="5">
        <v>0</v>
      </c>
      <c r="H20" s="3">
        <v>0.46</v>
      </c>
      <c r="I20" s="5">
        <v>0</v>
      </c>
      <c r="J20" s="8">
        <v>46281</v>
      </c>
      <c r="K20" s="9">
        <f t="shared" si="0"/>
        <v>-4</v>
      </c>
      <c r="Y20" s="8">
        <f t="shared" si="1"/>
        <v>46252</v>
      </c>
      <c r="Z20" s="5">
        <f t="shared" si="2"/>
        <v>0.46</v>
      </c>
    </row>
    <row r="21" spans="4:26" x14ac:dyDescent="0.25">
      <c r="D21" s="8">
        <v>46315</v>
      </c>
      <c r="E21" s="5">
        <v>0</v>
      </c>
      <c r="F21" s="3">
        <v>0.45</v>
      </c>
      <c r="G21" s="5"/>
      <c r="H21" s="3"/>
      <c r="I21" s="5"/>
      <c r="J21" s="8"/>
      <c r="K21" s="9" t="str">
        <f t="shared" si="0"/>
        <v/>
      </c>
      <c r="Y21" s="8">
        <f t="shared" si="1"/>
        <v>46281</v>
      </c>
      <c r="Z21" s="5">
        <f t="shared" si="2"/>
        <v>0.46</v>
      </c>
    </row>
    <row r="22" spans="4:26" x14ac:dyDescent="0.25">
      <c r="D22" s="8">
        <v>46346</v>
      </c>
      <c r="E22" s="5">
        <v>0</v>
      </c>
      <c r="F22" s="3">
        <v>0.46</v>
      </c>
      <c r="G22" s="5"/>
      <c r="H22" s="3"/>
      <c r="I22" s="5"/>
      <c r="J22" s="8"/>
      <c r="K22" s="9" t="str">
        <f t="shared" si="0"/>
        <v/>
      </c>
      <c r="Y22" s="8">
        <f t="shared" si="1"/>
        <v>0</v>
      </c>
      <c r="Z22" s="5">
        <f t="shared" si="2"/>
        <v>0</v>
      </c>
    </row>
    <row r="23" spans="4:26" x14ac:dyDescent="0.25">
      <c r="D23" s="8">
        <v>46376</v>
      </c>
      <c r="E23" s="5">
        <v>0</v>
      </c>
      <c r="F23" s="3">
        <v>0.45</v>
      </c>
      <c r="G23" s="5"/>
      <c r="H23" s="3"/>
      <c r="I23" s="5"/>
      <c r="J23" s="8"/>
      <c r="K23" s="9" t="str">
        <f t="shared" si="0"/>
        <v/>
      </c>
      <c r="Y23" s="8">
        <f t="shared" si="1"/>
        <v>0</v>
      </c>
      <c r="Z23" s="5">
        <f t="shared" si="2"/>
        <v>0</v>
      </c>
    </row>
    <row r="24" spans="4:26" x14ac:dyDescent="0.25">
      <c r="D24" s="8">
        <v>46407</v>
      </c>
      <c r="E24" s="5">
        <v>0</v>
      </c>
      <c r="F24" s="3">
        <v>0.46</v>
      </c>
      <c r="G24" s="5"/>
      <c r="H24" s="3"/>
      <c r="I24" s="5"/>
      <c r="J24" s="8"/>
      <c r="K24" s="9" t="str">
        <f t="shared" si="0"/>
        <v/>
      </c>
      <c r="Y24" s="8">
        <f t="shared" si="1"/>
        <v>0</v>
      </c>
      <c r="Z24" s="5">
        <f t="shared" si="2"/>
        <v>0</v>
      </c>
    </row>
    <row r="25" spans="4:26" x14ac:dyDescent="0.25">
      <c r="D25" s="8">
        <v>46438</v>
      </c>
      <c r="E25" s="5">
        <v>0</v>
      </c>
      <c r="F25" s="3">
        <v>0.46</v>
      </c>
      <c r="G25" s="5"/>
      <c r="H25" s="3"/>
      <c r="I25" s="5"/>
      <c r="J25" s="8"/>
      <c r="K25" s="9" t="str">
        <f t="shared" si="0"/>
        <v/>
      </c>
      <c r="Y25" s="8">
        <f t="shared" si="1"/>
        <v>0</v>
      </c>
      <c r="Z25" s="5">
        <f t="shared" si="2"/>
        <v>0</v>
      </c>
    </row>
    <row r="26" spans="4:26" x14ac:dyDescent="0.25">
      <c r="D26" s="8">
        <v>46439</v>
      </c>
      <c r="E26" s="5">
        <v>50</v>
      </c>
      <c r="F26" s="3">
        <v>0.13</v>
      </c>
      <c r="G26" s="2"/>
      <c r="H26" s="2"/>
      <c r="I26" s="5"/>
      <c r="J26" s="8"/>
      <c r="K26" s="9" t="str">
        <f t="shared" si="0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ref="K27:K41" si="3">IF(J27&gt;0,J27-D27,"")</f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4">SUM(F2:F41)</f>
        <v>10.590000000000003</v>
      </c>
      <c r="G42" s="5">
        <f t="shared" si="4"/>
        <v>0.51</v>
      </c>
      <c r="H42" s="5">
        <f t="shared" si="4"/>
        <v>8.1700000000000017</v>
      </c>
      <c r="I42" s="5">
        <f t="shared" si="4"/>
        <v>0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19" priority="1">
      <formula>$M$3=$N$3</formula>
    </cfRule>
  </conditionalFormatting>
  <conditionalFormatting sqref="A1:B1">
    <cfRule type="expression" dxfId="18" priority="2">
      <formula>$AA$2="+"</formula>
    </cfRule>
  </conditionalFormatting>
  <conditionalFormatting sqref="B1">
    <cfRule type="expression" dxfId="17" priority="4">
      <formula>$M$3=$N$3</formula>
    </cfRule>
  </conditionalFormatting>
  <conditionalFormatting sqref="S3">
    <cfRule type="expression" dxfId="16" priority="6">
      <formula>$AA$2="+"</formula>
    </cfRule>
  </conditionalFormatting>
  <conditionalFormatting sqref="AA2">
    <cfRule type="expression" dxfId="15" priority="5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AA42"/>
  <sheetViews>
    <sheetView workbookViewId="0"/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21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22</v>
      </c>
      <c r="D2" s="8">
        <v>45752</v>
      </c>
      <c r="E2" s="5">
        <v>0</v>
      </c>
      <c r="F2" s="3">
        <v>0.59</v>
      </c>
      <c r="G2" s="5">
        <v>0</v>
      </c>
      <c r="H2" s="5">
        <v>0.59</v>
      </c>
      <c r="I2" s="5">
        <v>0</v>
      </c>
      <c r="J2" s="8">
        <v>45749</v>
      </c>
      <c r="K2" s="9">
        <f t="shared" ref="K2:K19" si="0">IF(J2&gt;0,J2-D2,"")</f>
        <v>-3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45717</v>
      </c>
      <c r="Z2" s="5">
        <f>B11*-1</f>
        <v>-50</v>
      </c>
      <c r="AA2" s="3" t="str">
        <f ca="1">IF(COUNTIFS(D:D,"&lt;"&amp;TODAY(),J:J,"")&gt;0,"+","")</f>
        <v>+</v>
      </c>
    </row>
    <row r="3" spans="1:27" x14ac:dyDescent="0.25">
      <c r="A3" s="12" t="s">
        <v>8</v>
      </c>
      <c r="B3" s="8">
        <v>45717</v>
      </c>
      <c r="D3" s="8">
        <v>45782</v>
      </c>
      <c r="E3" s="5">
        <v>0</v>
      </c>
      <c r="F3" s="3">
        <v>0.56999999999999995</v>
      </c>
      <c r="G3" s="5">
        <v>0</v>
      </c>
      <c r="H3" s="3">
        <v>0.56999999999999995</v>
      </c>
      <c r="I3" s="5">
        <v>0</v>
      </c>
      <c r="J3" s="8">
        <v>45784</v>
      </c>
      <c r="K3" s="9">
        <f t="shared" si="0"/>
        <v>2</v>
      </c>
      <c r="M3" s="5">
        <f>B11</f>
        <v>50</v>
      </c>
      <c r="N3" s="5">
        <f>G42</f>
        <v>0</v>
      </c>
      <c r="O3" s="5">
        <f>F42</f>
        <v>5.879999999999999</v>
      </c>
      <c r="P3" s="5">
        <f>H42+I42</f>
        <v>2.9299999999999997</v>
      </c>
      <c r="Q3" s="15" t="str">
        <f>IF(M3=N3,XIRR(Z2:Z26,Y2:Y26),"")</f>
        <v/>
      </c>
      <c r="R3" s="8" t="str">
        <f>IF(M3=N3,B14,"")</f>
        <v/>
      </c>
      <c r="S3" s="3">
        <f ca="1">IF(COUNTIFS(D:D,"&lt;"&amp;TODAY(),J:J,"")=0,"",TODAY()-_xlfn.MINIFS(D:D,D:D,"&lt;"&amp;TODAY(),J:J,""))</f>
        <v>390</v>
      </c>
      <c r="T3" s="1"/>
      <c r="U3" s="1"/>
      <c r="V3" s="1"/>
      <c r="Y3" s="8">
        <f>J2</f>
        <v>45749</v>
      </c>
      <c r="Z3" s="5">
        <f>G2+H2+I2</f>
        <v>0.59</v>
      </c>
    </row>
    <row r="4" spans="1:27" x14ac:dyDescent="0.25">
      <c r="A4" s="12" t="s">
        <v>10</v>
      </c>
      <c r="B4" s="8">
        <v>45721</v>
      </c>
      <c r="D4" s="8">
        <v>45813</v>
      </c>
      <c r="E4" s="5">
        <v>0</v>
      </c>
      <c r="F4" s="3">
        <v>0.59</v>
      </c>
      <c r="G4" s="5">
        <v>0</v>
      </c>
      <c r="H4" s="3">
        <v>0.59</v>
      </c>
      <c r="I4" s="5">
        <v>0</v>
      </c>
      <c r="J4" s="8">
        <v>45812</v>
      </c>
      <c r="K4" s="9">
        <f t="shared" si="0"/>
        <v>-1</v>
      </c>
      <c r="Y4" s="8">
        <f t="shared" ref="Y4:Y41" si="1">J3</f>
        <v>45784</v>
      </c>
      <c r="Z4" s="5">
        <f t="shared" ref="Z4:Z41" si="2">G3+H3+I3</f>
        <v>0.56999999999999995</v>
      </c>
    </row>
    <row r="5" spans="1:27" x14ac:dyDescent="0.25">
      <c r="A5" s="12" t="s">
        <v>2</v>
      </c>
      <c r="B5" s="3" t="s">
        <v>23</v>
      </c>
      <c r="D5" s="8">
        <v>45843</v>
      </c>
      <c r="E5" s="5">
        <v>0</v>
      </c>
      <c r="F5" s="3">
        <v>0.56999999999999995</v>
      </c>
      <c r="G5" s="5">
        <v>0</v>
      </c>
      <c r="H5" s="3">
        <v>0.56999999999999995</v>
      </c>
      <c r="I5" s="5">
        <v>0</v>
      </c>
      <c r="J5" s="8">
        <v>45845</v>
      </c>
      <c r="K5" s="9">
        <f t="shared" si="0"/>
        <v>2</v>
      </c>
      <c r="Y5" s="8">
        <f t="shared" si="1"/>
        <v>45812</v>
      </c>
      <c r="Z5" s="5">
        <f t="shared" si="2"/>
        <v>0.59</v>
      </c>
    </row>
    <row r="6" spans="1:27" x14ac:dyDescent="0.25">
      <c r="A6" s="12" t="s">
        <v>11</v>
      </c>
      <c r="B6" s="4">
        <v>0.6</v>
      </c>
      <c r="D6" s="8">
        <v>45874</v>
      </c>
      <c r="E6" s="5">
        <v>0</v>
      </c>
      <c r="F6" s="3">
        <v>0.59</v>
      </c>
      <c r="G6" s="5">
        <v>0</v>
      </c>
      <c r="H6" s="3">
        <v>0.59</v>
      </c>
      <c r="I6" s="3">
        <v>0.02</v>
      </c>
      <c r="J6" s="8">
        <v>45888</v>
      </c>
      <c r="K6" s="9">
        <f t="shared" si="0"/>
        <v>14</v>
      </c>
      <c r="Y6" s="8">
        <f t="shared" si="1"/>
        <v>45845</v>
      </c>
      <c r="Z6" s="5">
        <f t="shared" si="2"/>
        <v>0.56999999999999995</v>
      </c>
    </row>
    <row r="7" spans="1:27" x14ac:dyDescent="0.25">
      <c r="A7" s="12" t="s">
        <v>12</v>
      </c>
      <c r="B7" s="4" t="s">
        <v>24</v>
      </c>
      <c r="D7" s="8">
        <v>45905</v>
      </c>
      <c r="E7" s="5">
        <v>0</v>
      </c>
      <c r="F7" s="3">
        <v>0.59</v>
      </c>
      <c r="G7" s="5"/>
      <c r="H7" s="3"/>
      <c r="I7" s="5"/>
      <c r="J7" s="8"/>
      <c r="K7" s="9" t="str">
        <f t="shared" si="0"/>
        <v/>
      </c>
      <c r="Y7" s="8">
        <f t="shared" si="1"/>
        <v>45888</v>
      </c>
      <c r="Z7" s="5">
        <f t="shared" si="2"/>
        <v>0.61</v>
      </c>
    </row>
    <row r="8" spans="1:27" x14ac:dyDescent="0.25">
      <c r="A8" s="12" t="s">
        <v>4</v>
      </c>
      <c r="B8" s="3">
        <v>11</v>
      </c>
      <c r="D8" s="8">
        <v>45935</v>
      </c>
      <c r="E8" s="5">
        <v>0</v>
      </c>
      <c r="F8" s="3">
        <v>0.56999999999999995</v>
      </c>
      <c r="G8" s="5"/>
      <c r="H8" s="3"/>
      <c r="I8" s="5"/>
      <c r="J8" s="8"/>
      <c r="K8" s="9" t="str">
        <f t="shared" si="0"/>
        <v/>
      </c>
      <c r="Y8" s="8">
        <f t="shared" si="1"/>
        <v>0</v>
      </c>
      <c r="Z8" s="5">
        <f t="shared" si="2"/>
        <v>0</v>
      </c>
    </row>
    <row r="9" spans="1:27" x14ac:dyDescent="0.25">
      <c r="A9" s="12" t="s">
        <v>5</v>
      </c>
      <c r="B9" s="3" t="s">
        <v>15</v>
      </c>
      <c r="D9" s="8">
        <v>45966</v>
      </c>
      <c r="E9" s="5">
        <v>0</v>
      </c>
      <c r="F9" s="3">
        <v>0.59</v>
      </c>
      <c r="G9" s="5"/>
      <c r="H9" s="3"/>
      <c r="I9" s="5"/>
      <c r="J9" s="8"/>
      <c r="K9" s="9" t="str">
        <f t="shared" si="0"/>
        <v/>
      </c>
      <c r="Y9" s="8">
        <f t="shared" si="1"/>
        <v>0</v>
      </c>
      <c r="Z9" s="5">
        <f t="shared" si="2"/>
        <v>0</v>
      </c>
    </row>
    <row r="10" spans="1:27" x14ac:dyDescent="0.25">
      <c r="A10" s="12" t="s">
        <v>7</v>
      </c>
      <c r="B10" s="14">
        <v>0.14000000000000001</v>
      </c>
      <c r="D10" s="8">
        <v>45996</v>
      </c>
      <c r="E10" s="5">
        <v>0</v>
      </c>
      <c r="F10" s="3">
        <v>0.56999999999999995</v>
      </c>
      <c r="G10" s="5"/>
      <c r="H10" s="3"/>
      <c r="I10" s="5"/>
      <c r="J10" s="8"/>
      <c r="K10" s="9" t="str">
        <f t="shared" si="0"/>
        <v/>
      </c>
      <c r="Y10" s="8">
        <f t="shared" si="1"/>
        <v>0</v>
      </c>
      <c r="Z10" s="5">
        <f t="shared" si="2"/>
        <v>0</v>
      </c>
    </row>
    <row r="11" spans="1:27" x14ac:dyDescent="0.25">
      <c r="A11" s="12" t="s">
        <v>104</v>
      </c>
      <c r="B11" s="5">
        <v>50</v>
      </c>
      <c r="D11" s="8">
        <v>46027</v>
      </c>
      <c r="E11" s="5">
        <v>0</v>
      </c>
      <c r="F11" s="3">
        <v>0.59</v>
      </c>
      <c r="G11" s="5"/>
      <c r="H11" s="3"/>
      <c r="I11" s="5"/>
      <c r="J11" s="8"/>
      <c r="K11" s="9" t="str">
        <f t="shared" si="0"/>
        <v/>
      </c>
      <c r="Y11" s="8">
        <f t="shared" si="1"/>
        <v>0</v>
      </c>
      <c r="Z11" s="5">
        <f t="shared" si="2"/>
        <v>0</v>
      </c>
    </row>
    <row r="12" spans="1:27" x14ac:dyDescent="0.25">
      <c r="A12" s="12" t="s">
        <v>87</v>
      </c>
      <c r="B12" s="19">
        <v>46028</v>
      </c>
      <c r="D12" s="8">
        <v>46028</v>
      </c>
      <c r="E12" s="5">
        <v>50</v>
      </c>
      <c r="F12" s="3">
        <v>0.06</v>
      </c>
      <c r="G12" s="5"/>
      <c r="H12" s="3"/>
      <c r="I12" s="5"/>
      <c r="J12" s="8"/>
      <c r="K12" s="9" t="str">
        <f t="shared" si="0"/>
        <v/>
      </c>
      <c r="Y12" s="8">
        <f t="shared" si="1"/>
        <v>0</v>
      </c>
      <c r="Z12" s="5">
        <f t="shared" si="2"/>
        <v>0</v>
      </c>
    </row>
    <row r="13" spans="1:27" x14ac:dyDescent="0.25">
      <c r="A13" s="12" t="s">
        <v>90</v>
      </c>
      <c r="B13" s="9">
        <f ca="1">IF(B11&lt;&gt;N3,(TODAY()-B12)*-1,"")</f>
        <v>-267</v>
      </c>
      <c r="D13" s="8"/>
      <c r="E13" s="5"/>
      <c r="F13" s="5"/>
      <c r="G13" s="5"/>
      <c r="H13" s="3"/>
      <c r="I13" s="5"/>
      <c r="J13" s="8"/>
      <c r="K13" s="9" t="str">
        <f t="shared" si="0"/>
        <v/>
      </c>
      <c r="Y13" s="8">
        <f t="shared" si="1"/>
        <v>0</v>
      </c>
      <c r="Z13" s="5">
        <f t="shared" si="2"/>
        <v>0</v>
      </c>
    </row>
    <row r="14" spans="1:27" x14ac:dyDescent="0.25">
      <c r="A14" s="12" t="s">
        <v>56</v>
      </c>
      <c r="B14" s="8"/>
      <c r="D14" s="8"/>
      <c r="E14" s="5"/>
      <c r="F14" s="5"/>
      <c r="G14" s="5"/>
      <c r="H14" s="3"/>
      <c r="I14" s="2"/>
      <c r="J14" s="3"/>
      <c r="K14" s="9" t="str">
        <f t="shared" si="0"/>
        <v/>
      </c>
      <c r="Y14" s="8">
        <f t="shared" si="1"/>
        <v>0</v>
      </c>
      <c r="Z14" s="5">
        <f t="shared" si="2"/>
        <v>0</v>
      </c>
    </row>
    <row r="15" spans="1:27" x14ac:dyDescent="0.25">
      <c r="A15" s="12" t="s">
        <v>100</v>
      </c>
      <c r="B15" s="3" t="str">
        <f>IF(M3=N3,B14-B12,"")</f>
        <v/>
      </c>
      <c r="D15" s="8"/>
      <c r="E15" s="5"/>
      <c r="F15" s="5"/>
      <c r="G15" s="5"/>
      <c r="H15" s="3"/>
      <c r="I15" s="2"/>
      <c r="J15" s="3"/>
      <c r="K15" s="9" t="str">
        <f t="shared" si="0"/>
        <v/>
      </c>
      <c r="Y15" s="8">
        <f t="shared" si="1"/>
        <v>0</v>
      </c>
      <c r="Z15" s="5">
        <f t="shared" si="2"/>
        <v>0</v>
      </c>
    </row>
    <row r="16" spans="1:27" x14ac:dyDescent="0.25">
      <c r="D16" s="8"/>
      <c r="E16" s="5"/>
      <c r="F16" s="5"/>
      <c r="G16" s="5"/>
      <c r="H16" s="3"/>
      <c r="I16" s="2"/>
      <c r="J16" s="3"/>
      <c r="K16" s="9" t="str">
        <f t="shared" si="0"/>
        <v/>
      </c>
      <c r="Y16" s="8">
        <f t="shared" si="1"/>
        <v>0</v>
      </c>
      <c r="Z16" s="5">
        <f t="shared" si="2"/>
        <v>0</v>
      </c>
    </row>
    <row r="17" spans="4:26" x14ac:dyDescent="0.25">
      <c r="D17" s="8"/>
      <c r="E17" s="5"/>
      <c r="F17" s="5"/>
      <c r="G17" s="5"/>
      <c r="H17" s="3"/>
      <c r="I17" s="2"/>
      <c r="J17" s="3"/>
      <c r="K17" s="9" t="str">
        <f t="shared" si="0"/>
        <v/>
      </c>
      <c r="Y17" s="8">
        <f t="shared" si="1"/>
        <v>0</v>
      </c>
      <c r="Z17" s="5">
        <f t="shared" si="2"/>
        <v>0</v>
      </c>
    </row>
    <row r="18" spans="4:26" x14ac:dyDescent="0.25">
      <c r="D18" s="8"/>
      <c r="E18" s="5"/>
      <c r="F18" s="3"/>
      <c r="G18" s="5"/>
      <c r="H18" s="3"/>
      <c r="I18" s="2"/>
      <c r="J18" s="3"/>
      <c r="K18" s="9" t="str">
        <f t="shared" si="0"/>
        <v/>
      </c>
      <c r="Y18" s="8">
        <f t="shared" si="1"/>
        <v>0</v>
      </c>
      <c r="Z18" s="5">
        <f t="shared" si="2"/>
        <v>0</v>
      </c>
    </row>
    <row r="19" spans="4:26" x14ac:dyDescent="0.25">
      <c r="D19" s="8"/>
      <c r="E19" s="2"/>
      <c r="F19" s="2"/>
      <c r="G19" s="2"/>
      <c r="H19" s="2"/>
      <c r="I19" s="2"/>
      <c r="J19" s="3"/>
      <c r="K19" s="9" t="str">
        <f t="shared" si="0"/>
        <v/>
      </c>
      <c r="Y19" s="8">
        <f t="shared" si="1"/>
        <v>0</v>
      </c>
      <c r="Z19" s="5">
        <f t="shared" si="2"/>
        <v>0</v>
      </c>
    </row>
    <row r="20" spans="4:26" x14ac:dyDescent="0.25">
      <c r="D20" s="16"/>
      <c r="E20" s="5"/>
      <c r="F20" s="5"/>
      <c r="G20" s="5"/>
      <c r="H20" s="5"/>
      <c r="I20" s="5"/>
      <c r="J20" s="3"/>
      <c r="K20" s="9" t="str">
        <f t="shared" ref="K20:K41" si="3">IF(J20&gt;0,J20-D20,"")</f>
        <v/>
      </c>
      <c r="Y20" s="8">
        <f t="shared" si="1"/>
        <v>0</v>
      </c>
      <c r="Z20" s="5">
        <f t="shared" si="2"/>
        <v>0</v>
      </c>
    </row>
    <row r="21" spans="4:26" x14ac:dyDescent="0.25">
      <c r="D21" s="16"/>
      <c r="E21" s="5"/>
      <c r="F21" s="5"/>
      <c r="G21" s="5"/>
      <c r="H21" s="5"/>
      <c r="I21" s="5"/>
      <c r="J21" s="3"/>
      <c r="K21" s="9" t="str">
        <f t="shared" si="3"/>
        <v/>
      </c>
      <c r="Y21" s="8">
        <f t="shared" si="1"/>
        <v>0</v>
      </c>
      <c r="Z21" s="5">
        <f t="shared" si="2"/>
        <v>0</v>
      </c>
    </row>
    <row r="22" spans="4:26" x14ac:dyDescent="0.25">
      <c r="D22" s="16"/>
      <c r="E22" s="5"/>
      <c r="F22" s="5"/>
      <c r="G22" s="5"/>
      <c r="H22" s="5"/>
      <c r="I22" s="5"/>
      <c r="J22" s="3"/>
      <c r="K22" s="9" t="str">
        <f t="shared" si="3"/>
        <v/>
      </c>
      <c r="Y22" s="8">
        <f t="shared" si="1"/>
        <v>0</v>
      </c>
      <c r="Z22" s="5">
        <f t="shared" si="2"/>
        <v>0</v>
      </c>
    </row>
    <row r="23" spans="4:26" x14ac:dyDescent="0.25">
      <c r="D23" s="16"/>
      <c r="E23" s="5"/>
      <c r="F23" s="5"/>
      <c r="G23" s="5"/>
      <c r="H23" s="5"/>
      <c r="I23" s="5"/>
      <c r="J23" s="3"/>
      <c r="K23" s="9" t="str">
        <f t="shared" si="3"/>
        <v/>
      </c>
      <c r="Y23" s="8">
        <f t="shared" si="1"/>
        <v>0</v>
      </c>
      <c r="Z23" s="5">
        <f t="shared" si="2"/>
        <v>0</v>
      </c>
    </row>
    <row r="24" spans="4:26" x14ac:dyDescent="0.25">
      <c r="D24" s="16"/>
      <c r="E24" s="5"/>
      <c r="F24" s="5"/>
      <c r="G24" s="5"/>
      <c r="H24" s="5"/>
      <c r="I24" s="5"/>
      <c r="J24" s="3"/>
      <c r="K24" s="9" t="str">
        <f t="shared" si="3"/>
        <v/>
      </c>
      <c r="Y24" s="8">
        <f t="shared" si="1"/>
        <v>0</v>
      </c>
      <c r="Z24" s="5">
        <f t="shared" si="2"/>
        <v>0</v>
      </c>
    </row>
    <row r="25" spans="4:26" x14ac:dyDescent="0.25">
      <c r="D25" s="16"/>
      <c r="E25" s="5"/>
      <c r="F25" s="5"/>
      <c r="G25" s="5"/>
      <c r="H25" s="5"/>
      <c r="I25" s="5"/>
      <c r="J25" s="3"/>
      <c r="K25" s="9" t="str">
        <f t="shared" si="3"/>
        <v/>
      </c>
      <c r="Y25" s="8">
        <f t="shared" si="1"/>
        <v>0</v>
      </c>
      <c r="Z25" s="5">
        <f t="shared" si="2"/>
        <v>0</v>
      </c>
    </row>
    <row r="26" spans="4:26" x14ac:dyDescent="0.25">
      <c r="D26" s="16"/>
      <c r="E26" s="5"/>
      <c r="F26" s="5"/>
      <c r="G26" s="5"/>
      <c r="H26" s="5"/>
      <c r="I26" s="5"/>
      <c r="J26" s="3"/>
      <c r="K26" s="9" t="str">
        <f t="shared" si="3"/>
        <v/>
      </c>
      <c r="Y26" s="8">
        <f t="shared" si="1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si="3"/>
        <v/>
      </c>
      <c r="Y27" s="8">
        <f t="shared" si="1"/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4">SUM(F2:F41)</f>
        <v>5.879999999999999</v>
      </c>
      <c r="G42" s="5">
        <f t="shared" si="4"/>
        <v>0</v>
      </c>
      <c r="H42" s="5">
        <f t="shared" si="4"/>
        <v>2.9099999999999997</v>
      </c>
      <c r="I42" s="5">
        <f t="shared" si="4"/>
        <v>0.02</v>
      </c>
      <c r="J42" s="3"/>
      <c r="K42" s="3"/>
    </row>
  </sheetData>
  <mergeCells count="5">
    <mergeCell ref="S1:S2"/>
    <mergeCell ref="M1:N1"/>
    <mergeCell ref="O1:P1"/>
    <mergeCell ref="Q1:Q2"/>
    <mergeCell ref="R1:R2"/>
  </mergeCells>
  <conditionalFormatting sqref="A1">
    <cfRule type="expression" dxfId="14" priority="1">
      <formula>$M$3=$N$3</formula>
    </cfRule>
  </conditionalFormatting>
  <conditionalFormatting sqref="A1:B1">
    <cfRule type="expression" dxfId="13" priority="2">
      <formula>$AA$2="+"</formula>
    </cfRule>
  </conditionalFormatting>
  <conditionalFormatting sqref="B1">
    <cfRule type="expression" dxfId="12" priority="4">
      <formula>$M$3=$N$3</formula>
    </cfRule>
  </conditionalFormatting>
  <conditionalFormatting sqref="S3">
    <cfRule type="expression" dxfId="11" priority="6">
      <formula>$AA$2="+"</formula>
    </cfRule>
  </conditionalFormatting>
  <conditionalFormatting sqref="AA2">
    <cfRule type="expression" dxfId="10" priority="5">
      <formula>$AA$2="+"</formula>
    </cfRule>
  </conditionalFormatting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000"/>
  </sheetPr>
  <dimension ref="A1:AA42"/>
  <sheetViews>
    <sheetView workbookViewId="0">
      <selection activeCell="K18" sqref="K18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0</v>
      </c>
      <c r="B1" s="3" t="s">
        <v>17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16</v>
      </c>
      <c r="D2" s="8">
        <v>45752</v>
      </c>
      <c r="E2" s="5">
        <v>0</v>
      </c>
      <c r="F2" s="5">
        <v>0.5</v>
      </c>
      <c r="G2" s="5">
        <v>0</v>
      </c>
      <c r="H2" s="5">
        <v>0.5</v>
      </c>
      <c r="I2" s="5">
        <v>0</v>
      </c>
      <c r="J2" s="8">
        <v>45748</v>
      </c>
      <c r="K2" s="9">
        <f t="shared" ref="K2:K19" si="0">IF(J2&gt;0,J2-D2,"")</f>
        <v>-4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45717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45717</v>
      </c>
      <c r="D3" s="8">
        <v>45782</v>
      </c>
      <c r="E3" s="5">
        <v>0</v>
      </c>
      <c r="F3" s="5">
        <v>0.49</v>
      </c>
      <c r="G3" s="5">
        <v>0</v>
      </c>
      <c r="H3" s="3">
        <v>0.49</v>
      </c>
      <c r="I3" s="5">
        <v>0</v>
      </c>
      <c r="J3" s="8">
        <v>45782</v>
      </c>
      <c r="K3" s="9">
        <f t="shared" si="0"/>
        <v>0</v>
      </c>
      <c r="M3" s="5">
        <f>B11</f>
        <v>50</v>
      </c>
      <c r="N3" s="5">
        <f>G42</f>
        <v>0</v>
      </c>
      <c r="O3" s="5">
        <f>F42</f>
        <v>8.57</v>
      </c>
      <c r="P3" s="5">
        <f>H42+I42</f>
        <v>9.1300000000000008</v>
      </c>
      <c r="Q3" s="15" t="str">
        <f>IF(M3=N3,XIRR(Z2:Z26,Y2:Y26),"")</f>
        <v/>
      </c>
      <c r="R3" s="8" t="str">
        <f>IF(M3=N3,B14,"")</f>
        <v/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45748</v>
      </c>
      <c r="Z3" s="5">
        <f>G2+H2+I2</f>
        <v>0.5</v>
      </c>
    </row>
    <row r="4" spans="1:27" x14ac:dyDescent="0.25">
      <c r="A4" s="12" t="s">
        <v>10</v>
      </c>
      <c r="B4" s="8">
        <v>45721</v>
      </c>
      <c r="D4" s="8">
        <v>45813</v>
      </c>
      <c r="E4" s="5">
        <v>0</v>
      </c>
      <c r="F4" s="5">
        <v>0.5</v>
      </c>
      <c r="G4" s="5">
        <v>0</v>
      </c>
      <c r="H4" s="5">
        <v>0.5</v>
      </c>
      <c r="I4" s="5">
        <v>0</v>
      </c>
      <c r="J4" s="8">
        <v>45813</v>
      </c>
      <c r="K4" s="9">
        <f t="shared" si="0"/>
        <v>0</v>
      </c>
      <c r="Y4" s="8">
        <f t="shared" ref="Y4:Y41" si="1">J3</f>
        <v>45782</v>
      </c>
      <c r="Z4" s="5">
        <f t="shared" ref="Z4:Z41" si="2">G3+H3+I3</f>
        <v>0.49</v>
      </c>
    </row>
    <row r="5" spans="1:27" x14ac:dyDescent="0.25">
      <c r="A5" s="12" t="s">
        <v>2</v>
      </c>
      <c r="B5" s="3" t="s">
        <v>14</v>
      </c>
      <c r="D5" s="8">
        <v>45843</v>
      </c>
      <c r="E5" s="5">
        <v>0</v>
      </c>
      <c r="F5" s="5">
        <v>0.49</v>
      </c>
      <c r="G5" s="5">
        <v>0</v>
      </c>
      <c r="H5" s="3">
        <v>0.49</v>
      </c>
      <c r="I5" s="5">
        <v>0</v>
      </c>
      <c r="J5" s="8">
        <v>45842</v>
      </c>
      <c r="K5" s="9">
        <f t="shared" si="0"/>
        <v>-1</v>
      </c>
      <c r="Y5" s="8">
        <f t="shared" si="1"/>
        <v>45813</v>
      </c>
      <c r="Z5" s="5">
        <f t="shared" si="2"/>
        <v>0.5</v>
      </c>
    </row>
    <row r="6" spans="1:27" x14ac:dyDescent="0.25">
      <c r="A6" s="12" t="s">
        <v>11</v>
      </c>
      <c r="B6" s="4">
        <v>0.6</v>
      </c>
      <c r="D6" s="8">
        <v>45874</v>
      </c>
      <c r="E6" s="5">
        <v>0</v>
      </c>
      <c r="F6" s="5">
        <v>0.5</v>
      </c>
      <c r="G6" s="5">
        <v>0</v>
      </c>
      <c r="H6" s="5">
        <v>0.5</v>
      </c>
      <c r="I6" s="5">
        <v>0</v>
      </c>
      <c r="J6" s="8">
        <v>45873</v>
      </c>
      <c r="K6" s="9">
        <f t="shared" si="0"/>
        <v>-1</v>
      </c>
      <c r="Y6" s="8">
        <f t="shared" si="1"/>
        <v>45842</v>
      </c>
      <c r="Z6" s="5">
        <f t="shared" si="2"/>
        <v>0.49</v>
      </c>
    </row>
    <row r="7" spans="1:27" x14ac:dyDescent="0.25">
      <c r="A7" s="12" t="s">
        <v>12</v>
      </c>
      <c r="B7" s="4" t="s">
        <v>24</v>
      </c>
      <c r="D7" s="8">
        <v>45905</v>
      </c>
      <c r="E7" s="5">
        <v>0</v>
      </c>
      <c r="F7" s="5">
        <v>0.5</v>
      </c>
      <c r="G7" s="5">
        <v>0</v>
      </c>
      <c r="H7" s="5">
        <v>0.5</v>
      </c>
      <c r="I7" s="5">
        <v>0</v>
      </c>
      <c r="J7" s="8">
        <v>45904</v>
      </c>
      <c r="K7" s="9">
        <f t="shared" si="0"/>
        <v>-1</v>
      </c>
      <c r="Y7" s="8">
        <f t="shared" si="1"/>
        <v>45873</v>
      </c>
      <c r="Z7" s="5">
        <f t="shared" si="2"/>
        <v>0.5</v>
      </c>
    </row>
    <row r="8" spans="1:27" x14ac:dyDescent="0.25">
      <c r="A8" s="12" t="s">
        <v>4</v>
      </c>
      <c r="B8" s="3">
        <v>17</v>
      </c>
      <c r="D8" s="8">
        <v>45935</v>
      </c>
      <c r="E8" s="5">
        <v>0</v>
      </c>
      <c r="F8" s="5">
        <v>0.49</v>
      </c>
      <c r="G8" s="5">
        <v>0</v>
      </c>
      <c r="H8" s="3">
        <v>0.49</v>
      </c>
      <c r="I8" s="5">
        <v>0</v>
      </c>
      <c r="J8" s="8">
        <v>45932</v>
      </c>
      <c r="K8" s="9">
        <f t="shared" si="0"/>
        <v>-3</v>
      </c>
      <c r="Y8" s="8">
        <f t="shared" si="1"/>
        <v>45904</v>
      </c>
      <c r="Z8" s="5">
        <f t="shared" si="2"/>
        <v>0.5</v>
      </c>
    </row>
    <row r="9" spans="1:27" x14ac:dyDescent="0.25">
      <c r="A9" s="12" t="s">
        <v>5</v>
      </c>
      <c r="B9" s="3" t="s">
        <v>15</v>
      </c>
      <c r="D9" s="8">
        <v>45966</v>
      </c>
      <c r="E9" s="5">
        <v>0</v>
      </c>
      <c r="F9" s="5">
        <v>0.5</v>
      </c>
      <c r="G9" s="5">
        <v>0</v>
      </c>
      <c r="H9" s="5">
        <v>0.5</v>
      </c>
      <c r="I9" s="5">
        <v>0</v>
      </c>
      <c r="J9" s="8">
        <v>45965</v>
      </c>
      <c r="K9" s="9">
        <f t="shared" si="0"/>
        <v>-1</v>
      </c>
      <c r="Y9" s="8">
        <f t="shared" si="1"/>
        <v>45932</v>
      </c>
      <c r="Z9" s="5">
        <f t="shared" si="2"/>
        <v>0.49</v>
      </c>
    </row>
    <row r="10" spans="1:27" x14ac:dyDescent="0.25">
      <c r="A10" s="12" t="s">
        <v>7</v>
      </c>
      <c r="B10" s="14">
        <v>0.13</v>
      </c>
      <c r="D10" s="8">
        <v>45996</v>
      </c>
      <c r="E10" s="5">
        <v>0</v>
      </c>
      <c r="F10" s="5">
        <v>0.49</v>
      </c>
      <c r="G10" s="5">
        <v>0</v>
      </c>
      <c r="H10" s="3">
        <v>0.49</v>
      </c>
      <c r="I10" s="5">
        <v>0</v>
      </c>
      <c r="J10" s="8">
        <v>45996</v>
      </c>
      <c r="K10" s="9">
        <f t="shared" si="0"/>
        <v>0</v>
      </c>
      <c r="Y10" s="8">
        <f t="shared" si="1"/>
        <v>45965</v>
      </c>
      <c r="Z10" s="5">
        <f t="shared" si="2"/>
        <v>0.5</v>
      </c>
    </row>
    <row r="11" spans="1:27" x14ac:dyDescent="0.25">
      <c r="A11" s="12" t="s">
        <v>104</v>
      </c>
      <c r="B11" s="5">
        <v>50</v>
      </c>
      <c r="D11" s="8">
        <v>46027</v>
      </c>
      <c r="E11" s="5">
        <v>0</v>
      </c>
      <c r="F11" s="5">
        <v>0.5</v>
      </c>
      <c r="G11" s="5">
        <v>0</v>
      </c>
      <c r="H11" s="5">
        <v>0.5</v>
      </c>
      <c r="I11" s="5">
        <v>0</v>
      </c>
      <c r="J11" s="8">
        <v>46026</v>
      </c>
      <c r="K11" s="9">
        <f t="shared" si="0"/>
        <v>-1</v>
      </c>
      <c r="Y11" s="8">
        <f t="shared" si="1"/>
        <v>45996</v>
      </c>
      <c r="Z11" s="5">
        <f t="shared" si="2"/>
        <v>0.49</v>
      </c>
    </row>
    <row r="12" spans="1:27" x14ac:dyDescent="0.25">
      <c r="A12" s="12" t="s">
        <v>87</v>
      </c>
      <c r="B12" s="19">
        <v>46213</v>
      </c>
      <c r="D12" s="8">
        <v>46058</v>
      </c>
      <c r="E12" s="5">
        <v>0</v>
      </c>
      <c r="F12" s="5">
        <v>0.5</v>
      </c>
      <c r="G12" s="5">
        <v>0</v>
      </c>
      <c r="H12" s="5">
        <v>0.5</v>
      </c>
      <c r="I12" s="5">
        <v>0</v>
      </c>
      <c r="J12" s="8">
        <v>46056</v>
      </c>
      <c r="K12" s="9">
        <f t="shared" si="0"/>
        <v>-2</v>
      </c>
      <c r="Y12" s="8">
        <f t="shared" si="1"/>
        <v>46026</v>
      </c>
      <c r="Z12" s="5">
        <f t="shared" si="2"/>
        <v>0.5</v>
      </c>
    </row>
    <row r="13" spans="1:27" x14ac:dyDescent="0.25">
      <c r="A13" s="12" t="s">
        <v>90</v>
      </c>
      <c r="B13" s="9">
        <f ca="1">IF(B11&lt;&gt;N3,(TODAY()-B12)*-1,"")</f>
        <v>-82</v>
      </c>
      <c r="D13" s="8">
        <v>46086</v>
      </c>
      <c r="E13" s="5">
        <v>0</v>
      </c>
      <c r="F13" s="5">
        <v>0.46</v>
      </c>
      <c r="G13" s="5">
        <v>0</v>
      </c>
      <c r="H13" s="3">
        <v>0.46</v>
      </c>
      <c r="I13" s="5">
        <v>0</v>
      </c>
      <c r="J13" s="8">
        <v>46085</v>
      </c>
      <c r="K13" s="9">
        <f t="shared" si="0"/>
        <v>-1</v>
      </c>
      <c r="Y13" s="8">
        <f t="shared" si="1"/>
        <v>46056</v>
      </c>
      <c r="Z13" s="5">
        <f t="shared" si="2"/>
        <v>0.5</v>
      </c>
    </row>
    <row r="14" spans="1:27" x14ac:dyDescent="0.25">
      <c r="A14" s="12" t="s">
        <v>56</v>
      </c>
      <c r="B14" s="8"/>
      <c r="D14" s="8">
        <v>46117</v>
      </c>
      <c r="E14" s="5">
        <v>0</v>
      </c>
      <c r="F14" s="5">
        <v>0.5</v>
      </c>
      <c r="G14" s="5">
        <v>0</v>
      </c>
      <c r="H14" s="5">
        <v>0.5</v>
      </c>
      <c r="I14" s="5">
        <v>0</v>
      </c>
      <c r="J14" s="8">
        <v>46115</v>
      </c>
      <c r="K14" s="9">
        <f t="shared" si="0"/>
        <v>-2</v>
      </c>
      <c r="Y14" s="8">
        <f t="shared" si="1"/>
        <v>46085</v>
      </c>
      <c r="Z14" s="5">
        <f t="shared" si="2"/>
        <v>0.46</v>
      </c>
    </row>
    <row r="15" spans="1:27" x14ac:dyDescent="0.25">
      <c r="A15" s="12" t="s">
        <v>100</v>
      </c>
      <c r="B15" s="3" t="str">
        <f>IF(M3=N3,B14-B12,"")</f>
        <v/>
      </c>
      <c r="D15" s="8">
        <v>46147</v>
      </c>
      <c r="E15" s="5">
        <v>0</v>
      </c>
      <c r="F15" s="5">
        <v>0.49</v>
      </c>
      <c r="G15" s="5">
        <v>0</v>
      </c>
      <c r="H15" s="3">
        <v>0.49</v>
      </c>
      <c r="I15" s="5">
        <v>0</v>
      </c>
      <c r="J15" s="8">
        <v>46148</v>
      </c>
      <c r="K15" s="9">
        <f t="shared" si="0"/>
        <v>1</v>
      </c>
      <c r="Y15" s="8">
        <f t="shared" si="1"/>
        <v>46115</v>
      </c>
      <c r="Z15" s="5">
        <f t="shared" si="2"/>
        <v>0.5</v>
      </c>
    </row>
    <row r="16" spans="1:27" x14ac:dyDescent="0.25">
      <c r="D16" s="8">
        <v>46178</v>
      </c>
      <c r="E16" s="5">
        <v>0</v>
      </c>
      <c r="F16" s="5">
        <v>0.5</v>
      </c>
      <c r="G16" s="5">
        <v>0</v>
      </c>
      <c r="H16" s="5">
        <v>0.5</v>
      </c>
      <c r="I16" s="5">
        <v>0</v>
      </c>
      <c r="J16" s="8">
        <v>46178</v>
      </c>
      <c r="K16" s="9">
        <f t="shared" si="0"/>
        <v>0</v>
      </c>
      <c r="Y16" s="8">
        <f t="shared" si="1"/>
        <v>46148</v>
      </c>
      <c r="Z16" s="5">
        <f t="shared" si="2"/>
        <v>0.49</v>
      </c>
    </row>
    <row r="17" spans="2:26" x14ac:dyDescent="0.25">
      <c r="D17" s="8">
        <v>46208</v>
      </c>
      <c r="E17" s="5">
        <v>0</v>
      </c>
      <c r="F17" s="5">
        <v>0.49</v>
      </c>
      <c r="G17" s="5">
        <v>0</v>
      </c>
      <c r="H17" s="3">
        <v>0.49</v>
      </c>
      <c r="I17" s="5">
        <v>0</v>
      </c>
      <c r="J17" s="8">
        <v>46206</v>
      </c>
      <c r="K17" s="9">
        <f t="shared" si="0"/>
        <v>-2</v>
      </c>
      <c r="Y17" s="8">
        <f t="shared" si="1"/>
        <v>46178</v>
      </c>
      <c r="Z17" s="5">
        <f t="shared" si="2"/>
        <v>0.5</v>
      </c>
    </row>
    <row r="18" spans="2:26" x14ac:dyDescent="0.25">
      <c r="D18" s="8">
        <v>46275</v>
      </c>
      <c r="E18" s="5">
        <v>50</v>
      </c>
      <c r="F18" s="3">
        <v>0.67</v>
      </c>
      <c r="G18" s="5">
        <v>0</v>
      </c>
      <c r="H18" s="3">
        <v>0.67</v>
      </c>
      <c r="I18" s="5">
        <v>0.56000000000000005</v>
      </c>
      <c r="J18" s="8">
        <v>46286</v>
      </c>
      <c r="K18" s="9">
        <f t="shared" si="0"/>
        <v>11</v>
      </c>
      <c r="Y18" s="8">
        <f t="shared" si="1"/>
        <v>46206</v>
      </c>
      <c r="Z18" s="5">
        <f t="shared" si="2"/>
        <v>0.49</v>
      </c>
    </row>
    <row r="19" spans="2:26" x14ac:dyDescent="0.25">
      <c r="D19" s="8"/>
      <c r="E19" s="2"/>
      <c r="F19" s="2"/>
      <c r="G19" s="2"/>
      <c r="H19" s="2"/>
      <c r="I19" s="5"/>
      <c r="J19" s="8"/>
      <c r="K19" s="9" t="str">
        <f t="shared" si="0"/>
        <v/>
      </c>
      <c r="Y19" s="8">
        <f t="shared" si="1"/>
        <v>46286</v>
      </c>
      <c r="Z19" s="5">
        <f t="shared" si="2"/>
        <v>1.23</v>
      </c>
    </row>
    <row r="20" spans="2:26" x14ac:dyDescent="0.25">
      <c r="D20" s="16"/>
      <c r="E20" s="5"/>
      <c r="F20" s="5"/>
      <c r="G20" s="5"/>
      <c r="H20" s="5"/>
      <c r="I20" s="5"/>
      <c r="J20" s="3"/>
      <c r="K20" s="9" t="str">
        <f t="shared" ref="K20:K41" si="3">IF(J20&gt;0,J20-D20,"")</f>
        <v/>
      </c>
      <c r="Y20" s="8">
        <f t="shared" si="1"/>
        <v>0</v>
      </c>
      <c r="Z20" s="5">
        <f t="shared" si="2"/>
        <v>0</v>
      </c>
    </row>
    <row r="21" spans="2:26" x14ac:dyDescent="0.25">
      <c r="D21" s="16"/>
      <c r="E21" s="5"/>
      <c r="F21" s="5"/>
      <c r="G21" s="5"/>
      <c r="H21" s="5"/>
      <c r="I21" s="5"/>
      <c r="J21" s="3"/>
      <c r="K21" s="9" t="str">
        <f t="shared" si="3"/>
        <v/>
      </c>
      <c r="Y21" s="8">
        <f t="shared" si="1"/>
        <v>0</v>
      </c>
      <c r="Z21" s="5">
        <f t="shared" si="2"/>
        <v>0</v>
      </c>
    </row>
    <row r="22" spans="2:26" x14ac:dyDescent="0.25">
      <c r="D22" s="16"/>
      <c r="E22" s="5"/>
      <c r="F22" s="5"/>
      <c r="G22" s="5"/>
      <c r="H22" s="5"/>
      <c r="I22" s="5"/>
      <c r="J22" s="3"/>
      <c r="K22" s="9" t="str">
        <f t="shared" si="3"/>
        <v/>
      </c>
      <c r="Y22" s="8">
        <f t="shared" si="1"/>
        <v>0</v>
      </c>
      <c r="Z22" s="5">
        <f t="shared" si="2"/>
        <v>0</v>
      </c>
    </row>
    <row r="23" spans="2:26" x14ac:dyDescent="0.25">
      <c r="B23" s="13"/>
      <c r="D23" s="16"/>
      <c r="E23" s="5"/>
      <c r="F23" s="5"/>
      <c r="G23" s="5"/>
      <c r="H23" s="5"/>
      <c r="I23" s="5"/>
      <c r="J23" s="3"/>
      <c r="K23" s="9" t="str">
        <f t="shared" si="3"/>
        <v/>
      </c>
      <c r="Y23" s="8">
        <f t="shared" si="1"/>
        <v>0</v>
      </c>
      <c r="Z23" s="5">
        <f t="shared" si="2"/>
        <v>0</v>
      </c>
    </row>
    <row r="24" spans="2:26" x14ac:dyDescent="0.25">
      <c r="D24" s="16"/>
      <c r="E24" s="5"/>
      <c r="F24" s="5"/>
      <c r="G24" s="5"/>
      <c r="H24" s="5"/>
      <c r="I24" s="5"/>
      <c r="J24" s="3"/>
      <c r="K24" s="9" t="str">
        <f t="shared" si="3"/>
        <v/>
      </c>
      <c r="Y24" s="8">
        <f t="shared" si="1"/>
        <v>0</v>
      </c>
      <c r="Z24" s="5">
        <f t="shared" si="2"/>
        <v>0</v>
      </c>
    </row>
    <row r="25" spans="2:26" x14ac:dyDescent="0.25">
      <c r="D25" s="16"/>
      <c r="E25" s="5"/>
      <c r="F25" s="5"/>
      <c r="G25" s="5"/>
      <c r="H25" s="5"/>
      <c r="I25" s="5"/>
      <c r="J25" s="3"/>
      <c r="K25" s="9" t="str">
        <f t="shared" si="3"/>
        <v/>
      </c>
      <c r="Y25" s="8">
        <f t="shared" si="1"/>
        <v>0</v>
      </c>
      <c r="Z25" s="5">
        <f t="shared" si="2"/>
        <v>0</v>
      </c>
    </row>
    <row r="26" spans="2:26" x14ac:dyDescent="0.25">
      <c r="D26" s="16"/>
      <c r="E26" s="5"/>
      <c r="F26" s="5"/>
      <c r="G26" s="5"/>
      <c r="H26" s="5"/>
      <c r="I26" s="5"/>
      <c r="J26" s="3"/>
      <c r="K26" s="9" t="str">
        <f t="shared" si="3"/>
        <v/>
      </c>
      <c r="Y26" s="8">
        <f t="shared" si="1"/>
        <v>0</v>
      </c>
      <c r="Z26" s="5">
        <f t="shared" si="2"/>
        <v>0</v>
      </c>
    </row>
    <row r="27" spans="2:26" x14ac:dyDescent="0.25">
      <c r="D27" s="16"/>
      <c r="E27" s="5"/>
      <c r="F27" s="5"/>
      <c r="G27" s="5"/>
      <c r="H27" s="5"/>
      <c r="I27" s="5"/>
      <c r="J27" s="3"/>
      <c r="K27" s="9" t="str">
        <f t="shared" si="3"/>
        <v/>
      </c>
      <c r="Y27" s="8">
        <f t="shared" si="1"/>
        <v>0</v>
      </c>
      <c r="Z27" s="5">
        <f t="shared" si="2"/>
        <v>0</v>
      </c>
    </row>
    <row r="28" spans="2:26" x14ac:dyDescent="0.25">
      <c r="D28" s="16"/>
      <c r="E28" s="5"/>
      <c r="F28" s="5"/>
      <c r="G28" s="5"/>
      <c r="H28" s="5"/>
      <c r="I28" s="5"/>
      <c r="J28" s="3"/>
      <c r="K28" s="9" t="str">
        <f t="shared" si="3"/>
        <v/>
      </c>
      <c r="Y28" s="8">
        <f t="shared" si="1"/>
        <v>0</v>
      </c>
      <c r="Z28" s="5">
        <f t="shared" si="2"/>
        <v>0</v>
      </c>
    </row>
    <row r="29" spans="2:26" x14ac:dyDescent="0.25">
      <c r="D29" s="16"/>
      <c r="E29" s="5"/>
      <c r="F29" s="5"/>
      <c r="G29" s="5"/>
      <c r="H29" s="5"/>
      <c r="I29" s="5"/>
      <c r="J29" s="3"/>
      <c r="K29" s="9" t="str">
        <f t="shared" si="3"/>
        <v/>
      </c>
      <c r="Y29" s="8">
        <f t="shared" si="1"/>
        <v>0</v>
      </c>
      <c r="Z29" s="5">
        <f t="shared" si="2"/>
        <v>0</v>
      </c>
    </row>
    <row r="30" spans="2:26" x14ac:dyDescent="0.25">
      <c r="D30" s="16"/>
      <c r="E30" s="5"/>
      <c r="F30" s="5"/>
      <c r="G30" s="5"/>
      <c r="H30" s="5"/>
      <c r="I30" s="5"/>
      <c r="J30" s="3"/>
      <c r="K30" s="9" t="str">
        <f t="shared" si="3"/>
        <v/>
      </c>
      <c r="Y30" s="8">
        <f t="shared" si="1"/>
        <v>0</v>
      </c>
      <c r="Z30" s="5">
        <f t="shared" si="2"/>
        <v>0</v>
      </c>
    </row>
    <row r="31" spans="2:26" x14ac:dyDescent="0.25">
      <c r="D31" s="16"/>
      <c r="E31" s="5"/>
      <c r="F31" s="5"/>
      <c r="G31" s="5"/>
      <c r="H31" s="5"/>
      <c r="I31" s="5"/>
      <c r="J31" s="3"/>
      <c r="K31" s="9" t="str">
        <f t="shared" si="3"/>
        <v/>
      </c>
      <c r="Y31" s="8">
        <f t="shared" si="1"/>
        <v>0</v>
      </c>
      <c r="Z31" s="5">
        <f t="shared" si="2"/>
        <v>0</v>
      </c>
    </row>
    <row r="32" spans="2:26" x14ac:dyDescent="0.25">
      <c r="D32" s="16"/>
      <c r="E32" s="5"/>
      <c r="F32" s="5"/>
      <c r="G32" s="5"/>
      <c r="H32" s="5"/>
      <c r="I32" s="5"/>
      <c r="J32" s="3"/>
      <c r="K32" s="9" t="str">
        <f t="shared" si="3"/>
        <v/>
      </c>
      <c r="Y32" s="8">
        <f t="shared" si="1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3"/>
        <v/>
      </c>
      <c r="Y33" s="8">
        <f t="shared" si="1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3"/>
        <v/>
      </c>
      <c r="Y34" s="8">
        <f t="shared" si="1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3"/>
        <v/>
      </c>
      <c r="Y35" s="8">
        <f t="shared" si="1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3"/>
        <v/>
      </c>
      <c r="Y36" s="8">
        <f t="shared" si="1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3"/>
        <v/>
      </c>
      <c r="Y37" s="8">
        <f t="shared" si="1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3"/>
        <v/>
      </c>
      <c r="Y38" s="8">
        <f t="shared" si="1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3"/>
        <v/>
      </c>
      <c r="Y39" s="8">
        <f t="shared" si="1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3"/>
        <v/>
      </c>
      <c r="Y40" s="8">
        <f t="shared" si="1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3"/>
        <v/>
      </c>
      <c r="Y41" s="8">
        <f t="shared" si="1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4">SUM(F2:F41)</f>
        <v>8.57</v>
      </c>
      <c r="G42" s="5">
        <f t="shared" si="4"/>
        <v>0</v>
      </c>
      <c r="H42" s="5">
        <f t="shared" si="4"/>
        <v>8.57</v>
      </c>
      <c r="I42" s="5">
        <f t="shared" si="4"/>
        <v>0.56000000000000005</v>
      </c>
      <c r="J42" s="3"/>
      <c r="K42" s="3"/>
    </row>
  </sheetData>
  <mergeCells count="5">
    <mergeCell ref="M1:N1"/>
    <mergeCell ref="O1:P1"/>
    <mergeCell ref="Q1:Q2"/>
    <mergeCell ref="R1:R2"/>
    <mergeCell ref="S1:S2"/>
  </mergeCells>
  <conditionalFormatting sqref="A1">
    <cfRule type="expression" dxfId="9" priority="1">
      <formula>$M$3=$N$3</formula>
    </cfRule>
  </conditionalFormatting>
  <conditionalFormatting sqref="A1:B1">
    <cfRule type="expression" dxfId="8" priority="2">
      <formula>$AA$2="+"</formula>
    </cfRule>
  </conditionalFormatting>
  <conditionalFormatting sqref="B1">
    <cfRule type="expression" dxfId="7" priority="4">
      <formula>$M$3=$N$3</formula>
    </cfRule>
  </conditionalFormatting>
  <conditionalFormatting sqref="S3">
    <cfRule type="expression" dxfId="6" priority="15">
      <formula>$AA$2="+"</formula>
    </cfRule>
  </conditionalFormatting>
  <conditionalFormatting sqref="AA2">
    <cfRule type="expression" dxfId="5" priority="14">
      <formula>$AA$2="+"</formula>
    </cfRule>
  </conditionalFormatting>
  <pageMargins left="0.7" right="0.7" top="0.75" bottom="0.75" header="0.3" footer="0.3"/>
  <pageSetup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A42"/>
  <sheetViews>
    <sheetView workbookViewId="0">
      <selection activeCell="Q3" sqref="Q3"/>
    </sheetView>
  </sheetViews>
  <sheetFormatPr defaultRowHeight="15" x14ac:dyDescent="0.25"/>
  <cols>
    <col min="1" max="1" width="30.7109375" customWidth="1"/>
    <col min="2" max="2" width="50.7109375" customWidth="1"/>
    <col min="3" max="3" width="8.7109375" customWidth="1"/>
    <col min="4" max="4" width="12.7109375" style="1" customWidth="1"/>
    <col min="5" max="9" width="10.7109375" customWidth="1"/>
    <col min="10" max="10" width="12.7109375" style="1" customWidth="1"/>
    <col min="11" max="11" width="10.7109375" style="1" customWidth="1"/>
    <col min="12" max="12" width="8.7109375" customWidth="1"/>
    <col min="13" max="19" width="10.7109375" customWidth="1"/>
    <col min="20" max="24" width="8.7109375" customWidth="1"/>
    <col min="25" max="27" width="10.7109375" customWidth="1"/>
  </cols>
  <sheetData>
    <row r="1" spans="1:27" x14ac:dyDescent="0.25">
      <c r="A1" s="12" t="s">
        <v>101</v>
      </c>
      <c r="B1" s="3" t="s">
        <v>18</v>
      </c>
      <c r="D1" s="16" t="s">
        <v>9</v>
      </c>
      <c r="E1" s="16" t="s">
        <v>0</v>
      </c>
      <c r="F1" s="16" t="s">
        <v>6</v>
      </c>
      <c r="G1" s="16" t="s">
        <v>0</v>
      </c>
      <c r="H1" s="16" t="s">
        <v>6</v>
      </c>
      <c r="I1" s="7" t="s">
        <v>50</v>
      </c>
      <c r="J1" s="7" t="s">
        <v>9</v>
      </c>
      <c r="K1" s="7" t="s">
        <v>46</v>
      </c>
      <c r="M1" s="35" t="s">
        <v>0</v>
      </c>
      <c r="N1" s="37"/>
      <c r="O1" s="35" t="s">
        <v>6</v>
      </c>
      <c r="P1" s="37"/>
      <c r="Q1" s="42" t="s">
        <v>75</v>
      </c>
      <c r="R1" s="42" t="s">
        <v>56</v>
      </c>
      <c r="S1" s="42" t="s">
        <v>83</v>
      </c>
      <c r="T1" s="20"/>
      <c r="U1" s="20"/>
      <c r="V1" s="20"/>
      <c r="Y1" s="17" t="s">
        <v>9</v>
      </c>
      <c r="Z1" s="16" t="s">
        <v>76</v>
      </c>
      <c r="AA1" s="12" t="s">
        <v>46</v>
      </c>
    </row>
    <row r="2" spans="1:27" x14ac:dyDescent="0.25">
      <c r="A2" s="12" t="s">
        <v>1</v>
      </c>
      <c r="B2" s="3" t="s">
        <v>13</v>
      </c>
      <c r="D2" s="8">
        <v>45744</v>
      </c>
      <c r="E2" s="5">
        <v>0</v>
      </c>
      <c r="F2" s="3">
        <v>0.49</v>
      </c>
      <c r="G2" s="5">
        <v>0</v>
      </c>
      <c r="H2" s="3">
        <v>0.49</v>
      </c>
      <c r="I2" s="5">
        <v>0</v>
      </c>
      <c r="J2" s="8">
        <v>45744</v>
      </c>
      <c r="K2" s="9">
        <f t="shared" ref="K2:K16" si="0">IF(J2&gt;0,J2-D2,"")</f>
        <v>0</v>
      </c>
      <c r="M2" s="18" t="s">
        <v>77</v>
      </c>
      <c r="N2" s="18" t="s">
        <v>56</v>
      </c>
      <c r="O2" s="16" t="s">
        <v>78</v>
      </c>
      <c r="P2" s="16" t="s">
        <v>79</v>
      </c>
      <c r="Q2" s="43"/>
      <c r="R2" s="43"/>
      <c r="S2" s="43"/>
      <c r="T2" s="20"/>
      <c r="U2" s="20"/>
      <c r="V2" s="20"/>
      <c r="Y2" s="8">
        <f>B3</f>
        <v>45715</v>
      </c>
      <c r="Z2" s="5">
        <f>B11*-1</f>
        <v>-50</v>
      </c>
      <c r="AA2" s="3" t="str">
        <f ca="1">IF(COUNTIFS(D:D,"&lt;"&amp;TODAY(),J:J,"")&gt;0,"+","")</f>
        <v/>
      </c>
    </row>
    <row r="3" spans="1:27" x14ac:dyDescent="0.25">
      <c r="A3" s="12" t="s">
        <v>8</v>
      </c>
      <c r="B3" s="8">
        <v>45715</v>
      </c>
      <c r="D3" s="8">
        <v>45775</v>
      </c>
      <c r="E3" s="5">
        <v>0</v>
      </c>
      <c r="F3" s="5">
        <v>0.55000000000000004</v>
      </c>
      <c r="G3" s="5">
        <v>0</v>
      </c>
      <c r="H3" s="3">
        <v>0.55000000000000004</v>
      </c>
      <c r="I3" s="5">
        <v>0</v>
      </c>
      <c r="J3" s="8">
        <v>45775</v>
      </c>
      <c r="K3" s="9">
        <f t="shared" si="0"/>
        <v>0</v>
      </c>
      <c r="M3" s="5">
        <f>B11</f>
        <v>50</v>
      </c>
      <c r="N3" s="5">
        <f>G42</f>
        <v>50</v>
      </c>
      <c r="O3" s="5">
        <f>F42</f>
        <v>7.55</v>
      </c>
      <c r="P3" s="5">
        <f>H42+I42</f>
        <v>7.54</v>
      </c>
      <c r="Q3" s="15">
        <f>IF(M3=N3,XIRR(Z2:Z26,Y2:Y26),"")</f>
        <v>0.13739555478096013</v>
      </c>
      <c r="R3" s="8">
        <f>IF(M3=N3,B14,"")</f>
        <v>46140</v>
      </c>
      <c r="S3" s="3" t="str">
        <f ca="1">IF(COUNTIFS(D:D,"&lt;"&amp;TODAY(),J:J,"")=0,"",TODAY()-_xlfn.MINIFS(D:D,D:D,"&lt;"&amp;TODAY(),J:J,""))</f>
        <v/>
      </c>
      <c r="T3" s="1"/>
      <c r="U3" s="1"/>
      <c r="V3" s="1"/>
      <c r="Y3" s="8">
        <f>J2</f>
        <v>45744</v>
      </c>
      <c r="Z3" s="5">
        <f>G2+H2+I2</f>
        <v>0.49</v>
      </c>
    </row>
    <row r="4" spans="1:27" x14ac:dyDescent="0.25">
      <c r="A4" s="12" t="s">
        <v>10</v>
      </c>
      <c r="B4" s="8">
        <v>45716</v>
      </c>
      <c r="D4" s="8">
        <v>45805</v>
      </c>
      <c r="E4" s="5">
        <v>0</v>
      </c>
      <c r="F4" s="5">
        <v>0.53</v>
      </c>
      <c r="G4" s="5">
        <v>0</v>
      </c>
      <c r="H4" s="3">
        <v>0.53</v>
      </c>
      <c r="I4" s="5">
        <v>0</v>
      </c>
      <c r="J4" s="8">
        <v>45805</v>
      </c>
      <c r="K4" s="9">
        <f t="shared" si="0"/>
        <v>0</v>
      </c>
      <c r="Y4" s="8">
        <f t="shared" ref="Y4:Y11" si="1">J3</f>
        <v>45775</v>
      </c>
      <c r="Z4" s="5">
        <f t="shared" ref="Z4:Z41" si="2">G3+H3+I3</f>
        <v>0.55000000000000004</v>
      </c>
    </row>
    <row r="5" spans="1:27" x14ac:dyDescent="0.25">
      <c r="A5" s="12" t="s">
        <v>2</v>
      </c>
      <c r="B5" s="3" t="s">
        <v>14</v>
      </c>
      <c r="D5" s="8">
        <v>45836</v>
      </c>
      <c r="E5" s="5">
        <v>0</v>
      </c>
      <c r="F5" s="5">
        <v>0.55000000000000004</v>
      </c>
      <c r="G5" s="5">
        <v>0</v>
      </c>
      <c r="H5" s="3">
        <v>0.55000000000000004</v>
      </c>
      <c r="I5" s="5">
        <v>0</v>
      </c>
      <c r="J5" s="8">
        <v>45836</v>
      </c>
      <c r="K5" s="9">
        <f t="shared" si="0"/>
        <v>0</v>
      </c>
      <c r="Y5" s="8">
        <f t="shared" si="1"/>
        <v>45805</v>
      </c>
      <c r="Z5" s="5">
        <f t="shared" si="2"/>
        <v>0.53</v>
      </c>
    </row>
    <row r="6" spans="1:27" x14ac:dyDescent="0.25">
      <c r="A6" s="12" t="s">
        <v>11</v>
      </c>
      <c r="B6" s="4">
        <v>0.48</v>
      </c>
      <c r="D6" s="8">
        <v>45866</v>
      </c>
      <c r="E6" s="5">
        <v>0</v>
      </c>
      <c r="F6" s="5">
        <v>0.53</v>
      </c>
      <c r="G6" s="5">
        <v>0</v>
      </c>
      <c r="H6" s="3">
        <v>0.53</v>
      </c>
      <c r="I6" s="3">
        <v>0.03</v>
      </c>
      <c r="J6" s="8">
        <v>45897</v>
      </c>
      <c r="K6" s="9">
        <f t="shared" si="0"/>
        <v>31</v>
      </c>
      <c r="Y6" s="8">
        <f t="shared" si="1"/>
        <v>45836</v>
      </c>
      <c r="Z6" s="5">
        <f t="shared" si="2"/>
        <v>0.55000000000000004</v>
      </c>
    </row>
    <row r="7" spans="1:27" x14ac:dyDescent="0.25">
      <c r="A7" s="12" t="s">
        <v>12</v>
      </c>
      <c r="B7" s="4" t="s">
        <v>24</v>
      </c>
      <c r="D7" s="8">
        <v>45897</v>
      </c>
      <c r="E7" s="5">
        <v>0</v>
      </c>
      <c r="F7" s="5">
        <v>0.55000000000000004</v>
      </c>
      <c r="G7" s="5">
        <v>0</v>
      </c>
      <c r="H7" s="3">
        <v>0.55000000000000004</v>
      </c>
      <c r="I7" s="3">
        <v>0.01</v>
      </c>
      <c r="J7" s="8">
        <v>45902</v>
      </c>
      <c r="K7" s="9">
        <f t="shared" si="0"/>
        <v>5</v>
      </c>
      <c r="Y7" s="8">
        <f t="shared" si="1"/>
        <v>45897</v>
      </c>
      <c r="Z7" s="5">
        <f t="shared" si="2"/>
        <v>0.56000000000000005</v>
      </c>
    </row>
    <row r="8" spans="1:27" x14ac:dyDescent="0.25">
      <c r="A8" s="12" t="s">
        <v>4</v>
      </c>
      <c r="B8" s="3">
        <v>14</v>
      </c>
      <c r="D8" s="8">
        <v>45928</v>
      </c>
      <c r="E8" s="5">
        <v>0</v>
      </c>
      <c r="F8" s="5">
        <v>0.55000000000000004</v>
      </c>
      <c r="G8" s="5">
        <v>0</v>
      </c>
      <c r="H8" s="3">
        <v>0.55000000000000004</v>
      </c>
      <c r="I8" s="5">
        <v>0</v>
      </c>
      <c r="J8" s="8">
        <v>45922</v>
      </c>
      <c r="K8" s="9">
        <f t="shared" si="0"/>
        <v>-6</v>
      </c>
      <c r="Y8" s="8">
        <f t="shared" si="1"/>
        <v>45902</v>
      </c>
      <c r="Z8" s="5">
        <f t="shared" si="2"/>
        <v>0.56000000000000005</v>
      </c>
    </row>
    <row r="9" spans="1:27" x14ac:dyDescent="0.25">
      <c r="A9" s="12" t="s">
        <v>5</v>
      </c>
      <c r="B9" s="3" t="s">
        <v>15</v>
      </c>
      <c r="D9" s="8">
        <v>45958</v>
      </c>
      <c r="E9" s="5">
        <v>0</v>
      </c>
      <c r="F9" s="5">
        <v>0.53</v>
      </c>
      <c r="G9" s="5">
        <v>0</v>
      </c>
      <c r="H9" s="3">
        <v>0.53</v>
      </c>
      <c r="I9" s="5">
        <v>0</v>
      </c>
      <c r="J9" s="8">
        <v>45955</v>
      </c>
      <c r="K9" s="9">
        <f t="shared" si="0"/>
        <v>-3</v>
      </c>
      <c r="Y9" s="8">
        <f t="shared" si="1"/>
        <v>45922</v>
      </c>
      <c r="Z9" s="5">
        <f t="shared" si="2"/>
        <v>0.55000000000000004</v>
      </c>
    </row>
    <row r="10" spans="1:27" x14ac:dyDescent="0.25">
      <c r="A10" s="12" t="s">
        <v>7</v>
      </c>
      <c r="B10" s="14">
        <v>0.13</v>
      </c>
      <c r="D10" s="8">
        <v>45989</v>
      </c>
      <c r="E10" s="5">
        <v>0</v>
      </c>
      <c r="F10" s="5">
        <v>0.55000000000000004</v>
      </c>
      <c r="G10" s="5">
        <v>0</v>
      </c>
      <c r="H10" s="3">
        <v>0.55000000000000004</v>
      </c>
      <c r="I10" s="5">
        <v>0</v>
      </c>
      <c r="J10" s="8">
        <v>45986</v>
      </c>
      <c r="K10" s="9">
        <f t="shared" si="0"/>
        <v>-3</v>
      </c>
      <c r="Y10" s="8">
        <f t="shared" si="1"/>
        <v>45955</v>
      </c>
      <c r="Z10" s="5">
        <f t="shared" si="2"/>
        <v>0.53</v>
      </c>
    </row>
    <row r="11" spans="1:27" x14ac:dyDescent="0.25">
      <c r="A11" s="12" t="s">
        <v>104</v>
      </c>
      <c r="B11" s="5">
        <v>50</v>
      </c>
      <c r="D11" s="8">
        <v>46019</v>
      </c>
      <c r="E11" s="5">
        <v>0</v>
      </c>
      <c r="F11" s="5">
        <v>0.53</v>
      </c>
      <c r="G11" s="5">
        <v>0</v>
      </c>
      <c r="H11" s="3">
        <v>0.53</v>
      </c>
      <c r="I11" s="5">
        <v>0</v>
      </c>
      <c r="J11" s="8">
        <v>46016</v>
      </c>
      <c r="K11" s="9">
        <f t="shared" si="0"/>
        <v>-3</v>
      </c>
      <c r="Y11" s="8">
        <f t="shared" si="1"/>
        <v>45986</v>
      </c>
      <c r="Z11" s="5">
        <f t="shared" si="2"/>
        <v>0.55000000000000004</v>
      </c>
    </row>
    <row r="12" spans="1:27" x14ac:dyDescent="0.25">
      <c r="A12" s="12" t="s">
        <v>102</v>
      </c>
      <c r="B12" s="19">
        <v>46140</v>
      </c>
      <c r="D12" s="8">
        <v>46050</v>
      </c>
      <c r="E12" s="5">
        <v>0</v>
      </c>
      <c r="F12" s="5">
        <v>0.55000000000000004</v>
      </c>
      <c r="G12" s="5">
        <v>0</v>
      </c>
      <c r="H12" s="3">
        <v>0.55000000000000004</v>
      </c>
      <c r="I12" s="5">
        <v>0</v>
      </c>
      <c r="J12" s="8">
        <v>46047</v>
      </c>
      <c r="K12" s="9">
        <f t="shared" si="0"/>
        <v>-3</v>
      </c>
      <c r="Y12" s="8">
        <f t="shared" ref="Y12:Y26" si="3">J11</f>
        <v>46016</v>
      </c>
      <c r="Z12" s="5">
        <f t="shared" si="2"/>
        <v>0.53</v>
      </c>
    </row>
    <row r="13" spans="1:27" x14ac:dyDescent="0.25">
      <c r="A13" s="12" t="s">
        <v>90</v>
      </c>
      <c r="B13" s="9" t="str">
        <f ca="1">IF(B11&lt;&gt;N3,(TODAY()-B12)*-1,"")</f>
        <v/>
      </c>
      <c r="D13" s="8">
        <v>46081</v>
      </c>
      <c r="E13" s="5">
        <v>0</v>
      </c>
      <c r="F13" s="5">
        <v>0.55000000000000004</v>
      </c>
      <c r="G13" s="5">
        <v>0</v>
      </c>
      <c r="H13" s="3">
        <v>0.55000000000000004</v>
      </c>
      <c r="I13" s="5">
        <v>0</v>
      </c>
      <c r="J13" s="8">
        <v>46080</v>
      </c>
      <c r="K13" s="9">
        <f t="shared" si="0"/>
        <v>-1</v>
      </c>
      <c r="Y13" s="8">
        <f t="shared" si="3"/>
        <v>46047</v>
      </c>
      <c r="Z13" s="5">
        <f t="shared" si="2"/>
        <v>0.55000000000000004</v>
      </c>
    </row>
    <row r="14" spans="1:27" x14ac:dyDescent="0.25">
      <c r="A14" s="12" t="s">
        <v>56</v>
      </c>
      <c r="B14" s="8">
        <v>46140</v>
      </c>
      <c r="D14" s="8">
        <v>46109</v>
      </c>
      <c r="E14" s="5">
        <v>0</v>
      </c>
      <c r="F14" s="5">
        <v>0.49</v>
      </c>
      <c r="G14" s="5">
        <v>0</v>
      </c>
      <c r="H14" s="3">
        <v>0.49</v>
      </c>
      <c r="I14" s="5">
        <v>0</v>
      </c>
      <c r="J14" s="8">
        <v>46111</v>
      </c>
      <c r="K14" s="9">
        <f t="shared" si="0"/>
        <v>2</v>
      </c>
      <c r="Y14" s="8">
        <f t="shared" si="3"/>
        <v>46080</v>
      </c>
      <c r="Z14" s="5">
        <f t="shared" si="2"/>
        <v>0.55000000000000004</v>
      </c>
    </row>
    <row r="15" spans="1:27" x14ac:dyDescent="0.25">
      <c r="A15" s="12" t="s">
        <v>100</v>
      </c>
      <c r="B15" s="3">
        <f>IF(M3=N3,B14-B12,"")</f>
        <v>0</v>
      </c>
      <c r="D15" s="8">
        <v>46140</v>
      </c>
      <c r="E15" s="5">
        <v>50</v>
      </c>
      <c r="F15" s="5">
        <v>0.6</v>
      </c>
      <c r="G15" s="5">
        <v>50</v>
      </c>
      <c r="H15" s="3">
        <v>0.55000000000000004</v>
      </c>
      <c r="I15" s="5">
        <v>0</v>
      </c>
      <c r="J15" s="8">
        <v>46140</v>
      </c>
      <c r="K15" s="9">
        <f t="shared" si="0"/>
        <v>0</v>
      </c>
      <c r="Y15" s="8">
        <f t="shared" si="3"/>
        <v>46111</v>
      </c>
      <c r="Z15" s="5">
        <f t="shared" si="2"/>
        <v>0.49</v>
      </c>
    </row>
    <row r="16" spans="1:27" x14ac:dyDescent="0.25">
      <c r="D16" s="8"/>
      <c r="E16" s="2"/>
      <c r="F16" s="2"/>
      <c r="G16" s="2"/>
      <c r="H16" s="2"/>
      <c r="I16" s="2"/>
      <c r="J16" s="8"/>
      <c r="K16" s="9" t="str">
        <f t="shared" si="0"/>
        <v/>
      </c>
      <c r="Y16" s="8">
        <f t="shared" si="3"/>
        <v>46140</v>
      </c>
      <c r="Z16" s="5">
        <f t="shared" si="2"/>
        <v>50.55</v>
      </c>
    </row>
    <row r="17" spans="4:26" x14ac:dyDescent="0.25">
      <c r="D17" s="16"/>
      <c r="E17" s="5"/>
      <c r="F17" s="5"/>
      <c r="G17" s="5"/>
      <c r="H17" s="5"/>
      <c r="I17" s="5"/>
      <c r="J17" s="3"/>
      <c r="K17" s="9" t="str">
        <f t="shared" ref="K17:K41" si="4">IF(J17&gt;0,J17-D17,"")</f>
        <v/>
      </c>
      <c r="Y17" s="8">
        <f t="shared" si="3"/>
        <v>0</v>
      </c>
      <c r="Z17" s="5">
        <f t="shared" si="2"/>
        <v>0</v>
      </c>
    </row>
    <row r="18" spans="4:26" x14ac:dyDescent="0.25">
      <c r="D18" s="16"/>
      <c r="E18" s="5"/>
      <c r="F18" s="5"/>
      <c r="G18" s="5"/>
      <c r="H18" s="5"/>
      <c r="I18" s="5"/>
      <c r="J18" s="3"/>
      <c r="K18" s="9" t="str">
        <f t="shared" si="4"/>
        <v/>
      </c>
      <c r="Y18" s="8">
        <f t="shared" si="3"/>
        <v>0</v>
      </c>
      <c r="Z18" s="5">
        <f t="shared" si="2"/>
        <v>0</v>
      </c>
    </row>
    <row r="19" spans="4:26" x14ac:dyDescent="0.25">
      <c r="D19" s="16"/>
      <c r="E19" s="5"/>
      <c r="F19" s="5"/>
      <c r="G19" s="5"/>
      <c r="H19" s="5"/>
      <c r="I19" s="5"/>
      <c r="J19" s="3"/>
      <c r="K19" s="9" t="str">
        <f t="shared" si="4"/>
        <v/>
      </c>
      <c r="Y19" s="8">
        <f t="shared" si="3"/>
        <v>0</v>
      </c>
      <c r="Z19" s="5">
        <f t="shared" si="2"/>
        <v>0</v>
      </c>
    </row>
    <row r="20" spans="4:26" x14ac:dyDescent="0.25">
      <c r="D20" s="16"/>
      <c r="E20" s="5"/>
      <c r="F20" s="5"/>
      <c r="G20" s="5"/>
      <c r="H20" s="5"/>
      <c r="I20" s="5"/>
      <c r="J20" s="3"/>
      <c r="K20" s="9" t="str">
        <f t="shared" si="4"/>
        <v/>
      </c>
      <c r="Y20" s="8">
        <f t="shared" si="3"/>
        <v>0</v>
      </c>
      <c r="Z20" s="5">
        <f t="shared" si="2"/>
        <v>0</v>
      </c>
    </row>
    <row r="21" spans="4:26" x14ac:dyDescent="0.25">
      <c r="D21" s="16"/>
      <c r="E21" s="5"/>
      <c r="F21" s="5"/>
      <c r="G21" s="5"/>
      <c r="H21" s="5"/>
      <c r="I21" s="5"/>
      <c r="J21" s="3"/>
      <c r="K21" s="9" t="str">
        <f t="shared" si="4"/>
        <v/>
      </c>
      <c r="Y21" s="8">
        <f t="shared" si="3"/>
        <v>0</v>
      </c>
      <c r="Z21" s="5">
        <f t="shared" si="2"/>
        <v>0</v>
      </c>
    </row>
    <row r="22" spans="4:26" x14ac:dyDescent="0.25">
      <c r="D22" s="16"/>
      <c r="E22" s="5"/>
      <c r="F22" s="5"/>
      <c r="G22" s="5"/>
      <c r="H22" s="5"/>
      <c r="I22" s="5"/>
      <c r="J22" s="3"/>
      <c r="K22" s="9" t="str">
        <f t="shared" si="4"/>
        <v/>
      </c>
      <c r="Y22" s="8">
        <f t="shared" si="3"/>
        <v>0</v>
      </c>
      <c r="Z22" s="5">
        <f t="shared" si="2"/>
        <v>0</v>
      </c>
    </row>
    <row r="23" spans="4:26" x14ac:dyDescent="0.25">
      <c r="D23" s="16"/>
      <c r="E23" s="5"/>
      <c r="F23" s="5"/>
      <c r="G23" s="5"/>
      <c r="H23" s="5"/>
      <c r="I23" s="5"/>
      <c r="J23" s="3"/>
      <c r="K23" s="9" t="str">
        <f t="shared" si="4"/>
        <v/>
      </c>
      <c r="Y23" s="8">
        <f t="shared" si="3"/>
        <v>0</v>
      </c>
      <c r="Z23" s="5">
        <f t="shared" si="2"/>
        <v>0</v>
      </c>
    </row>
    <row r="24" spans="4:26" x14ac:dyDescent="0.25">
      <c r="D24" s="16"/>
      <c r="E24" s="5"/>
      <c r="F24" s="5"/>
      <c r="G24" s="5"/>
      <c r="H24" s="5"/>
      <c r="I24" s="5"/>
      <c r="J24" s="3"/>
      <c r="K24" s="9" t="str">
        <f t="shared" si="4"/>
        <v/>
      </c>
      <c r="Y24" s="8">
        <f t="shared" si="3"/>
        <v>0</v>
      </c>
      <c r="Z24" s="5">
        <f t="shared" si="2"/>
        <v>0</v>
      </c>
    </row>
    <row r="25" spans="4:26" x14ac:dyDescent="0.25">
      <c r="D25" s="16"/>
      <c r="E25" s="5"/>
      <c r="F25" s="5"/>
      <c r="G25" s="5"/>
      <c r="H25" s="5"/>
      <c r="I25" s="5"/>
      <c r="J25" s="3"/>
      <c r="K25" s="9" t="str">
        <f t="shared" si="4"/>
        <v/>
      </c>
      <c r="Y25" s="8">
        <f t="shared" si="3"/>
        <v>0</v>
      </c>
      <c r="Z25" s="5">
        <f t="shared" si="2"/>
        <v>0</v>
      </c>
    </row>
    <row r="26" spans="4:26" x14ac:dyDescent="0.25">
      <c r="D26" s="16"/>
      <c r="E26" s="5"/>
      <c r="F26" s="5"/>
      <c r="G26" s="5"/>
      <c r="H26" s="5"/>
      <c r="I26" s="5"/>
      <c r="J26" s="3"/>
      <c r="K26" s="9" t="str">
        <f t="shared" si="4"/>
        <v/>
      </c>
      <c r="Y26" s="8">
        <f t="shared" si="3"/>
        <v>0</v>
      </c>
      <c r="Z26" s="5">
        <f t="shared" si="2"/>
        <v>0</v>
      </c>
    </row>
    <row r="27" spans="4:26" x14ac:dyDescent="0.25">
      <c r="D27" s="16"/>
      <c r="E27" s="5"/>
      <c r="F27" s="5"/>
      <c r="G27" s="5"/>
      <c r="H27" s="5"/>
      <c r="I27" s="5"/>
      <c r="J27" s="3"/>
      <c r="K27" s="9" t="str">
        <f t="shared" si="4"/>
        <v/>
      </c>
      <c r="Y27" s="8">
        <f t="shared" ref="Y27:Y41" si="5">J26</f>
        <v>0</v>
      </c>
      <c r="Z27" s="5">
        <f t="shared" si="2"/>
        <v>0</v>
      </c>
    </row>
    <row r="28" spans="4:26" x14ac:dyDescent="0.25">
      <c r="D28" s="16"/>
      <c r="E28" s="5"/>
      <c r="F28" s="5"/>
      <c r="G28" s="5"/>
      <c r="H28" s="5"/>
      <c r="I28" s="5"/>
      <c r="J28" s="3"/>
      <c r="K28" s="9" t="str">
        <f t="shared" si="4"/>
        <v/>
      </c>
      <c r="Y28" s="8">
        <f t="shared" si="5"/>
        <v>0</v>
      </c>
      <c r="Z28" s="5">
        <f t="shared" si="2"/>
        <v>0</v>
      </c>
    </row>
    <row r="29" spans="4:26" x14ac:dyDescent="0.25">
      <c r="D29" s="16"/>
      <c r="E29" s="5"/>
      <c r="F29" s="5"/>
      <c r="G29" s="5"/>
      <c r="H29" s="5"/>
      <c r="I29" s="5"/>
      <c r="J29" s="3"/>
      <c r="K29" s="9" t="str">
        <f t="shared" si="4"/>
        <v/>
      </c>
      <c r="Y29" s="8">
        <f t="shared" si="5"/>
        <v>0</v>
      </c>
      <c r="Z29" s="5">
        <f t="shared" si="2"/>
        <v>0</v>
      </c>
    </row>
    <row r="30" spans="4:26" x14ac:dyDescent="0.25">
      <c r="D30" s="16"/>
      <c r="E30" s="5"/>
      <c r="F30" s="5"/>
      <c r="G30" s="5"/>
      <c r="H30" s="5"/>
      <c r="I30" s="5"/>
      <c r="J30" s="3"/>
      <c r="K30" s="9" t="str">
        <f t="shared" si="4"/>
        <v/>
      </c>
      <c r="Y30" s="8">
        <f t="shared" si="5"/>
        <v>0</v>
      </c>
      <c r="Z30" s="5">
        <f t="shared" si="2"/>
        <v>0</v>
      </c>
    </row>
    <row r="31" spans="4:26" x14ac:dyDescent="0.25">
      <c r="D31" s="16"/>
      <c r="E31" s="5"/>
      <c r="F31" s="5"/>
      <c r="G31" s="5"/>
      <c r="H31" s="5"/>
      <c r="I31" s="5"/>
      <c r="J31" s="3"/>
      <c r="K31" s="9" t="str">
        <f t="shared" si="4"/>
        <v/>
      </c>
      <c r="Y31" s="8">
        <f t="shared" si="5"/>
        <v>0</v>
      </c>
      <c r="Z31" s="5">
        <f t="shared" si="2"/>
        <v>0</v>
      </c>
    </row>
    <row r="32" spans="4:26" x14ac:dyDescent="0.25">
      <c r="D32" s="16"/>
      <c r="E32" s="5"/>
      <c r="F32" s="5"/>
      <c r="G32" s="5"/>
      <c r="H32" s="5"/>
      <c r="I32" s="5"/>
      <c r="J32" s="3"/>
      <c r="K32" s="9" t="str">
        <f t="shared" si="4"/>
        <v/>
      </c>
      <c r="Y32" s="8">
        <f t="shared" si="5"/>
        <v>0</v>
      </c>
      <c r="Z32" s="5">
        <f t="shared" si="2"/>
        <v>0</v>
      </c>
    </row>
    <row r="33" spans="4:26" x14ac:dyDescent="0.25">
      <c r="D33" s="16"/>
      <c r="E33" s="5"/>
      <c r="F33" s="5"/>
      <c r="G33" s="5"/>
      <c r="H33" s="5"/>
      <c r="I33" s="5"/>
      <c r="J33" s="3"/>
      <c r="K33" s="9" t="str">
        <f t="shared" si="4"/>
        <v/>
      </c>
      <c r="Y33" s="8">
        <f t="shared" si="5"/>
        <v>0</v>
      </c>
      <c r="Z33" s="5">
        <f t="shared" si="2"/>
        <v>0</v>
      </c>
    </row>
    <row r="34" spans="4:26" x14ac:dyDescent="0.25">
      <c r="D34" s="16"/>
      <c r="E34" s="5"/>
      <c r="F34" s="5"/>
      <c r="G34" s="5"/>
      <c r="H34" s="5"/>
      <c r="I34" s="5"/>
      <c r="J34" s="3"/>
      <c r="K34" s="9" t="str">
        <f t="shared" si="4"/>
        <v/>
      </c>
      <c r="Y34" s="8">
        <f t="shared" si="5"/>
        <v>0</v>
      </c>
      <c r="Z34" s="5">
        <f t="shared" si="2"/>
        <v>0</v>
      </c>
    </row>
    <row r="35" spans="4:26" x14ac:dyDescent="0.25">
      <c r="D35" s="16"/>
      <c r="E35" s="5"/>
      <c r="F35" s="5"/>
      <c r="G35" s="5"/>
      <c r="H35" s="5"/>
      <c r="I35" s="5"/>
      <c r="J35" s="3"/>
      <c r="K35" s="9" t="str">
        <f t="shared" si="4"/>
        <v/>
      </c>
      <c r="Y35" s="8">
        <f t="shared" si="5"/>
        <v>0</v>
      </c>
      <c r="Z35" s="5">
        <f t="shared" si="2"/>
        <v>0</v>
      </c>
    </row>
    <row r="36" spans="4:26" x14ac:dyDescent="0.25">
      <c r="D36" s="16"/>
      <c r="E36" s="5"/>
      <c r="F36" s="5"/>
      <c r="G36" s="5"/>
      <c r="H36" s="5"/>
      <c r="I36" s="5"/>
      <c r="J36" s="3"/>
      <c r="K36" s="9" t="str">
        <f t="shared" si="4"/>
        <v/>
      </c>
      <c r="Y36" s="8">
        <f t="shared" si="5"/>
        <v>0</v>
      </c>
      <c r="Z36" s="5">
        <f t="shared" si="2"/>
        <v>0</v>
      </c>
    </row>
    <row r="37" spans="4:26" x14ac:dyDescent="0.25">
      <c r="D37" s="16"/>
      <c r="E37" s="5"/>
      <c r="F37" s="5"/>
      <c r="G37" s="5"/>
      <c r="H37" s="5"/>
      <c r="I37" s="5"/>
      <c r="J37" s="3"/>
      <c r="K37" s="9" t="str">
        <f t="shared" si="4"/>
        <v/>
      </c>
      <c r="Y37" s="8">
        <f t="shared" si="5"/>
        <v>0</v>
      </c>
      <c r="Z37" s="5">
        <f t="shared" si="2"/>
        <v>0</v>
      </c>
    </row>
    <row r="38" spans="4:26" x14ac:dyDescent="0.25">
      <c r="D38" s="16"/>
      <c r="E38" s="5"/>
      <c r="F38" s="5"/>
      <c r="G38" s="5"/>
      <c r="H38" s="5"/>
      <c r="I38" s="5"/>
      <c r="J38" s="3"/>
      <c r="K38" s="9" t="str">
        <f t="shared" si="4"/>
        <v/>
      </c>
      <c r="Y38" s="8">
        <f t="shared" si="5"/>
        <v>0</v>
      </c>
      <c r="Z38" s="5">
        <f t="shared" si="2"/>
        <v>0</v>
      </c>
    </row>
    <row r="39" spans="4:26" x14ac:dyDescent="0.25">
      <c r="D39" s="16"/>
      <c r="E39" s="5"/>
      <c r="F39" s="5"/>
      <c r="G39" s="5"/>
      <c r="H39" s="5"/>
      <c r="I39" s="5"/>
      <c r="J39" s="3"/>
      <c r="K39" s="9" t="str">
        <f t="shared" si="4"/>
        <v/>
      </c>
      <c r="Y39" s="8">
        <f t="shared" si="5"/>
        <v>0</v>
      </c>
      <c r="Z39" s="5">
        <f t="shared" si="2"/>
        <v>0</v>
      </c>
    </row>
    <row r="40" spans="4:26" x14ac:dyDescent="0.25">
      <c r="D40" s="16"/>
      <c r="E40" s="5"/>
      <c r="F40" s="5"/>
      <c r="G40" s="5"/>
      <c r="H40" s="5"/>
      <c r="I40" s="5"/>
      <c r="J40" s="3"/>
      <c r="K40" s="9" t="str">
        <f t="shared" si="4"/>
        <v/>
      </c>
      <c r="Y40" s="8">
        <f t="shared" si="5"/>
        <v>0</v>
      </c>
      <c r="Z40" s="5">
        <f t="shared" si="2"/>
        <v>0</v>
      </c>
    </row>
    <row r="41" spans="4:26" x14ac:dyDescent="0.25">
      <c r="D41" s="16"/>
      <c r="E41" s="5"/>
      <c r="F41" s="5"/>
      <c r="G41" s="5"/>
      <c r="H41" s="5"/>
      <c r="I41" s="5"/>
      <c r="J41" s="3"/>
      <c r="K41" s="9" t="str">
        <f t="shared" si="4"/>
        <v/>
      </c>
      <c r="Y41" s="8">
        <f t="shared" si="5"/>
        <v>0</v>
      </c>
      <c r="Z41" s="5">
        <f t="shared" si="2"/>
        <v>0</v>
      </c>
    </row>
    <row r="42" spans="4:26" x14ac:dyDescent="0.25">
      <c r="D42" s="16" t="s">
        <v>35</v>
      </c>
      <c r="E42" s="5">
        <f>SUM(E2:E41)</f>
        <v>50</v>
      </c>
      <c r="F42" s="5">
        <f t="shared" ref="F42:I42" si="6">SUM(F2:F41)</f>
        <v>7.55</v>
      </c>
      <c r="G42" s="5">
        <f t="shared" si="6"/>
        <v>50</v>
      </c>
      <c r="H42" s="5">
        <f t="shared" si="6"/>
        <v>7.5</v>
      </c>
      <c r="I42" s="5">
        <f t="shared" si="6"/>
        <v>0.04</v>
      </c>
      <c r="J42" s="3"/>
      <c r="K42" s="3"/>
    </row>
  </sheetData>
  <mergeCells count="5">
    <mergeCell ref="M1:N1"/>
    <mergeCell ref="O1:P1"/>
    <mergeCell ref="Q1:Q2"/>
    <mergeCell ref="S1:S2"/>
    <mergeCell ref="R1:R2"/>
  </mergeCells>
  <conditionalFormatting sqref="A1">
    <cfRule type="expression" dxfId="4" priority="1">
      <formula>$M$3=$N$3</formula>
    </cfRule>
  </conditionalFormatting>
  <conditionalFormatting sqref="A1:B1">
    <cfRule type="expression" dxfId="3" priority="2">
      <formula>$AA$2="+"</formula>
    </cfRule>
  </conditionalFormatting>
  <conditionalFormatting sqref="B1">
    <cfRule type="expression" dxfId="2" priority="6">
      <formula>$M$3=$N$3</formula>
    </cfRule>
  </conditionalFormatting>
  <conditionalFormatting sqref="S3">
    <cfRule type="expression" dxfId="1" priority="4">
      <formula>$AA$2="+"</formula>
    </cfRule>
  </conditionalFormatting>
  <conditionalFormatting sqref="AA2">
    <cfRule type="expression" dxfId="0" priority="3">
      <formula>$AA$2="+"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Apžvalga</vt:lpstr>
      <vt:lpstr>Pinigai</vt:lpstr>
      <vt:lpstr>Plento g. 5A, Trakai (2)</vt:lpstr>
      <vt:lpstr>Baltų Avenue (11)</vt:lpstr>
      <vt:lpstr>"Filleo Home", Palanga (10)</vt:lpstr>
      <vt:lpstr>Mėguvos g. 6 ir 8, Palanga (2)</vt:lpstr>
      <vt:lpstr>Basliupio g. 14, Panevėžys (3)</vt:lpstr>
      <vt:lpstr>Liepų g. 3, Vyšniūnai (1)</vt:lpstr>
      <vt:lpstr>Sklypų masyvas Loo, Parnu (1)</vt:lpstr>
      <vt:lpstr>"Filleo Home", Palanga (3)</vt:lpstr>
      <vt:lpstr>Baltų Avenue (1)</vt:lpstr>
      <vt:lpstr>Pienių g. 28A-28E (1)</vt:lpstr>
      <vt:lpstr>Parko g. 21 Pergalės g. 36A (1)</vt:lpstr>
      <vt:lpstr>Mozūriškių g. 17 - 3, Vilnius</vt:lpstr>
      <vt:lpstr>Šaltinio g. 7, Panevėžys (1)</vt:lpstr>
      <vt:lpstr>Viensėdžio g. 36A (3)</vt:lpstr>
      <vt:lpstr>Lubānas g. 133A, Ryga, (12)</vt:lpstr>
      <vt:lpstr>Vilniaus g. 38 38A 38B (1)</vt:lpstr>
      <vt:lpstr>Gyvenamasis kvar. Javų g. (1)</vt:lpstr>
      <vt:lpstr>Vidiškių vs., Žemaitkiemio (2)</vt:lpstr>
      <vt:lpstr>Stoties g. 38, Panevėžys</vt:lpstr>
      <vt:lpstr>Lubānas g. 133A, Ryga (7)</vt:lpstr>
      <vt:lpstr>Jono Puzino g. 21-1 (2)</vt:lpstr>
      <vt:lpstr>Jono Puzino g. 21-1 (1)</vt:lpstr>
      <vt:lpstr>Kvartalas "Asiūklės parkas” (2)</vt:lpstr>
      <vt:lpstr>2 MW saulės elektrinių par. (9)</vt:lpstr>
      <vt:lpstr>Bistryčios g. 27 (3)</vt:lpstr>
      <vt:lpstr>Mesiheina tee 5 ir 8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Evaldas</dc:creator>
  <cp:lastModifiedBy>Evaldas Čeilytkas</cp:lastModifiedBy>
  <cp:lastPrinted>2026-03-12T04:53:36Z</cp:lastPrinted>
  <dcterms:created xsi:type="dcterms:W3CDTF">2025-05-22T07:09:11Z</dcterms:created>
  <dcterms:modified xsi:type="dcterms:W3CDTF">2026-09-30T17:13:52Z</dcterms:modified>
</cp:coreProperties>
</file>