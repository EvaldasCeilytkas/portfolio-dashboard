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Investavimas 2026.08.08\Profitus\"/>
    </mc:Choice>
  </mc:AlternateContent>
  <xr:revisionPtr revIDLastSave="0" documentId="13_ncr:1_{8763629B-EB39-43F9-B641-E4F5935072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1" r:id="rId1"/>
    <sheet name="Pinigai" sheetId="12" r:id="rId2"/>
    <sheet name="Dvibutis prie Neries, Vilniaus " sheetId="25" r:id="rId3"/>
    <sheet name="Huberto Namai, Trakų r. VII" sheetId="24" r:id="rId4"/>
    <sheet name="Druskonio Perlai, Druskininkai " sheetId="23" r:id="rId5"/>
    <sheet name="Daugiabutis Druskininkuose V" sheetId="22" r:id="rId6"/>
    <sheet name="Butas Didlaukio g., Vilnius II" sheetId="21" r:id="rId7"/>
    <sheet name="Butai centrinėje Vilniaus dal." sheetId="20" r:id="rId8"/>
    <sheet name="Sakurų Namai, Marijampolė III" sheetId="19" r:id="rId9"/>
    <sheet name="Senvagės loftai, Panevėžys IV" sheetId="18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L10" i="1"/>
  <c r="I10" i="1"/>
  <c r="H10" i="1"/>
  <c r="G10" i="1"/>
  <c r="F10" i="1"/>
  <c r="E10" i="1"/>
  <c r="D10" i="1"/>
  <c r="C10" i="1"/>
  <c r="B10" i="1"/>
  <c r="M9" i="1"/>
  <c r="L9" i="1"/>
  <c r="I9" i="1"/>
  <c r="H9" i="1"/>
  <c r="G9" i="1"/>
  <c r="F9" i="1"/>
  <c r="E9" i="1"/>
  <c r="D9" i="1"/>
  <c r="C9" i="1"/>
  <c r="B9" i="1"/>
  <c r="I42" i="25"/>
  <c r="H42" i="25"/>
  <c r="G42" i="25"/>
  <c r="F42" i="25"/>
  <c r="E42" i="25"/>
  <c r="Z41" i="25"/>
  <c r="Y41" i="25"/>
  <c r="K41" i="25"/>
  <c r="Z40" i="25"/>
  <c r="Y40" i="25"/>
  <c r="K40" i="25"/>
  <c r="Z39" i="25"/>
  <c r="Y39" i="25"/>
  <c r="K39" i="25"/>
  <c r="Z38" i="25"/>
  <c r="Y38" i="25"/>
  <c r="K38" i="25"/>
  <c r="Z37" i="25"/>
  <c r="Y37" i="25"/>
  <c r="K37" i="25"/>
  <c r="Z36" i="25"/>
  <c r="Y36" i="25"/>
  <c r="K36" i="25"/>
  <c r="Z35" i="25"/>
  <c r="Y35" i="25"/>
  <c r="K35" i="25"/>
  <c r="Z34" i="25"/>
  <c r="Y34" i="25"/>
  <c r="K34" i="25"/>
  <c r="Z33" i="25"/>
  <c r="Y33" i="25"/>
  <c r="K33" i="25"/>
  <c r="Z32" i="25"/>
  <c r="Y32" i="25"/>
  <c r="K32" i="25"/>
  <c r="Z31" i="25"/>
  <c r="Y31" i="25"/>
  <c r="K31" i="25"/>
  <c r="Z30" i="25"/>
  <c r="Y30" i="25"/>
  <c r="K30" i="25"/>
  <c r="Z29" i="25"/>
  <c r="Y29" i="25"/>
  <c r="K29" i="25"/>
  <c r="Z28" i="25"/>
  <c r="Y28" i="25"/>
  <c r="K28" i="25"/>
  <c r="Z27" i="25"/>
  <c r="Y27" i="25"/>
  <c r="K27" i="25"/>
  <c r="Z26" i="25"/>
  <c r="Y26" i="25"/>
  <c r="K26" i="25"/>
  <c r="Z25" i="25"/>
  <c r="Y25" i="25"/>
  <c r="K25" i="25"/>
  <c r="Z24" i="25"/>
  <c r="Y24" i="25"/>
  <c r="K24" i="25"/>
  <c r="Z23" i="25"/>
  <c r="Y23" i="25"/>
  <c r="K23" i="25"/>
  <c r="Z22" i="25"/>
  <c r="Y22" i="25"/>
  <c r="K22" i="25"/>
  <c r="Z21" i="25"/>
  <c r="Y21" i="25"/>
  <c r="K21" i="25"/>
  <c r="Z20" i="25"/>
  <c r="Y20" i="25"/>
  <c r="K20" i="25"/>
  <c r="Z19" i="25"/>
  <c r="Y19" i="25"/>
  <c r="K19" i="25"/>
  <c r="Z18" i="25"/>
  <c r="Y18" i="25"/>
  <c r="K18" i="25"/>
  <c r="Z17" i="25"/>
  <c r="Y17" i="25"/>
  <c r="K17" i="25"/>
  <c r="Z16" i="25"/>
  <c r="Y16" i="25"/>
  <c r="K16" i="25"/>
  <c r="Z15" i="25"/>
  <c r="Y15" i="25"/>
  <c r="K15" i="25"/>
  <c r="Z14" i="25"/>
  <c r="Y14" i="25"/>
  <c r="K14" i="25"/>
  <c r="Z13" i="25"/>
  <c r="Y13" i="25"/>
  <c r="K13" i="25"/>
  <c r="Z12" i="25"/>
  <c r="Y12" i="25"/>
  <c r="K12" i="25"/>
  <c r="Z11" i="25"/>
  <c r="Y11" i="25"/>
  <c r="K11" i="25"/>
  <c r="Z10" i="25"/>
  <c r="Y10" i="25"/>
  <c r="K10" i="25"/>
  <c r="Z9" i="25"/>
  <c r="Y9" i="25"/>
  <c r="K9" i="25"/>
  <c r="Z8" i="25"/>
  <c r="Y8" i="25"/>
  <c r="K8" i="25"/>
  <c r="Z7" i="25"/>
  <c r="Y7" i="25"/>
  <c r="K7" i="25"/>
  <c r="Z6" i="25"/>
  <c r="Y6" i="25"/>
  <c r="K6" i="25"/>
  <c r="Z5" i="25"/>
  <c r="Y5" i="25"/>
  <c r="K5" i="25"/>
  <c r="Z4" i="25"/>
  <c r="Y4" i="25"/>
  <c r="K4" i="25"/>
  <c r="Z3" i="25"/>
  <c r="Y3" i="25"/>
  <c r="S3" i="25"/>
  <c r="K10" i="1" s="1"/>
  <c r="P3" i="25"/>
  <c r="O3" i="25"/>
  <c r="N3" i="25"/>
  <c r="B13" i="25" s="1"/>
  <c r="J10" i="1" s="1"/>
  <c r="M3" i="25"/>
  <c r="R3" i="25" s="1"/>
  <c r="K3" i="25"/>
  <c r="AA2" i="25"/>
  <c r="AC10" i="1" s="1"/>
  <c r="Z2" i="25"/>
  <c r="Y2" i="25"/>
  <c r="K2" i="25"/>
  <c r="I42" i="24"/>
  <c r="H42" i="24"/>
  <c r="P3" i="24" s="1"/>
  <c r="G42" i="24"/>
  <c r="F42" i="24"/>
  <c r="E42" i="24"/>
  <c r="Z41" i="24"/>
  <c r="Y41" i="24"/>
  <c r="K41" i="24"/>
  <c r="Z40" i="24"/>
  <c r="Y40" i="24"/>
  <c r="K40" i="24"/>
  <c r="Z39" i="24"/>
  <c r="Y39" i="24"/>
  <c r="K39" i="24"/>
  <c r="Z38" i="24"/>
  <c r="Y38" i="24"/>
  <c r="K38" i="24"/>
  <c r="Z37" i="24"/>
  <c r="Y37" i="24"/>
  <c r="K37" i="24"/>
  <c r="Z36" i="24"/>
  <c r="Y36" i="24"/>
  <c r="K36" i="24"/>
  <c r="Z35" i="24"/>
  <c r="Y35" i="24"/>
  <c r="K35" i="24"/>
  <c r="Z34" i="24"/>
  <c r="Y34" i="24"/>
  <c r="K34" i="24"/>
  <c r="Z33" i="24"/>
  <c r="Y33" i="24"/>
  <c r="K33" i="24"/>
  <c r="Z32" i="24"/>
  <c r="Y32" i="24"/>
  <c r="K32" i="24"/>
  <c r="Z31" i="24"/>
  <c r="Y31" i="24"/>
  <c r="K31" i="24"/>
  <c r="Z30" i="24"/>
  <c r="Y30" i="24"/>
  <c r="K30" i="24"/>
  <c r="Z29" i="24"/>
  <c r="Y29" i="24"/>
  <c r="K29" i="24"/>
  <c r="Z28" i="24"/>
  <c r="Y28" i="24"/>
  <c r="K28" i="24"/>
  <c r="Z27" i="24"/>
  <c r="Y27" i="24"/>
  <c r="K27" i="24"/>
  <c r="Z26" i="24"/>
  <c r="Y26" i="24"/>
  <c r="K26" i="24"/>
  <c r="Z25" i="24"/>
  <c r="Y25" i="24"/>
  <c r="K25" i="24"/>
  <c r="Z24" i="24"/>
  <c r="Y24" i="24"/>
  <c r="K24" i="24"/>
  <c r="Z23" i="24"/>
  <c r="Y23" i="24"/>
  <c r="K23" i="24"/>
  <c r="Z22" i="24"/>
  <c r="Y22" i="24"/>
  <c r="K22" i="24"/>
  <c r="Z21" i="24"/>
  <c r="Y21" i="24"/>
  <c r="K21" i="24"/>
  <c r="Z20" i="24"/>
  <c r="Y20" i="24"/>
  <c r="K20" i="24"/>
  <c r="Z19" i="24"/>
  <c r="Y19" i="24"/>
  <c r="K19" i="24"/>
  <c r="Z18" i="24"/>
  <c r="Y18" i="24"/>
  <c r="K18" i="24"/>
  <c r="Z17" i="24"/>
  <c r="Y17" i="24"/>
  <c r="K17" i="24"/>
  <c r="Z16" i="24"/>
  <c r="Y16" i="24"/>
  <c r="K16" i="24"/>
  <c r="Z15" i="24"/>
  <c r="Y15" i="24"/>
  <c r="K15" i="24"/>
  <c r="Z14" i="24"/>
  <c r="Y14" i="24"/>
  <c r="K14" i="24"/>
  <c r="Z13" i="24"/>
  <c r="Y13" i="24"/>
  <c r="K13" i="24"/>
  <c r="B13" i="24"/>
  <c r="J9" i="1" s="1"/>
  <c r="Z12" i="24"/>
  <c r="Y12" i="24"/>
  <c r="K12" i="24"/>
  <c r="Z11" i="24"/>
  <c r="Y11" i="24"/>
  <c r="K11" i="24"/>
  <c r="Z10" i="24"/>
  <c r="Y10" i="24"/>
  <c r="K10" i="24"/>
  <c r="Z9" i="24"/>
  <c r="Y9" i="24"/>
  <c r="K9" i="24"/>
  <c r="Z8" i="24"/>
  <c r="Y8" i="24"/>
  <c r="K8" i="24"/>
  <c r="Z7" i="24"/>
  <c r="Y7" i="24"/>
  <c r="K7" i="24"/>
  <c r="Z6" i="24"/>
  <c r="Y6" i="24"/>
  <c r="K6" i="24"/>
  <c r="Z5" i="24"/>
  <c r="Y5" i="24"/>
  <c r="K5" i="24"/>
  <c r="Z4" i="24"/>
  <c r="Y4" i="24"/>
  <c r="K4" i="24"/>
  <c r="Z3" i="24"/>
  <c r="Y3" i="24"/>
  <c r="S3" i="24"/>
  <c r="K9" i="1" s="1"/>
  <c r="O3" i="24"/>
  <c r="N3" i="24"/>
  <c r="M3" i="24"/>
  <c r="R3" i="24" s="1"/>
  <c r="K3" i="24"/>
  <c r="AA2" i="24"/>
  <c r="AC9" i="1" s="1"/>
  <c r="Z2" i="24"/>
  <c r="Y2" i="24"/>
  <c r="K2" i="24"/>
  <c r="B15" i="25" l="1"/>
  <c r="Q3" i="25"/>
  <c r="B15" i="24"/>
  <c r="Q3" i="24"/>
  <c r="Q3" i="1"/>
  <c r="H8" i="1" l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M5" i="1"/>
  <c r="L5" i="1"/>
  <c r="I5" i="1"/>
  <c r="H5" i="1"/>
  <c r="G5" i="1"/>
  <c r="F5" i="1"/>
  <c r="E5" i="1"/>
  <c r="D5" i="1"/>
  <c r="C5" i="1"/>
  <c r="B5" i="1"/>
  <c r="M4" i="1"/>
  <c r="L4" i="1"/>
  <c r="I4" i="1"/>
  <c r="H4" i="1"/>
  <c r="G4" i="1"/>
  <c r="F4" i="1"/>
  <c r="E4" i="1"/>
  <c r="D4" i="1"/>
  <c r="C4" i="1"/>
  <c r="B4" i="1"/>
  <c r="H3" i="1"/>
  <c r="G3" i="1"/>
  <c r="F3" i="1"/>
  <c r="E3" i="1"/>
  <c r="D3" i="1"/>
  <c r="C3" i="1"/>
  <c r="B3" i="1"/>
  <c r="B13" i="23"/>
  <c r="J8" i="1" s="1"/>
  <c r="I42" i="23"/>
  <c r="H42" i="23"/>
  <c r="G42" i="23"/>
  <c r="N3" i="23" s="1"/>
  <c r="L8" i="1" s="1"/>
  <c r="F42" i="23"/>
  <c r="E42" i="23"/>
  <c r="Z41" i="23"/>
  <c r="Y41" i="23"/>
  <c r="K41" i="23"/>
  <c r="Z40" i="23"/>
  <c r="Y40" i="23"/>
  <c r="K40" i="23"/>
  <c r="Z39" i="23"/>
  <c r="Y39" i="23"/>
  <c r="K39" i="23"/>
  <c r="Z38" i="23"/>
  <c r="Y38" i="23"/>
  <c r="K38" i="23"/>
  <c r="Z37" i="23"/>
  <c r="Y37" i="23"/>
  <c r="K37" i="23"/>
  <c r="Z36" i="23"/>
  <c r="Y36" i="23"/>
  <c r="K36" i="23"/>
  <c r="Z35" i="23"/>
  <c r="Y35" i="23"/>
  <c r="K35" i="23"/>
  <c r="Z34" i="23"/>
  <c r="Y34" i="23"/>
  <c r="K34" i="23"/>
  <c r="Z33" i="23"/>
  <c r="Y33" i="23"/>
  <c r="K33" i="23"/>
  <c r="Z32" i="23"/>
  <c r="Y32" i="23"/>
  <c r="K32" i="23"/>
  <c r="Z31" i="23"/>
  <c r="Y31" i="23"/>
  <c r="K31" i="23"/>
  <c r="Z30" i="23"/>
  <c r="Y30" i="23"/>
  <c r="K30" i="23"/>
  <c r="Z29" i="23"/>
  <c r="Y29" i="23"/>
  <c r="K29" i="23"/>
  <c r="Z28" i="23"/>
  <c r="Y28" i="23"/>
  <c r="K28" i="23"/>
  <c r="Z27" i="23"/>
  <c r="Y27" i="23"/>
  <c r="K27" i="23"/>
  <c r="Z26" i="23"/>
  <c r="Y26" i="23"/>
  <c r="K26" i="23"/>
  <c r="Z25" i="23"/>
  <c r="Y25" i="23"/>
  <c r="K25" i="23"/>
  <c r="Z24" i="23"/>
  <c r="Y24" i="23"/>
  <c r="K24" i="23"/>
  <c r="Z23" i="23"/>
  <c r="Y23" i="23"/>
  <c r="K23" i="23"/>
  <c r="Z22" i="23"/>
  <c r="Y22" i="23"/>
  <c r="K22" i="23"/>
  <c r="Z21" i="23"/>
  <c r="Y21" i="23"/>
  <c r="K21" i="23"/>
  <c r="Z20" i="23"/>
  <c r="Y20" i="23"/>
  <c r="K20" i="23"/>
  <c r="Z19" i="23"/>
  <c r="Y19" i="23"/>
  <c r="K19" i="23"/>
  <c r="Z18" i="23"/>
  <c r="Y18" i="23"/>
  <c r="K18" i="23"/>
  <c r="Z17" i="23"/>
  <c r="Y17" i="23"/>
  <c r="K17" i="23"/>
  <c r="Z16" i="23"/>
  <c r="Y16" i="23"/>
  <c r="K16" i="23"/>
  <c r="Z15" i="23"/>
  <c r="Y15" i="23"/>
  <c r="K15" i="23"/>
  <c r="Z14" i="23"/>
  <c r="Y14" i="23"/>
  <c r="K14" i="23"/>
  <c r="Z13" i="23"/>
  <c r="Y13" i="23"/>
  <c r="K13" i="23"/>
  <c r="Z12" i="23"/>
  <c r="Y12" i="23"/>
  <c r="K12" i="23"/>
  <c r="Z11" i="23"/>
  <c r="Y11" i="23"/>
  <c r="K11" i="23"/>
  <c r="Z10" i="23"/>
  <c r="Y10" i="23"/>
  <c r="K10" i="23"/>
  <c r="Z9" i="23"/>
  <c r="Y9" i="23"/>
  <c r="K9" i="23"/>
  <c r="Z8" i="23"/>
  <c r="Y8" i="23"/>
  <c r="K8" i="23"/>
  <c r="Z7" i="23"/>
  <c r="Y7" i="23"/>
  <c r="K7" i="23"/>
  <c r="Z6" i="23"/>
  <c r="Y6" i="23"/>
  <c r="K6" i="23"/>
  <c r="Z5" i="23"/>
  <c r="Y5" i="23"/>
  <c r="K5" i="23"/>
  <c r="Z4" i="23"/>
  <c r="Y4" i="23"/>
  <c r="K4" i="23"/>
  <c r="Z3" i="23"/>
  <c r="Y3" i="23"/>
  <c r="S3" i="23"/>
  <c r="K8" i="1" s="1"/>
  <c r="O3" i="23"/>
  <c r="M3" i="23"/>
  <c r="R3" i="23" s="1"/>
  <c r="I8" i="1" s="1"/>
  <c r="K3" i="23"/>
  <c r="AA2" i="23"/>
  <c r="AC8" i="1" s="1"/>
  <c r="Z2" i="23"/>
  <c r="Y2" i="23"/>
  <c r="K2" i="23"/>
  <c r="B13" i="22"/>
  <c r="J7" i="1" s="1"/>
  <c r="I42" i="22"/>
  <c r="H42" i="22"/>
  <c r="G42" i="22"/>
  <c r="N3" i="22" s="1"/>
  <c r="L7" i="1" s="1"/>
  <c r="F42" i="22"/>
  <c r="E42" i="22"/>
  <c r="Z41" i="22"/>
  <c r="Y41" i="22"/>
  <c r="K41" i="22"/>
  <c r="Z40" i="22"/>
  <c r="Y40" i="22"/>
  <c r="K40" i="22"/>
  <c r="Z39" i="22"/>
  <c r="Y39" i="22"/>
  <c r="K39" i="22"/>
  <c r="Z38" i="22"/>
  <c r="Y38" i="22"/>
  <c r="K38" i="22"/>
  <c r="Z37" i="22"/>
  <c r="Y37" i="22"/>
  <c r="K37" i="22"/>
  <c r="Z36" i="22"/>
  <c r="Y36" i="22"/>
  <c r="K36" i="22"/>
  <c r="Z35" i="22"/>
  <c r="Y35" i="22"/>
  <c r="K35" i="22"/>
  <c r="Z34" i="22"/>
  <c r="Y34" i="22"/>
  <c r="K34" i="22"/>
  <c r="Z33" i="22"/>
  <c r="Y33" i="22"/>
  <c r="K33" i="22"/>
  <c r="Z32" i="22"/>
  <c r="Y32" i="22"/>
  <c r="K32" i="22"/>
  <c r="Z31" i="22"/>
  <c r="Y31" i="22"/>
  <c r="K31" i="22"/>
  <c r="Z30" i="22"/>
  <c r="Y30" i="22"/>
  <c r="K30" i="22"/>
  <c r="Z29" i="22"/>
  <c r="Y29" i="22"/>
  <c r="K29" i="22"/>
  <c r="Z28" i="22"/>
  <c r="Y28" i="22"/>
  <c r="K28" i="22"/>
  <c r="Z27" i="22"/>
  <c r="Y27" i="22"/>
  <c r="K27" i="22"/>
  <c r="Z26" i="22"/>
  <c r="Y26" i="22"/>
  <c r="K26" i="22"/>
  <c r="Z25" i="22"/>
  <c r="Y25" i="22"/>
  <c r="K25" i="22"/>
  <c r="Z24" i="22"/>
  <c r="Y24" i="22"/>
  <c r="K24" i="22"/>
  <c r="Z23" i="22"/>
  <c r="Y23" i="22"/>
  <c r="K23" i="22"/>
  <c r="Z22" i="22"/>
  <c r="Y22" i="22"/>
  <c r="K22" i="22"/>
  <c r="Z21" i="22"/>
  <c r="Y21" i="22"/>
  <c r="K21" i="22"/>
  <c r="Z20" i="22"/>
  <c r="Y20" i="22"/>
  <c r="K20" i="22"/>
  <c r="Z19" i="22"/>
  <c r="Y19" i="22"/>
  <c r="K19" i="22"/>
  <c r="Z18" i="22"/>
  <c r="Y18" i="22"/>
  <c r="K18" i="22"/>
  <c r="Z17" i="22"/>
  <c r="Y17" i="22"/>
  <c r="K17" i="22"/>
  <c r="Z16" i="22"/>
  <c r="Y16" i="22"/>
  <c r="K16" i="22"/>
  <c r="Z15" i="22"/>
  <c r="Y15" i="22"/>
  <c r="K15" i="22"/>
  <c r="Z14" i="22"/>
  <c r="Y14" i="22"/>
  <c r="K14" i="22"/>
  <c r="Z13" i="22"/>
  <c r="Y13" i="22"/>
  <c r="K13" i="22"/>
  <c r="Z12" i="22"/>
  <c r="Y12" i="22"/>
  <c r="K12" i="22"/>
  <c r="Z11" i="22"/>
  <c r="Y11" i="22"/>
  <c r="K11" i="22"/>
  <c r="Z10" i="22"/>
  <c r="Y10" i="22"/>
  <c r="K10" i="22"/>
  <c r="Z9" i="22"/>
  <c r="Y9" i="22"/>
  <c r="K9" i="22"/>
  <c r="Z8" i="22"/>
  <c r="Y8" i="22"/>
  <c r="K8" i="22"/>
  <c r="Z7" i="22"/>
  <c r="Y7" i="22"/>
  <c r="K7" i="22"/>
  <c r="Z6" i="22"/>
  <c r="Y6" i="22"/>
  <c r="K6" i="22"/>
  <c r="Z5" i="22"/>
  <c r="Y5" i="22"/>
  <c r="K5" i="22"/>
  <c r="Z4" i="22"/>
  <c r="Y4" i="22"/>
  <c r="K4" i="22"/>
  <c r="Z3" i="22"/>
  <c r="Y3" i="22"/>
  <c r="S3" i="22"/>
  <c r="K7" i="1" s="1"/>
  <c r="P3" i="22"/>
  <c r="M7" i="1" s="1"/>
  <c r="O3" i="22"/>
  <c r="M3" i="22"/>
  <c r="K3" i="22"/>
  <c r="AA2" i="22"/>
  <c r="AC7" i="1" s="1"/>
  <c r="Z2" i="22"/>
  <c r="Y2" i="22"/>
  <c r="K2" i="22"/>
  <c r="I42" i="21"/>
  <c r="H42" i="21"/>
  <c r="G42" i="21"/>
  <c r="N3" i="21" s="1"/>
  <c r="B13" i="21" s="1"/>
  <c r="J6" i="1" s="1"/>
  <c r="F42" i="21"/>
  <c r="E42" i="21"/>
  <c r="Z41" i="21"/>
  <c r="Y41" i="21"/>
  <c r="K41" i="21"/>
  <c r="Z40" i="21"/>
  <c r="Y40" i="21"/>
  <c r="K40" i="21"/>
  <c r="Z39" i="21"/>
  <c r="Y39" i="21"/>
  <c r="K39" i="21"/>
  <c r="Z38" i="21"/>
  <c r="Y38" i="21"/>
  <c r="K38" i="21"/>
  <c r="Z37" i="21"/>
  <c r="Y37" i="21"/>
  <c r="K37" i="21"/>
  <c r="Z36" i="21"/>
  <c r="Y36" i="21"/>
  <c r="K36" i="21"/>
  <c r="Z35" i="21"/>
  <c r="Y35" i="21"/>
  <c r="K35" i="21"/>
  <c r="Z34" i="21"/>
  <c r="Y34" i="21"/>
  <c r="K34" i="21"/>
  <c r="Z33" i="21"/>
  <c r="Y33" i="21"/>
  <c r="K33" i="21"/>
  <c r="Z32" i="21"/>
  <c r="Y32" i="21"/>
  <c r="K32" i="21"/>
  <c r="Z31" i="21"/>
  <c r="Y31" i="21"/>
  <c r="K31" i="21"/>
  <c r="Z30" i="21"/>
  <c r="Y30" i="21"/>
  <c r="K30" i="21"/>
  <c r="Z29" i="21"/>
  <c r="Y29" i="21"/>
  <c r="K29" i="21"/>
  <c r="Z28" i="21"/>
  <c r="Y28" i="21"/>
  <c r="K28" i="21"/>
  <c r="Z27" i="21"/>
  <c r="Y27" i="21"/>
  <c r="K27" i="21"/>
  <c r="Z26" i="21"/>
  <c r="Y26" i="21"/>
  <c r="K26" i="21"/>
  <c r="Z25" i="21"/>
  <c r="Y25" i="21"/>
  <c r="K25" i="21"/>
  <c r="Z24" i="21"/>
  <c r="Y24" i="21"/>
  <c r="K24" i="21"/>
  <c r="Z23" i="21"/>
  <c r="Y23" i="21"/>
  <c r="K23" i="21"/>
  <c r="Z22" i="21"/>
  <c r="Y22" i="21"/>
  <c r="K22" i="21"/>
  <c r="Z21" i="21"/>
  <c r="Y21" i="21"/>
  <c r="K21" i="21"/>
  <c r="Z20" i="21"/>
  <c r="Y20" i="21"/>
  <c r="K20" i="21"/>
  <c r="Z19" i="21"/>
  <c r="Y19" i="21"/>
  <c r="K19" i="21"/>
  <c r="Z18" i="21"/>
  <c r="Y18" i="21"/>
  <c r="K18" i="21"/>
  <c r="Z17" i="21"/>
  <c r="Y17" i="21"/>
  <c r="K17" i="21"/>
  <c r="Z16" i="21"/>
  <c r="Y16" i="21"/>
  <c r="K16" i="21"/>
  <c r="Z15" i="21"/>
  <c r="Y15" i="21"/>
  <c r="K15" i="21"/>
  <c r="Z14" i="21"/>
  <c r="Y14" i="21"/>
  <c r="K14" i="21"/>
  <c r="Z13" i="21"/>
  <c r="Y13" i="21"/>
  <c r="K13" i="21"/>
  <c r="Z12" i="21"/>
  <c r="Y12" i="21"/>
  <c r="K12" i="21"/>
  <c r="Z11" i="21"/>
  <c r="Y11" i="21"/>
  <c r="K11" i="21"/>
  <c r="Z10" i="21"/>
  <c r="Y10" i="21"/>
  <c r="K10" i="21"/>
  <c r="Z9" i="21"/>
  <c r="Y9" i="21"/>
  <c r="K9" i="21"/>
  <c r="Z8" i="21"/>
  <c r="Y8" i="21"/>
  <c r="K8" i="21"/>
  <c r="Z7" i="21"/>
  <c r="Y7" i="21"/>
  <c r="K7" i="21"/>
  <c r="Z6" i="21"/>
  <c r="Y6" i="21"/>
  <c r="K6" i="21"/>
  <c r="Z5" i="21"/>
  <c r="Y5" i="21"/>
  <c r="K5" i="21"/>
  <c r="Z4" i="21"/>
  <c r="Y4" i="21"/>
  <c r="K4" i="21"/>
  <c r="Z3" i="21"/>
  <c r="Y3" i="21"/>
  <c r="S3" i="21"/>
  <c r="K6" i="1" s="1"/>
  <c r="O3" i="21"/>
  <c r="M3" i="21"/>
  <c r="K3" i="21"/>
  <c r="AA2" i="21"/>
  <c r="AC6" i="1" s="1"/>
  <c r="Z2" i="21"/>
  <c r="Y2" i="21"/>
  <c r="K2" i="21"/>
  <c r="I42" i="20"/>
  <c r="H42" i="20"/>
  <c r="G42" i="20"/>
  <c r="N3" i="20" s="1"/>
  <c r="B13" i="20" s="1"/>
  <c r="J5" i="1" s="1"/>
  <c r="F42" i="20"/>
  <c r="E42" i="20"/>
  <c r="Z41" i="20"/>
  <c r="Y41" i="20"/>
  <c r="K41" i="20"/>
  <c r="Z40" i="20"/>
  <c r="Y40" i="20"/>
  <c r="K40" i="20"/>
  <c r="Z39" i="20"/>
  <c r="Y39" i="20"/>
  <c r="K39" i="20"/>
  <c r="Z38" i="20"/>
  <c r="Y38" i="20"/>
  <c r="K38" i="20"/>
  <c r="Z37" i="20"/>
  <c r="Y37" i="20"/>
  <c r="K37" i="20"/>
  <c r="Z36" i="20"/>
  <c r="Y36" i="20"/>
  <c r="K36" i="20"/>
  <c r="Z35" i="20"/>
  <c r="Y35" i="20"/>
  <c r="K35" i="20"/>
  <c r="Z34" i="20"/>
  <c r="Y34" i="20"/>
  <c r="K34" i="20"/>
  <c r="Z33" i="20"/>
  <c r="Y33" i="20"/>
  <c r="K33" i="20"/>
  <c r="Z32" i="20"/>
  <c r="Y32" i="20"/>
  <c r="K32" i="20"/>
  <c r="Z31" i="20"/>
  <c r="Y31" i="20"/>
  <c r="K31" i="20"/>
  <c r="Z30" i="20"/>
  <c r="Y30" i="20"/>
  <c r="K30" i="20"/>
  <c r="Z29" i="20"/>
  <c r="Y29" i="20"/>
  <c r="K29" i="20"/>
  <c r="Z28" i="20"/>
  <c r="Y28" i="20"/>
  <c r="K28" i="20"/>
  <c r="Z27" i="20"/>
  <c r="Y27" i="20"/>
  <c r="K27" i="20"/>
  <c r="Z26" i="20"/>
  <c r="Y26" i="20"/>
  <c r="K26" i="20"/>
  <c r="Z25" i="20"/>
  <c r="Y25" i="20"/>
  <c r="K25" i="20"/>
  <c r="Z24" i="20"/>
  <c r="Y24" i="20"/>
  <c r="K24" i="20"/>
  <c r="Z23" i="20"/>
  <c r="Y23" i="20"/>
  <c r="K23" i="20"/>
  <c r="Z22" i="20"/>
  <c r="Y22" i="20"/>
  <c r="K22" i="20"/>
  <c r="Z21" i="20"/>
  <c r="Y21" i="20"/>
  <c r="K21" i="20"/>
  <c r="Z20" i="20"/>
  <c r="Y20" i="20"/>
  <c r="K20" i="20"/>
  <c r="Z19" i="20"/>
  <c r="Y19" i="20"/>
  <c r="K19" i="20"/>
  <c r="Z18" i="20"/>
  <c r="Y18" i="20"/>
  <c r="K18" i="20"/>
  <c r="Z17" i="20"/>
  <c r="Y17" i="20"/>
  <c r="K17" i="20"/>
  <c r="Z16" i="20"/>
  <c r="Y16" i="20"/>
  <c r="K16" i="20"/>
  <c r="Z15" i="20"/>
  <c r="Y15" i="20"/>
  <c r="K15" i="20"/>
  <c r="Z14" i="20"/>
  <c r="Y14" i="20"/>
  <c r="K14" i="20"/>
  <c r="Z13" i="20"/>
  <c r="Y13" i="20"/>
  <c r="K13" i="20"/>
  <c r="Z12" i="20"/>
  <c r="Y12" i="20"/>
  <c r="K12" i="20"/>
  <c r="Z11" i="20"/>
  <c r="Y11" i="20"/>
  <c r="K11" i="20"/>
  <c r="Z10" i="20"/>
  <c r="Y10" i="20"/>
  <c r="K10" i="20"/>
  <c r="Z9" i="20"/>
  <c r="Y9" i="20"/>
  <c r="K9" i="20"/>
  <c r="Z8" i="20"/>
  <c r="Y8" i="20"/>
  <c r="K8" i="20"/>
  <c r="Z7" i="20"/>
  <c r="Y7" i="20"/>
  <c r="K7" i="20"/>
  <c r="Z6" i="20"/>
  <c r="Y6" i="20"/>
  <c r="K6" i="20"/>
  <c r="Z5" i="20"/>
  <c r="Y5" i="20"/>
  <c r="K5" i="20"/>
  <c r="Z4" i="20"/>
  <c r="Y4" i="20"/>
  <c r="K4" i="20"/>
  <c r="Z3" i="20"/>
  <c r="Y3" i="20"/>
  <c r="S3" i="20"/>
  <c r="K5" i="1" s="1"/>
  <c r="P3" i="20"/>
  <c r="O3" i="20"/>
  <c r="M3" i="20"/>
  <c r="K3" i="20"/>
  <c r="AA2" i="20"/>
  <c r="AC5" i="1" s="1"/>
  <c r="Z2" i="20"/>
  <c r="Y2" i="20"/>
  <c r="K2" i="20"/>
  <c r="I42" i="19"/>
  <c r="H42" i="19"/>
  <c r="G42" i="19"/>
  <c r="N3" i="19" s="1"/>
  <c r="F42" i="19"/>
  <c r="E42" i="19"/>
  <c r="Z41" i="19"/>
  <c r="Y41" i="19"/>
  <c r="K41" i="19"/>
  <c r="Z40" i="19"/>
  <c r="Y40" i="19"/>
  <c r="K40" i="19"/>
  <c r="Z39" i="19"/>
  <c r="Y39" i="19"/>
  <c r="K39" i="19"/>
  <c r="Z38" i="19"/>
  <c r="Y38" i="19"/>
  <c r="K38" i="19"/>
  <c r="Z37" i="19"/>
  <c r="Y37" i="19"/>
  <c r="K37" i="19"/>
  <c r="Z36" i="19"/>
  <c r="Y36" i="19"/>
  <c r="K36" i="19"/>
  <c r="Z35" i="19"/>
  <c r="Y35" i="19"/>
  <c r="K35" i="19"/>
  <c r="Z34" i="19"/>
  <c r="Y34" i="19"/>
  <c r="K34" i="19"/>
  <c r="Z33" i="19"/>
  <c r="Y33" i="19"/>
  <c r="K33" i="19"/>
  <c r="Z32" i="19"/>
  <c r="Y32" i="19"/>
  <c r="K32" i="19"/>
  <c r="Z31" i="19"/>
  <c r="Y31" i="19"/>
  <c r="K31" i="19"/>
  <c r="Z30" i="19"/>
  <c r="Y30" i="19"/>
  <c r="K30" i="19"/>
  <c r="Z29" i="19"/>
  <c r="Y29" i="19"/>
  <c r="K29" i="19"/>
  <c r="Z28" i="19"/>
  <c r="Y28" i="19"/>
  <c r="K28" i="19"/>
  <c r="Z27" i="19"/>
  <c r="Y27" i="19"/>
  <c r="K27" i="19"/>
  <c r="Z26" i="19"/>
  <c r="Y26" i="19"/>
  <c r="K26" i="19"/>
  <c r="Z25" i="19"/>
  <c r="Y25" i="19"/>
  <c r="K25" i="19"/>
  <c r="Z24" i="19"/>
  <c r="Y24" i="19"/>
  <c r="K24" i="19"/>
  <c r="Z23" i="19"/>
  <c r="Y23" i="19"/>
  <c r="K23" i="19"/>
  <c r="Z22" i="19"/>
  <c r="Y22" i="19"/>
  <c r="K22" i="19"/>
  <c r="Z21" i="19"/>
  <c r="Y21" i="19"/>
  <c r="K21" i="19"/>
  <c r="Z20" i="19"/>
  <c r="Y20" i="19"/>
  <c r="K20" i="19"/>
  <c r="Z19" i="19"/>
  <c r="Y19" i="19"/>
  <c r="K19" i="19"/>
  <c r="Z18" i="19"/>
  <c r="Y18" i="19"/>
  <c r="K18" i="19"/>
  <c r="Z17" i="19"/>
  <c r="Y17" i="19"/>
  <c r="K17" i="19"/>
  <c r="Z16" i="19"/>
  <c r="Y16" i="19"/>
  <c r="K16" i="19"/>
  <c r="Z15" i="19"/>
  <c r="Y15" i="19"/>
  <c r="K15" i="19"/>
  <c r="Z14" i="19"/>
  <c r="Y14" i="19"/>
  <c r="K14" i="19"/>
  <c r="Z13" i="19"/>
  <c r="Y13" i="19"/>
  <c r="K13" i="19"/>
  <c r="Z12" i="19"/>
  <c r="Y12" i="19"/>
  <c r="K12" i="19"/>
  <c r="Z11" i="19"/>
  <c r="Y11" i="19"/>
  <c r="K11" i="19"/>
  <c r="Z10" i="19"/>
  <c r="Y10" i="19"/>
  <c r="K10" i="19"/>
  <c r="Z9" i="19"/>
  <c r="Y9" i="19"/>
  <c r="K9" i="19"/>
  <c r="Z8" i="19"/>
  <c r="Y8" i="19"/>
  <c r="K8" i="19"/>
  <c r="Z7" i="19"/>
  <c r="Y7" i="19"/>
  <c r="K7" i="19"/>
  <c r="Z6" i="19"/>
  <c r="Y6" i="19"/>
  <c r="K6" i="19"/>
  <c r="Z5" i="19"/>
  <c r="Y5" i="19"/>
  <c r="K5" i="19"/>
  <c r="Z4" i="19"/>
  <c r="Y4" i="19"/>
  <c r="K4" i="19"/>
  <c r="Z3" i="19"/>
  <c r="Y3" i="19"/>
  <c r="S3" i="19"/>
  <c r="K4" i="1" s="1"/>
  <c r="P3" i="19"/>
  <c r="O3" i="19"/>
  <c r="M3" i="19"/>
  <c r="K3" i="19"/>
  <c r="AA2" i="19"/>
  <c r="AC4" i="1" s="1"/>
  <c r="Z2" i="19"/>
  <c r="Y2" i="19"/>
  <c r="K2" i="19"/>
  <c r="I42" i="18"/>
  <c r="H42" i="18"/>
  <c r="P3" i="18" s="1"/>
  <c r="M3" i="1" s="1"/>
  <c r="G42" i="18"/>
  <c r="N3" i="18" s="1"/>
  <c r="B13" i="18" s="1"/>
  <c r="J3" i="1" s="1"/>
  <c r="F42" i="18"/>
  <c r="E42" i="18"/>
  <c r="Z41" i="18"/>
  <c r="Y41" i="18"/>
  <c r="K41" i="18"/>
  <c r="Z40" i="18"/>
  <c r="Y40" i="18"/>
  <c r="K40" i="18"/>
  <c r="Z39" i="18"/>
  <c r="Y39" i="18"/>
  <c r="K39" i="18"/>
  <c r="Z38" i="18"/>
  <c r="Y38" i="18"/>
  <c r="K38" i="18"/>
  <c r="Z37" i="18"/>
  <c r="Y37" i="18"/>
  <c r="K37" i="18"/>
  <c r="Z36" i="18"/>
  <c r="Y36" i="18"/>
  <c r="K36" i="18"/>
  <c r="Z35" i="18"/>
  <c r="Y35" i="18"/>
  <c r="K35" i="18"/>
  <c r="Z34" i="18"/>
  <c r="Y34" i="18"/>
  <c r="K34" i="18"/>
  <c r="Z33" i="18"/>
  <c r="Y33" i="18"/>
  <c r="K33" i="18"/>
  <c r="Z32" i="18"/>
  <c r="Y32" i="18"/>
  <c r="K32" i="18"/>
  <c r="Z31" i="18"/>
  <c r="Y31" i="18"/>
  <c r="K31" i="18"/>
  <c r="Z30" i="18"/>
  <c r="Y30" i="18"/>
  <c r="K30" i="18"/>
  <c r="Z29" i="18"/>
  <c r="Y29" i="18"/>
  <c r="K29" i="18"/>
  <c r="Z28" i="18"/>
  <c r="Y28" i="18"/>
  <c r="K28" i="18"/>
  <c r="Z27" i="18"/>
  <c r="Y27" i="18"/>
  <c r="K27" i="18"/>
  <c r="Z26" i="18"/>
  <c r="Y26" i="18"/>
  <c r="K26" i="18"/>
  <c r="Z25" i="18"/>
  <c r="Y25" i="18"/>
  <c r="K25" i="18"/>
  <c r="Z24" i="18"/>
  <c r="Y24" i="18"/>
  <c r="K24" i="18"/>
  <c r="Z23" i="18"/>
  <c r="Y23" i="18"/>
  <c r="K23" i="18"/>
  <c r="Z22" i="18"/>
  <c r="Y22" i="18"/>
  <c r="K22" i="18"/>
  <c r="Z21" i="18"/>
  <c r="Y21" i="18"/>
  <c r="K21" i="18"/>
  <c r="Z20" i="18"/>
  <c r="Y20" i="18"/>
  <c r="K20" i="18"/>
  <c r="Z19" i="18"/>
  <c r="Y19" i="18"/>
  <c r="K19" i="18"/>
  <c r="Z18" i="18"/>
  <c r="Y18" i="18"/>
  <c r="K18" i="18"/>
  <c r="Z17" i="18"/>
  <c r="Y17" i="18"/>
  <c r="K17" i="18"/>
  <c r="Z16" i="18"/>
  <c r="Y16" i="18"/>
  <c r="K16" i="18"/>
  <c r="Z15" i="18"/>
  <c r="Y15" i="18"/>
  <c r="K15" i="18"/>
  <c r="Z14" i="18"/>
  <c r="Y14" i="18"/>
  <c r="K14" i="18"/>
  <c r="Z13" i="18"/>
  <c r="Y13" i="18"/>
  <c r="K13" i="18"/>
  <c r="Z12" i="18"/>
  <c r="Y12" i="18"/>
  <c r="K12" i="18"/>
  <c r="Z11" i="18"/>
  <c r="Y11" i="18"/>
  <c r="K11" i="18"/>
  <c r="Z10" i="18"/>
  <c r="Y10" i="18"/>
  <c r="K10" i="18"/>
  <c r="Z9" i="18"/>
  <c r="Y9" i="18"/>
  <c r="K9" i="18"/>
  <c r="Z8" i="18"/>
  <c r="Y8" i="18"/>
  <c r="K8" i="18"/>
  <c r="Z7" i="18"/>
  <c r="Y7" i="18"/>
  <c r="K7" i="18"/>
  <c r="Z6" i="18"/>
  <c r="Y6" i="18"/>
  <c r="K6" i="18"/>
  <c r="Z5" i="18"/>
  <c r="Y5" i="18"/>
  <c r="K5" i="18"/>
  <c r="Z4" i="18"/>
  <c r="Y4" i="18"/>
  <c r="K4" i="18"/>
  <c r="Z3" i="18"/>
  <c r="Y3" i="18"/>
  <c r="S3" i="18"/>
  <c r="K3" i="1" s="1"/>
  <c r="O3" i="18"/>
  <c r="M3" i="18"/>
  <c r="K3" i="18"/>
  <c r="AA2" i="18"/>
  <c r="AC3" i="1" s="1"/>
  <c r="Z2" i="18"/>
  <c r="Y2" i="18"/>
  <c r="K2" i="18"/>
  <c r="H2" i="12"/>
  <c r="P3" i="23" l="1"/>
  <c r="M8" i="1" s="1"/>
  <c r="T3" i="1" s="1"/>
  <c r="R3" i="22"/>
  <c r="I7" i="1" s="1"/>
  <c r="P3" i="21"/>
  <c r="M6" i="1" s="1"/>
  <c r="L6" i="1"/>
  <c r="L3" i="1"/>
  <c r="S3" i="1"/>
  <c r="P3" i="1" s="1"/>
  <c r="B15" i="23"/>
  <c r="Q3" i="23"/>
  <c r="B15" i="22"/>
  <c r="Q3" i="22"/>
  <c r="R3" i="21"/>
  <c r="I6" i="1" s="1"/>
  <c r="B15" i="21"/>
  <c r="Q3" i="21"/>
  <c r="Q3" i="20"/>
  <c r="R3" i="20"/>
  <c r="B15" i="20"/>
  <c r="R3" i="19"/>
  <c r="B13" i="19"/>
  <c r="J4" i="1" s="1"/>
  <c r="B15" i="19"/>
  <c r="Q3" i="19"/>
  <c r="R3" i="18"/>
  <c r="I3" i="1" s="1"/>
  <c r="B15" i="18"/>
  <c r="Q3" i="18"/>
  <c r="AC20" i="1" l="1"/>
  <c r="AC17" i="1"/>
  <c r="AC13" i="1"/>
  <c r="AC14" i="1"/>
  <c r="AC15" i="1"/>
  <c r="AC18" i="1" l="1"/>
  <c r="K3" i="12" l="1"/>
  <c r="K4" i="12"/>
  <c r="K5" i="12"/>
  <c r="K6" i="12"/>
  <c r="K7" i="12"/>
  <c r="K2" i="12"/>
  <c r="A200" i="12"/>
  <c r="G2" i="12" l="1"/>
  <c r="F2" i="12"/>
  <c r="I2" i="12" l="1"/>
  <c r="O3" i="1" s="1"/>
  <c r="U3" i="1" s="1"/>
  <c r="K200" i="12" l="1"/>
  <c r="X3" i="1" s="1"/>
  <c r="V3" i="1"/>
  <c r="W3" i="1"/>
  <c r="R3" i="1"/>
  <c r="L1" i="12"/>
</calcChain>
</file>

<file path=xl/sharedStrings.xml><?xml version="1.0" encoding="utf-8"?>
<sst xmlns="http://schemas.openxmlformats.org/spreadsheetml/2006/main" count="358" uniqueCount="67">
  <si>
    <t>Paskola</t>
  </si>
  <si>
    <t>Objektas</t>
  </si>
  <si>
    <t>Projekto reitingas</t>
  </si>
  <si>
    <t>A</t>
  </si>
  <si>
    <t>Investicijos laikotarpis, mėn.</t>
  </si>
  <si>
    <t>Palūkanų mokėjimas</t>
  </si>
  <si>
    <t>Palūkanos</t>
  </si>
  <si>
    <t>Palūkanos, %</t>
  </si>
  <si>
    <t>Investicijos data</t>
  </si>
  <si>
    <t>Q</t>
  </si>
  <si>
    <t>Data</t>
  </si>
  <si>
    <t>Viso:</t>
  </si>
  <si>
    <t>Palūkanų pradžia</t>
  </si>
  <si>
    <t>LTV, %</t>
  </si>
  <si>
    <t>LTV max, %</t>
  </si>
  <si>
    <t>Pavadinimas</t>
  </si>
  <si>
    <t>Laikotarpis</t>
  </si>
  <si>
    <t xml:space="preserve">Premijos </t>
  </si>
  <si>
    <t>Vertė</t>
  </si>
  <si>
    <t>%</t>
  </si>
  <si>
    <t>Gryni</t>
  </si>
  <si>
    <t>Premija</t>
  </si>
  <si>
    <t>Vėlavimas</t>
  </si>
  <si>
    <t>Grąžinta</t>
  </si>
  <si>
    <t>Reitingas</t>
  </si>
  <si>
    <t>Įnešta</t>
  </si>
  <si>
    <t>Išimta</t>
  </si>
  <si>
    <t>Skirtumas</t>
  </si>
  <si>
    <t>Paskola P00001423-4</t>
  </si>
  <si>
    <t>Senvagės loftai, Panevėžys IV</t>
  </si>
  <si>
    <t>Paskola P00001405-3</t>
  </si>
  <si>
    <t>Sakurų Namai, Marijampolė III</t>
  </si>
  <si>
    <t>A-</t>
  </si>
  <si>
    <t>Butai centrinėje Vilniaus dalyje</t>
  </si>
  <si>
    <t>Paskola P00001489</t>
  </si>
  <si>
    <t>AA-</t>
  </si>
  <si>
    <t>Papildomos</t>
  </si>
  <si>
    <t>XIRR</t>
  </si>
  <si>
    <t>Suma</t>
  </si>
  <si>
    <t>Suteikta</t>
  </si>
  <si>
    <t>Planuotos</t>
  </si>
  <si>
    <t>Realios</t>
  </si>
  <si>
    <t>Investuota</t>
  </si>
  <si>
    <t>Planuojamas</t>
  </si>
  <si>
    <t>Paskolos pabaiga</t>
  </si>
  <si>
    <t>Nr.</t>
  </si>
  <si>
    <t>Grąžinimas</t>
  </si>
  <si>
    <t>Vėluoja</t>
  </si>
  <si>
    <t>Liko dienų</t>
  </si>
  <si>
    <t>Liko</t>
  </si>
  <si>
    <t>Butas Didlaukio g., Vilnius II</t>
  </si>
  <si>
    <t>Paskola P00001456-2</t>
  </si>
  <si>
    <t>Daugiabutis Druskininkuose V</t>
  </si>
  <si>
    <t>Paskola P00001386-5</t>
  </si>
  <si>
    <t>A+</t>
  </si>
  <si>
    <t>Druskonio Perlai, Druskininkai XV</t>
  </si>
  <si>
    <t>Paskola P00001537-15</t>
  </si>
  <si>
    <t>Pinigai</t>
  </si>
  <si>
    <t>Viso</t>
  </si>
  <si>
    <t>Eur.</t>
  </si>
  <si>
    <t>Investuota, Eur</t>
  </si>
  <si>
    <t>Vėlavo/Anksčiau</t>
  </si>
  <si>
    <t>Realus</t>
  </si>
  <si>
    <t>Huberto Namai, Trakų r. VII</t>
  </si>
  <si>
    <t>Paskola P00001583-7</t>
  </si>
  <si>
    <t>Paskola P00001642-2</t>
  </si>
  <si>
    <t>Dvibutis prie Neries, Vilniaus r.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</si>
</sst>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.mm\.dd;@"/>
    <numFmt numFmtId="166" formatCode="yyyy/mm/dd;@"/>
  </numFmts>
  <fonts count="4" x14ac:knownFonts="1">
    <font>
      <sz val="11"/>
      <color theme="1"/>
      <name val="Calibri"/>
      <family val="2"/>
      <charset val="186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" fontId="0" fillId="0" borderId="1" xfId="0" applyNumberFormat="1" applyBorder="1"/>
    <xf numFmtId="0" fontId="2" fillId="0" borderId="0" xfId="0" applyFont="1"/>
    <xf numFmtId="0" fontId="3" fillId="0" borderId="1" xfId="1" applyBorder="1" applyAlignment="1">
      <alignment horizontal="left"/>
    </xf>
    <xf numFmtId="165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165" fontId="0" fillId="0" borderId="1" xfId="0" applyNumberForma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41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145E81-1DB2-4100-AAB4-F8645CD11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5339B6-7706-4601-A050-2D69C649E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20A1A1-654C-48D3-A2F5-256753341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F1099C-6135-469F-AFC2-FF9256271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7C5CD6-B3D9-4668-8AE1-79DFCBDFA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364CBD-BB16-407C-BF42-C9E91FF5B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A99DC0-5F06-4332-89FF-1020CAE6C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F5C234-A1B2-4D6D-8985-AEAB1A037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Investavimas%202026.06.03\Profitus\Profitus.xlsx" TargetMode="External"/><Relationship Id="rId1" Type="http://schemas.openxmlformats.org/officeDocument/2006/relationships/externalLinkPath" Target="Profi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Pinigai"/>
      <sheetName val="Namas Laipu 2, Jūrmala"/>
      <sheetName val="Daugiabutis Brivibas 140, Ryga"/>
      <sheetName val="Daugiabučiai Lietaviškių g."/>
      <sheetName val="Senvagės loftai, Panevėžys VIII"/>
      <sheetName val="Dvibučių kvartalas Kauno r. II"/>
      <sheetName val="Molėtų Oazė XII"/>
      <sheetName val="Europos 70, Kaunas XX"/>
      <sheetName val="Brivibas 28, Jūrmala"/>
      <sheetName val="Svajonių Daugiabutis, Kaunas"/>
      <sheetName val="Golf Hills Vilos, Alikantė"/>
      <sheetName val="Sklypas Kalnėnuose, Vilnius II"/>
      <sheetName val="Dvibutis Didžiojoje Riešėje"/>
      <sheetName val="Piekrasta Rezidence, Ryga XII"/>
      <sheetName val="Dvibutis Upelio g., Vilniaus r."/>
      <sheetName val="Dvibutis Klevų g."/>
      <sheetName val="Dvibutis Upės g."/>
      <sheetName val="Vyčio slėnis VIII"/>
      <sheetName val="Twinhouse XIII"/>
      <sheetName val="Kęstučio salos"/>
      <sheetName val="Elfa loftai II"/>
      <sheetName val="Piekrasta rezidence"/>
      <sheetName val="Bičių slėnis XVII"/>
      <sheetName val="Ocean 11 South, I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A2" t="str">
            <v/>
          </cell>
        </row>
      </sheetData>
      <sheetData sheetId="8"/>
      <sheetData sheetId="9">
        <row r="2">
          <cell r="AA2" t="str">
            <v/>
          </cell>
        </row>
      </sheetData>
      <sheetData sheetId="10">
        <row r="2">
          <cell r="AA2" t="str">
            <v/>
          </cell>
        </row>
      </sheetData>
      <sheetData sheetId="11"/>
      <sheetData sheetId="12">
        <row r="2">
          <cell r="AA2" t="str">
            <v/>
          </cell>
        </row>
      </sheetData>
      <sheetData sheetId="13">
        <row r="2">
          <cell r="AA2" t="str">
            <v/>
          </cell>
        </row>
      </sheetData>
      <sheetData sheetId="14">
        <row r="2">
          <cell r="AA2" t="str">
            <v/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8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18" sqref="K18"/>
    </sheetView>
  </sheetViews>
  <sheetFormatPr defaultRowHeight="15" x14ac:dyDescent="0.25"/>
  <cols>
    <col min="1" max="1" width="5.7109375" customWidth="1"/>
    <col min="2" max="2" width="12.7109375" customWidth="1"/>
    <col min="3" max="3" width="40.7109375" customWidth="1"/>
    <col min="4" max="7" width="10.7109375" customWidth="1"/>
    <col min="8" max="9" width="12.7109375" customWidth="1"/>
    <col min="10" max="13" width="10.7109375" customWidth="1"/>
    <col min="14" max="14" width="5.7109375" customWidth="1"/>
    <col min="15" max="24" width="10.7109375" customWidth="1"/>
    <col min="25" max="28" width="8.7109375" customWidth="1"/>
  </cols>
  <sheetData>
    <row r="1" spans="1:29" x14ac:dyDescent="0.25">
      <c r="A1" s="26" t="s">
        <v>0</v>
      </c>
      <c r="B1" s="27"/>
      <c r="C1" s="27"/>
      <c r="D1" s="27"/>
      <c r="E1" s="27"/>
      <c r="F1" s="27"/>
      <c r="G1" s="28"/>
      <c r="H1" s="29" t="s">
        <v>46</v>
      </c>
      <c r="I1" s="29"/>
      <c r="J1" s="29"/>
      <c r="K1" s="29"/>
      <c r="L1" s="29"/>
      <c r="M1" s="29"/>
      <c r="O1" s="29" t="s">
        <v>57</v>
      </c>
      <c r="P1" s="29"/>
      <c r="Q1" s="29"/>
      <c r="R1" s="29"/>
      <c r="S1" s="29" t="s">
        <v>23</v>
      </c>
      <c r="T1" s="29"/>
      <c r="U1" s="30" t="s">
        <v>18</v>
      </c>
      <c r="V1" s="30"/>
      <c r="W1" s="30"/>
      <c r="X1" s="30"/>
    </row>
    <row r="2" spans="1:29" ht="15" customHeight="1" x14ac:dyDescent="0.25">
      <c r="A2" s="22" t="s">
        <v>45</v>
      </c>
      <c r="B2" s="22" t="s">
        <v>10</v>
      </c>
      <c r="C2" s="22" t="s">
        <v>15</v>
      </c>
      <c r="D2" s="22" t="s">
        <v>16</v>
      </c>
      <c r="E2" s="22" t="s">
        <v>24</v>
      </c>
      <c r="F2" s="22" t="s">
        <v>6</v>
      </c>
      <c r="G2" s="22" t="s">
        <v>42</v>
      </c>
      <c r="H2" s="21" t="s">
        <v>43</v>
      </c>
      <c r="I2" s="21" t="s">
        <v>62</v>
      </c>
      <c r="J2" s="21" t="s">
        <v>49</v>
      </c>
      <c r="K2" s="21" t="s">
        <v>47</v>
      </c>
      <c r="L2" s="22" t="s">
        <v>0</v>
      </c>
      <c r="M2" s="22" t="s">
        <v>6</v>
      </c>
      <c r="O2" s="22" t="s">
        <v>25</v>
      </c>
      <c r="P2" s="22" t="s">
        <v>42</v>
      </c>
      <c r="Q2" s="22" t="s">
        <v>17</v>
      </c>
      <c r="R2" s="22" t="s">
        <v>20</v>
      </c>
      <c r="S2" s="22" t="s">
        <v>0</v>
      </c>
      <c r="T2" s="22" t="s">
        <v>6</v>
      </c>
      <c r="U2" s="22" t="s">
        <v>58</v>
      </c>
      <c r="V2" s="22" t="s">
        <v>59</v>
      </c>
      <c r="W2" s="22" t="s">
        <v>19</v>
      </c>
      <c r="X2" s="22" t="s">
        <v>37</v>
      </c>
      <c r="AC2" s="7" t="s">
        <v>47</v>
      </c>
    </row>
    <row r="3" spans="1:29" x14ac:dyDescent="0.25">
      <c r="A3" s="3">
        <v>1</v>
      </c>
      <c r="B3" s="10">
        <f>'Senvagės loftai, Panevėžys IV'!B3</f>
        <v>45899</v>
      </c>
      <c r="C3" s="18" t="str">
        <f>'Senvagės loftai, Panevėžys IV'!B2</f>
        <v>Senvagės loftai, Panevėžys IV</v>
      </c>
      <c r="D3" s="3">
        <f>'Senvagės loftai, Panevėžys IV'!B8</f>
        <v>12</v>
      </c>
      <c r="E3" s="3" t="str">
        <f>'Senvagės loftai, Panevėžys IV'!B5</f>
        <v>A</v>
      </c>
      <c r="F3" s="6">
        <f>'Senvagės loftai, Panevėžys IV'!B10</f>
        <v>0.09</v>
      </c>
      <c r="G3" s="5">
        <f>'Senvagės loftai, Panevėžys IV'!B11</f>
        <v>100</v>
      </c>
      <c r="H3" s="10">
        <f>'Senvagės loftai, Panevėžys IV'!B12</f>
        <v>46264</v>
      </c>
      <c r="I3" s="10">
        <f>'Senvagės loftai, Panevėžys IV'!R3</f>
        <v>46248</v>
      </c>
      <c r="J3" s="9" t="str">
        <f ca="1">'Senvagės loftai, Panevėžys IV'!B13</f>
        <v/>
      </c>
      <c r="K3" s="9" t="str">
        <f ca="1">'Senvagės loftai, Panevėžys IV'!S3</f>
        <v/>
      </c>
      <c r="L3" s="5">
        <f>'Senvagės loftai, Panevėžys IV'!N3</f>
        <v>100</v>
      </c>
      <c r="M3" s="5">
        <f>'Senvagės loftai, Panevėžys IV'!P3</f>
        <v>8.56</v>
      </c>
      <c r="O3" s="5">
        <f>Pinigai!I2</f>
        <v>623.95000000000005</v>
      </c>
      <c r="P3" s="5">
        <f>SUM(G3:G200)-S3</f>
        <v>666.80000000000007</v>
      </c>
      <c r="Q3" s="5">
        <f>Pinigai!H2</f>
        <v>25</v>
      </c>
      <c r="R3" s="5">
        <f>U3-P3</f>
        <v>7.7799999999999727</v>
      </c>
      <c r="S3" s="5">
        <f>SUM(L3:L200)</f>
        <v>200</v>
      </c>
      <c r="T3" s="5">
        <f>SUM(M3:M200)</f>
        <v>25.630000000000003</v>
      </c>
      <c r="U3" s="5">
        <f>O3+T3+Q3</f>
        <v>674.58</v>
      </c>
      <c r="V3" s="5">
        <f>U3-O3</f>
        <v>50.629999999999995</v>
      </c>
      <c r="W3" s="14">
        <f>(U3-O3)/O3</f>
        <v>8.1144322461735696E-2</v>
      </c>
      <c r="X3" s="14">
        <f ca="1">XIRR(Pinigai!K2:K200,Pinigai!A2:A200)</f>
        <v>0.11799659132957457</v>
      </c>
      <c r="AC3" s="5" t="str">
        <f ca="1">'Senvagės loftai, Panevėžys IV'!AA2</f>
        <v/>
      </c>
    </row>
    <row r="4" spans="1:29" x14ac:dyDescent="0.25">
      <c r="A4" s="3">
        <v>2</v>
      </c>
      <c r="B4" s="10">
        <f>'Sakurų Namai, Marijampolė III'!B3</f>
        <v>45899</v>
      </c>
      <c r="C4" s="18" t="str">
        <f>'Sakurų Namai, Marijampolė III'!B2</f>
        <v>Sakurų Namai, Marijampolė III</v>
      </c>
      <c r="D4" s="3">
        <f>'Sakurų Namai, Marijampolė III'!B8</f>
        <v>12</v>
      </c>
      <c r="E4" s="3" t="str">
        <f>'Sakurų Namai, Marijampolė III'!B5</f>
        <v>A-</v>
      </c>
      <c r="F4" s="6">
        <f>'Sakurų Namai, Marijampolė III'!B10</f>
        <v>9.5000000000000001E-2</v>
      </c>
      <c r="G4" s="5">
        <f>'Sakurų Namai, Marijampolė III'!B11</f>
        <v>100</v>
      </c>
      <c r="H4" s="10">
        <f>'Sakurų Namai, Marijampolė III'!B12</f>
        <v>46265</v>
      </c>
      <c r="I4" s="10">
        <f>'Sakurų Namai, Marijampolė III'!R3</f>
        <v>46154</v>
      </c>
      <c r="J4" s="9" t="str">
        <f ca="1">'Sakurų Namai, Marijampolė III'!B13</f>
        <v/>
      </c>
      <c r="K4" s="9" t="str">
        <f ca="1">'Sakurų Namai, Marijampolė III'!S3</f>
        <v/>
      </c>
      <c r="L4" s="5">
        <f>'Sakurų Namai, Marijampolė III'!N3</f>
        <v>100</v>
      </c>
      <c r="M4" s="5">
        <f>'Sakurų Namai, Marijampolė III'!P3</f>
        <v>6.43</v>
      </c>
      <c r="AC4" s="5" t="str">
        <f ca="1">'Sakurų Namai, Marijampolė III'!AA2</f>
        <v/>
      </c>
    </row>
    <row r="5" spans="1:29" x14ac:dyDescent="0.25">
      <c r="A5" s="3">
        <v>3</v>
      </c>
      <c r="B5" s="10">
        <f>'Butai centrinėje Vilniaus dal.'!B3</f>
        <v>45979</v>
      </c>
      <c r="C5" s="18" t="str">
        <f>'Butai centrinėje Vilniaus dal.'!B2</f>
        <v>Butai centrinėje Vilniaus dalyje</v>
      </c>
      <c r="D5" s="3">
        <f>'Butai centrinėje Vilniaus dal.'!B8</f>
        <v>9</v>
      </c>
      <c r="E5" s="3" t="str">
        <f>'Butai centrinėje Vilniaus dal.'!B5</f>
        <v>AA-</v>
      </c>
      <c r="F5" s="6">
        <f>'Butai centrinėje Vilniaus dal.'!B10</f>
        <v>0.09</v>
      </c>
      <c r="G5" s="5">
        <f>'Butai centrinėje Vilniaus dal.'!B11</f>
        <v>125</v>
      </c>
      <c r="H5" s="10">
        <f>'Butai centrinėje Vilniaus dal.'!B12</f>
        <v>46258</v>
      </c>
      <c r="I5" s="10" t="str">
        <f>'Butai centrinėje Vilniaus dal.'!R3</f>
        <v/>
      </c>
      <c r="J5" s="9">
        <f ca="1">'Butai centrinėje Vilniaus dal.'!B13</f>
        <v>-49</v>
      </c>
      <c r="K5" s="9">
        <f ca="1">'Butai centrinėje Vilniaus dal.'!S3</f>
        <v>134</v>
      </c>
      <c r="L5" s="5">
        <f>'Butai centrinėje Vilniaus dal.'!N3</f>
        <v>0</v>
      </c>
      <c r="M5" s="5">
        <f>'Butai centrinėje Vilniaus dal.'!P3</f>
        <v>2.9</v>
      </c>
      <c r="AC5" s="5" t="str">
        <f ca="1">'Butai centrinėje Vilniaus dal.'!AA2</f>
        <v>+</v>
      </c>
    </row>
    <row r="6" spans="1:29" x14ac:dyDescent="0.25">
      <c r="A6" s="3">
        <v>4</v>
      </c>
      <c r="B6" s="10">
        <f>'Butas Didlaukio g., Vilnius II'!B3</f>
        <v>46157</v>
      </c>
      <c r="C6" s="18" t="str">
        <f>'Butas Didlaukio g., Vilnius II'!B2</f>
        <v>Butas Didlaukio g., Vilnius II</v>
      </c>
      <c r="D6" s="3">
        <f>'Butas Didlaukio g., Vilnius II'!B8</f>
        <v>12</v>
      </c>
      <c r="E6" s="3" t="str">
        <f>'Butas Didlaukio g., Vilnius II'!B5</f>
        <v>A</v>
      </c>
      <c r="F6" s="6">
        <f>'Butas Didlaukio g., Vilnius II'!B10</f>
        <v>0.08</v>
      </c>
      <c r="G6" s="5">
        <f>'Butas Didlaukio g., Vilnius II'!B11</f>
        <v>126.1</v>
      </c>
      <c r="H6" s="10">
        <f>'Butas Didlaukio g., Vilnius II'!B12</f>
        <v>46524</v>
      </c>
      <c r="I6" s="10" t="str">
        <f>'Butas Didlaukio g., Vilnius II'!R3</f>
        <v/>
      </c>
      <c r="J6" s="9">
        <f ca="1">'Butas Didlaukio g., Vilnius II'!B13</f>
        <v>217</v>
      </c>
      <c r="K6" s="9" t="str">
        <f ca="1">'Butas Didlaukio g., Vilnius II'!S3</f>
        <v/>
      </c>
      <c r="L6" s="5">
        <f>'Butas Didlaukio g., Vilnius II'!N3</f>
        <v>0</v>
      </c>
      <c r="M6" s="5">
        <f>'Butas Didlaukio g., Vilnius II'!P3</f>
        <v>2.87</v>
      </c>
      <c r="AC6" s="9" t="str">
        <f ca="1">'Butas Didlaukio g., Vilnius II'!AA2</f>
        <v/>
      </c>
    </row>
    <row r="7" spans="1:29" x14ac:dyDescent="0.25">
      <c r="A7" s="3">
        <v>5</v>
      </c>
      <c r="B7" s="10">
        <f>'Daugiabutis Druskininkuose V'!B3</f>
        <v>46161</v>
      </c>
      <c r="C7" s="18" t="str">
        <f>'Daugiabutis Druskininkuose V'!B2</f>
        <v>Daugiabutis Druskininkuose V</v>
      </c>
      <c r="D7" s="3">
        <f>'Daugiabutis Druskininkuose V'!B8</f>
        <v>12</v>
      </c>
      <c r="E7" s="3" t="str">
        <f>'Daugiabutis Druskininkuose V'!B5</f>
        <v>A+</v>
      </c>
      <c r="F7" s="6">
        <f>'Daugiabutis Druskininkuose V'!B10</f>
        <v>0.08</v>
      </c>
      <c r="G7" s="5">
        <f>'Daugiabutis Druskininkuose V'!B11</f>
        <v>100</v>
      </c>
      <c r="H7" s="10">
        <f>'Daugiabutis Druskininkuose V'!B12</f>
        <v>46505</v>
      </c>
      <c r="I7" s="10" t="str">
        <f>'Daugiabutis Druskininkuose V'!R3</f>
        <v/>
      </c>
      <c r="J7" s="9">
        <f ca="1">'Daugiabutis Druskininkuose V'!B13</f>
        <v>198</v>
      </c>
      <c r="K7" s="9" t="str">
        <f ca="1">'Daugiabutis Druskininkuose V'!S3</f>
        <v/>
      </c>
      <c r="L7" s="5">
        <f>'Daugiabutis Druskininkuose V'!N3</f>
        <v>0</v>
      </c>
      <c r="M7" s="5">
        <f>'Daugiabutis Druskininkuose V'!P3</f>
        <v>2.3899999999999997</v>
      </c>
      <c r="AC7" s="9" t="str">
        <f ca="1">'Daugiabutis Druskininkuose V'!AA2</f>
        <v/>
      </c>
    </row>
    <row r="8" spans="1:29" x14ac:dyDescent="0.25">
      <c r="A8" s="3">
        <v>6</v>
      </c>
      <c r="B8" s="10">
        <f>'Druskonio Perlai, Druskininkai '!B3</f>
        <v>46191</v>
      </c>
      <c r="C8" s="18" t="str">
        <f>'Druskonio Perlai, Druskininkai '!B2</f>
        <v>Druskonio Perlai, Druskininkai XV</v>
      </c>
      <c r="D8" s="3">
        <f>'Druskonio Perlai, Druskininkai '!B8</f>
        <v>12</v>
      </c>
      <c r="E8" s="3" t="str">
        <f>'Druskonio Perlai, Druskininkai '!B5</f>
        <v>A</v>
      </c>
      <c r="F8" s="6">
        <f>'Druskonio Perlai, Druskininkai '!B10</f>
        <v>8.4000000000000005E-2</v>
      </c>
      <c r="G8" s="5">
        <f>'Druskonio Perlai, Druskininkai '!B11</f>
        <v>109</v>
      </c>
      <c r="H8" s="10">
        <f>'Druskonio Perlai, Druskininkai '!B12</f>
        <v>46559</v>
      </c>
      <c r="I8" s="10" t="str">
        <f>'Druskonio Perlai, Druskininkai '!R3</f>
        <v/>
      </c>
      <c r="J8" s="9">
        <f ca="1">'Druskonio Perlai, Druskininkai '!B13</f>
        <v>252</v>
      </c>
      <c r="K8" s="9" t="str">
        <f ca="1">'Druskonio Perlai, Druskininkai '!S3</f>
        <v/>
      </c>
      <c r="L8" s="5">
        <f>'Druskonio Perlai, Druskininkai '!N3</f>
        <v>0</v>
      </c>
      <c r="M8" s="5">
        <f>'Druskonio Perlai, Druskininkai '!P3</f>
        <v>2.48</v>
      </c>
      <c r="AC8" s="5" t="str">
        <f ca="1">'Druskonio Perlai, Druskininkai '!AA2</f>
        <v/>
      </c>
    </row>
    <row r="9" spans="1:29" x14ac:dyDescent="0.25">
      <c r="A9" s="3">
        <v>7</v>
      </c>
      <c r="B9" s="10">
        <f>'Huberto Namai, Trakų r. VII'!B3</f>
        <v>46248</v>
      </c>
      <c r="C9" s="18" t="str">
        <f>'Huberto Namai, Trakų r. VII'!B2</f>
        <v>Huberto Namai, Trakų r. VII</v>
      </c>
      <c r="D9" s="3">
        <f>'Huberto Namai, Trakų r. VII'!B8</f>
        <v>12</v>
      </c>
      <c r="E9" s="3" t="str">
        <f>'Huberto Namai, Trakų r. VII'!B5</f>
        <v>A+</v>
      </c>
      <c r="F9" s="6">
        <f>'Huberto Namai, Trakų r. VII'!B10</f>
        <v>8.4000000000000005E-2</v>
      </c>
      <c r="G9" s="5">
        <f>'Huberto Namai, Trakų r. VII'!B11</f>
        <v>106.7</v>
      </c>
      <c r="H9" s="10">
        <f>'Dvibutis prie Neries, Vilniaus '!B12</f>
        <v>46615</v>
      </c>
      <c r="I9" s="10" t="str">
        <f>'Huberto Namai, Trakų r. VII'!R3</f>
        <v/>
      </c>
      <c r="J9" s="9">
        <f ca="1">'Huberto Namai, Trakų r. VII'!B13</f>
        <v>308</v>
      </c>
      <c r="K9" s="9" t="str">
        <f ca="1">'Huberto Namai, Trakų r. VII'!S3</f>
        <v/>
      </c>
      <c r="L9" s="5">
        <f>'Huberto Namai, Trakų r. VII'!N3</f>
        <v>0</v>
      </c>
      <c r="M9" s="5">
        <f>'Huberto Namai, Trakų r. VII'!P3</f>
        <v>0</v>
      </c>
      <c r="AC9" s="5" t="str">
        <f ca="1">'Huberto Namai, Trakų r. VII'!AA2</f>
        <v/>
      </c>
    </row>
    <row r="10" spans="1:29" x14ac:dyDescent="0.25">
      <c r="A10" s="3">
        <v>8</v>
      </c>
      <c r="B10" s="10">
        <f>'Dvibutis prie Neries, Vilniaus '!B3</f>
        <v>46248</v>
      </c>
      <c r="C10" s="18" t="str">
        <f>'Dvibutis prie Neries, Vilniaus '!B2</f>
        <v>Dvibutis prie Neries, Vilniaus r. II</v>
      </c>
      <c r="D10" s="3">
        <f>'Dvibutis prie Neries, Vilniaus '!B8</f>
        <v>12</v>
      </c>
      <c r="E10" s="3" t="str">
        <f>'Dvibutis prie Neries, Vilniaus '!B5</f>
        <v>A</v>
      </c>
      <c r="F10" s="6">
        <f>'Dvibutis prie Neries, Vilniaus '!B10</f>
        <v>8.6999999999999994E-2</v>
      </c>
      <c r="G10" s="5">
        <f>'Dvibutis prie Neries, Vilniaus '!B11</f>
        <v>100</v>
      </c>
      <c r="H10" s="10">
        <f>'Dvibutis prie Neries, Vilniaus '!B12</f>
        <v>46615</v>
      </c>
      <c r="I10" s="10" t="str">
        <f>'Dvibutis prie Neries, Vilniaus '!R3</f>
        <v/>
      </c>
      <c r="J10" s="9">
        <f ca="1">'Dvibutis prie Neries, Vilniaus '!B13</f>
        <v>308</v>
      </c>
      <c r="K10" s="9" t="str">
        <f ca="1">'Dvibutis prie Neries, Vilniaus '!S3</f>
        <v/>
      </c>
      <c r="L10" s="5">
        <f>'Dvibutis prie Neries, Vilniaus '!N3</f>
        <v>0</v>
      </c>
      <c r="M10" s="5">
        <f>'Dvibutis prie Neries, Vilniaus '!P3</f>
        <v>0</v>
      </c>
      <c r="AC10" s="5" t="str">
        <f ca="1">'Dvibutis prie Neries, Vilniaus '!AA2</f>
        <v/>
      </c>
    </row>
    <row r="11" spans="1:29" x14ac:dyDescent="0.25">
      <c r="A11" s="3">
        <v>9</v>
      </c>
      <c r="B11" s="10"/>
      <c r="C11" s="18"/>
      <c r="D11" s="3"/>
      <c r="E11" s="3"/>
      <c r="F11" s="6"/>
      <c r="G11" s="5"/>
      <c r="H11" s="10"/>
      <c r="I11" s="10"/>
      <c r="J11" s="9"/>
      <c r="K11" s="9"/>
      <c r="L11" s="5"/>
      <c r="M11" s="5"/>
      <c r="AC11" s="9"/>
    </row>
    <row r="12" spans="1:29" x14ac:dyDescent="0.25">
      <c r="A12" s="3">
        <v>10</v>
      </c>
      <c r="B12" s="10"/>
      <c r="C12" s="18"/>
      <c r="D12" s="3"/>
      <c r="E12" s="3"/>
      <c r="F12" s="6"/>
      <c r="G12" s="5"/>
      <c r="H12" s="10"/>
      <c r="I12" s="10"/>
      <c r="J12" s="9"/>
      <c r="K12" s="9"/>
      <c r="L12" s="5"/>
      <c r="M12" s="5"/>
      <c r="AC12" s="9"/>
    </row>
    <row r="13" spans="1:29" x14ac:dyDescent="0.25">
      <c r="A13" s="3">
        <v>11</v>
      </c>
      <c r="B13" s="10"/>
      <c r="C13" s="18"/>
      <c r="D13" s="3"/>
      <c r="E13" s="3"/>
      <c r="F13" s="6"/>
      <c r="G13" s="5"/>
      <c r="H13" s="10"/>
      <c r="I13" s="10"/>
      <c r="J13" s="9"/>
      <c r="K13" s="9"/>
      <c r="L13" s="5"/>
      <c r="M13" s="5"/>
      <c r="AC13" s="9" t="str">
        <f>'[1]Piekrasta Rezidence, Ryga XII'!AA2</f>
        <v/>
      </c>
    </row>
    <row r="14" spans="1:29" x14ac:dyDescent="0.25">
      <c r="A14" s="3">
        <v>12</v>
      </c>
      <c r="B14" s="10"/>
      <c r="C14" s="18"/>
      <c r="D14" s="3"/>
      <c r="E14" s="3"/>
      <c r="F14" s="6"/>
      <c r="G14" s="5"/>
      <c r="H14" s="10"/>
      <c r="I14" s="10"/>
      <c r="J14" s="9"/>
      <c r="K14" s="9"/>
      <c r="L14" s="5"/>
      <c r="M14" s="5"/>
      <c r="AC14" s="9" t="str">
        <f>'[1]Dvibutis Didžiojoje Riešėje'!AA2</f>
        <v/>
      </c>
    </row>
    <row r="15" spans="1:29" x14ac:dyDescent="0.25">
      <c r="A15" s="3">
        <v>13</v>
      </c>
      <c r="B15" s="10"/>
      <c r="C15" s="18"/>
      <c r="D15" s="3"/>
      <c r="E15" s="3"/>
      <c r="F15" s="6"/>
      <c r="G15" s="5"/>
      <c r="H15" s="10"/>
      <c r="I15" s="10"/>
      <c r="J15" s="9"/>
      <c r="K15" s="9"/>
      <c r="L15" s="5"/>
      <c r="M15" s="5"/>
      <c r="AC15" s="9" t="str">
        <f>'[1]Sklypas Kalnėnuose, Vilnius II'!AA2</f>
        <v/>
      </c>
    </row>
    <row r="16" spans="1:29" x14ac:dyDescent="0.25">
      <c r="A16" s="3">
        <v>14</v>
      </c>
      <c r="B16" s="10"/>
      <c r="C16" s="18"/>
      <c r="D16" s="3"/>
      <c r="E16" s="3"/>
      <c r="F16" s="6"/>
      <c r="G16" s="5"/>
      <c r="H16" s="10"/>
      <c r="I16" s="10"/>
      <c r="J16" s="9"/>
      <c r="K16" s="9"/>
      <c r="L16" s="5"/>
      <c r="M16" s="5"/>
      <c r="AC16" s="9"/>
    </row>
    <row r="17" spans="1:29" x14ac:dyDescent="0.25">
      <c r="A17" s="3">
        <v>15</v>
      </c>
      <c r="B17" s="10"/>
      <c r="C17" s="18"/>
      <c r="D17" s="3"/>
      <c r="E17" s="3"/>
      <c r="F17" s="6"/>
      <c r="G17" s="5"/>
      <c r="H17" s="10"/>
      <c r="I17" s="10"/>
      <c r="J17" s="9"/>
      <c r="K17" s="9"/>
      <c r="L17" s="5"/>
      <c r="M17" s="5"/>
      <c r="AC17" s="9" t="str">
        <f>'[1]Svajonių Daugiabutis, Kaunas'!AA2</f>
        <v/>
      </c>
    </row>
    <row r="18" spans="1:29" x14ac:dyDescent="0.25">
      <c r="A18" s="3">
        <v>16</v>
      </c>
      <c r="B18" s="10"/>
      <c r="C18" s="18"/>
      <c r="D18" s="3"/>
      <c r="E18" s="3"/>
      <c r="F18" s="6"/>
      <c r="G18" s="5"/>
      <c r="H18" s="10"/>
      <c r="I18" s="10"/>
      <c r="J18" s="9"/>
      <c r="K18" s="9"/>
      <c r="L18" s="5"/>
      <c r="M18" s="5"/>
      <c r="AC18" s="9" t="str">
        <f>'[1]Brivibas 28, Jūrmala'!AA2</f>
        <v/>
      </c>
    </row>
    <row r="19" spans="1:29" x14ac:dyDescent="0.25">
      <c r="A19" s="3">
        <v>17</v>
      </c>
      <c r="B19" s="10"/>
      <c r="C19" s="18"/>
      <c r="D19" s="3"/>
      <c r="E19" s="3"/>
      <c r="F19" s="6"/>
      <c r="G19" s="5"/>
      <c r="H19" s="10"/>
      <c r="I19" s="10"/>
      <c r="J19" s="9"/>
      <c r="K19" s="9"/>
      <c r="L19" s="5"/>
      <c r="M19" s="5"/>
      <c r="AC19" s="9"/>
    </row>
    <row r="20" spans="1:29" x14ac:dyDescent="0.25">
      <c r="A20" s="3">
        <v>18</v>
      </c>
      <c r="B20" s="10"/>
      <c r="C20" s="18"/>
      <c r="D20" s="3"/>
      <c r="E20" s="3"/>
      <c r="F20" s="6"/>
      <c r="G20" s="5"/>
      <c r="H20" s="10"/>
      <c r="I20" s="10"/>
      <c r="J20" s="9"/>
      <c r="K20" s="9"/>
      <c r="L20" s="5"/>
      <c r="M20" s="5"/>
      <c r="AC20" s="5" t="str">
        <f>'[1]Molėtų Oazė XII'!AA2</f>
        <v/>
      </c>
    </row>
    <row r="21" spans="1:29" x14ac:dyDescent="0.25">
      <c r="A21" s="3">
        <v>19</v>
      </c>
      <c r="B21" s="10"/>
      <c r="C21" s="18"/>
      <c r="D21" s="3"/>
      <c r="E21" s="3"/>
      <c r="F21" s="6"/>
      <c r="G21" s="5"/>
      <c r="H21" s="10"/>
      <c r="I21" s="10"/>
      <c r="J21" s="9"/>
      <c r="K21" s="9"/>
      <c r="L21" s="5"/>
      <c r="M21" s="5"/>
      <c r="AC21" s="16"/>
    </row>
    <row r="22" spans="1:29" x14ac:dyDescent="0.25">
      <c r="A22" s="3"/>
      <c r="B22" s="10"/>
      <c r="C22" s="18"/>
      <c r="D22" s="3"/>
      <c r="E22" s="3"/>
      <c r="F22" s="6"/>
      <c r="G22" s="5"/>
      <c r="H22" s="10"/>
      <c r="I22" s="10"/>
      <c r="J22" s="9"/>
      <c r="K22" s="9"/>
      <c r="L22" s="5"/>
      <c r="M22" s="5"/>
      <c r="AC22" s="16"/>
    </row>
    <row r="23" spans="1:29" x14ac:dyDescent="0.25">
      <c r="A23" s="3"/>
      <c r="B23" s="10"/>
      <c r="C23" s="18"/>
      <c r="D23" s="3"/>
      <c r="E23" s="3"/>
      <c r="F23" s="6"/>
      <c r="G23" s="5"/>
      <c r="H23" s="10"/>
      <c r="I23" s="10"/>
      <c r="J23" s="9"/>
      <c r="K23" s="9"/>
      <c r="L23" s="5"/>
      <c r="M23" s="5"/>
      <c r="AC23" s="16"/>
    </row>
    <row r="24" spans="1:29" x14ac:dyDescent="0.25">
      <c r="A24" s="3"/>
      <c r="B24" s="10"/>
      <c r="C24" s="18"/>
      <c r="D24" s="3"/>
      <c r="E24" s="3"/>
      <c r="F24" s="6"/>
      <c r="G24" s="5"/>
      <c r="H24" s="10"/>
      <c r="I24" s="10"/>
      <c r="J24" s="9"/>
      <c r="K24" s="9"/>
      <c r="L24" s="5"/>
      <c r="M24" s="5"/>
      <c r="AC24" s="16"/>
    </row>
    <row r="25" spans="1:29" x14ac:dyDescent="0.25">
      <c r="A25" s="3"/>
      <c r="B25" s="10"/>
      <c r="C25" s="18"/>
      <c r="D25" s="3"/>
      <c r="E25" s="3"/>
      <c r="F25" s="6"/>
      <c r="G25" s="5"/>
      <c r="H25" s="10"/>
      <c r="I25" s="10"/>
      <c r="J25" s="9"/>
      <c r="K25" s="9"/>
      <c r="L25" s="5"/>
      <c r="M25" s="5"/>
      <c r="AC25" s="16"/>
    </row>
    <row r="26" spans="1:29" x14ac:dyDescent="0.25">
      <c r="A26" s="3"/>
      <c r="B26" s="10"/>
      <c r="C26" s="18"/>
      <c r="D26" s="3"/>
      <c r="E26" s="3"/>
      <c r="F26" s="6"/>
      <c r="G26" s="5"/>
      <c r="H26" s="10"/>
      <c r="I26" s="10"/>
      <c r="J26" s="9"/>
      <c r="K26" s="9"/>
      <c r="L26" s="5"/>
      <c r="M26" s="5"/>
      <c r="AC26" s="16"/>
    </row>
    <row r="27" spans="1:29" x14ac:dyDescent="0.25">
      <c r="A27" s="3"/>
      <c r="B27" s="10"/>
      <c r="C27" s="18"/>
      <c r="D27" s="3"/>
      <c r="E27" s="3"/>
      <c r="F27" s="6"/>
      <c r="G27" s="5"/>
      <c r="H27" s="10"/>
      <c r="I27" s="10"/>
      <c r="J27" s="9"/>
      <c r="K27" s="9"/>
      <c r="L27" s="5"/>
      <c r="M27" s="5"/>
      <c r="AC27" s="16"/>
    </row>
    <row r="28" spans="1:29" x14ac:dyDescent="0.25">
      <c r="AC28" s="16"/>
    </row>
  </sheetData>
  <mergeCells count="5">
    <mergeCell ref="A1:G1"/>
    <mergeCell ref="H1:M1"/>
    <mergeCell ref="O1:R1"/>
    <mergeCell ref="S1:T1"/>
    <mergeCell ref="U1:X1"/>
  </mergeCells>
  <conditionalFormatting sqref="A3:M27">
    <cfRule type="expression" dxfId="40" priority="3">
      <formula>$AC3="+"</formula>
    </cfRule>
    <cfRule type="expression" dxfId="39" priority="4">
      <formula>AND($G3&gt;0,$G3=$L3)</formula>
    </cfRule>
  </conditionalFormatting>
  <conditionalFormatting sqref="AC3:AC4">
    <cfRule type="expression" dxfId="38" priority="8">
      <formula>$AC$2="+"</formula>
    </cfRule>
  </conditionalFormatting>
  <conditionalFormatting sqref="AC3:AC5">
    <cfRule type="expression" dxfId="37" priority="5">
      <formula>AND($G3&gt;0,$G3=$L3)</formula>
    </cfRule>
  </conditionalFormatting>
  <conditionalFormatting sqref="AC5">
    <cfRule type="expression" dxfId="36" priority="6">
      <formula>#REF!="+"</formula>
    </cfRule>
  </conditionalFormatting>
  <conditionalFormatting sqref="AC8:AC10">
    <cfRule type="expression" dxfId="35" priority="1">
      <formula>$AC8="+"</formula>
    </cfRule>
    <cfRule type="expression" dxfId="34" priority="2">
      <formula>AND($G8&gt;0,$G8=$L8)</formula>
    </cfRule>
  </conditionalFormatting>
  <conditionalFormatting sqref="AC20">
    <cfRule type="expression" dxfId="33" priority="9">
      <formula>AND($G20&gt;0,$G20=$L20)</formula>
    </cfRule>
    <cfRule type="expression" dxfId="32" priority="10">
      <formula>$AC20="+"</formula>
    </cfRule>
  </conditionalFormatting>
  <hyperlinks>
    <hyperlink ref="C3" location="'Senvagės loftai, Panevėžys IV'!A1" display="'Senvagės loftai, Panevėžys IV'!A1" xr:uid="{AF60B582-0569-458F-933C-F634074560D9}"/>
    <hyperlink ref="C4" location="'Sakurų Namai, Marijampolė III'!A1" display="'Sakurų Namai, Marijampolė III'!A1" xr:uid="{9E2925C6-78CD-44AE-82DB-F3A86CBAA859}"/>
    <hyperlink ref="C5" location="'Butai centrinėje Vilniaus dal.'!A1" display="'Butai centrinėje Vilniaus dal.'!A1" xr:uid="{6939BFC3-E219-469F-8F43-AA208FB742A4}"/>
    <hyperlink ref="C6" location="'Butas Didlaukio g., Vilnius II'!A1" display="'Butas Didlaukio g., Vilnius II'!A1" xr:uid="{36EDC278-83F2-48B4-BDA9-6C1FA86323D7}"/>
    <hyperlink ref="C7" location="'Daugiabutis Druskininkuose V'!A1" display="'Daugiabutis Druskininkuose V'!A1" xr:uid="{CB86F671-B0F6-4A77-A66E-BC2B01A2D347}"/>
    <hyperlink ref="C8" location="'Druskonio Perlai, Druskininkai '!A1" display="'Druskonio Perlai, Druskininkai '!A1" xr:uid="{086EB93A-D255-454D-8C6B-C6ECE41471B3}"/>
    <hyperlink ref="C9" location="'Huberto Namai, Trakų r. VII'!A1" display="'Huberto Namai, Trakų r. VII'!A1" xr:uid="{D749133E-F7B6-4C11-9981-3A75EFAE65F0}"/>
    <hyperlink ref="C10" location="'Dvibutis prie Neries, Vilniaus '!A1" display="'Dvibutis prie Neries, Vilniaus '!A1" xr:uid="{BA62E006-4493-4139-8B01-5343F20E4C1B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0"/>
  <sheetViews>
    <sheetView workbookViewId="0">
      <selection activeCell="B4" sqref="B4:B5"/>
    </sheetView>
  </sheetViews>
  <sheetFormatPr defaultRowHeight="15" x14ac:dyDescent="0.25"/>
  <cols>
    <col min="1" max="1" width="15.7109375" style="19" customWidth="1"/>
    <col min="2" max="4" width="10.7109375" customWidth="1"/>
    <col min="5" max="5" width="8.7109375" customWidth="1"/>
    <col min="6" max="9" width="10.7109375" customWidth="1"/>
    <col min="11" max="11" width="9.140625" style="1"/>
  </cols>
  <sheetData>
    <row r="1" spans="1:12" x14ac:dyDescent="0.25">
      <c r="A1" s="12" t="s">
        <v>10</v>
      </c>
      <c r="B1" s="7" t="s">
        <v>25</v>
      </c>
      <c r="C1" s="7" t="s">
        <v>26</v>
      </c>
      <c r="D1" s="7" t="s">
        <v>21</v>
      </c>
      <c r="E1" s="17"/>
      <c r="F1" s="7" t="s">
        <v>25</v>
      </c>
      <c r="G1" s="7" t="s">
        <v>26</v>
      </c>
      <c r="H1" s="7" t="s">
        <v>21</v>
      </c>
      <c r="I1" s="7" t="s">
        <v>27</v>
      </c>
      <c r="K1" s="7" t="s">
        <v>37</v>
      </c>
      <c r="L1" s="20">
        <f ca="1">XIRR(K2:K200,A2:A200)</f>
        <v>0.11799659132957457</v>
      </c>
    </row>
    <row r="2" spans="1:12" x14ac:dyDescent="0.25">
      <c r="A2" s="10">
        <v>45899</v>
      </c>
      <c r="B2" s="5">
        <v>200</v>
      </c>
      <c r="C2" s="5">
        <v>0</v>
      </c>
      <c r="D2" s="5">
        <v>0</v>
      </c>
      <c r="F2" s="5">
        <f>SUM(B2:B36)</f>
        <v>623.95000000000005</v>
      </c>
      <c r="G2" s="5">
        <f>SUM(C2:C36)</f>
        <v>0</v>
      </c>
      <c r="H2" s="5">
        <f>SUM(D2:D36)</f>
        <v>25</v>
      </c>
      <c r="I2" s="5">
        <f>F2-G2</f>
        <v>623.95000000000005</v>
      </c>
      <c r="K2" s="5">
        <f>B2*-1</f>
        <v>-200</v>
      </c>
    </row>
    <row r="3" spans="1:12" x14ac:dyDescent="0.25">
      <c r="A3" s="10">
        <v>45979</v>
      </c>
      <c r="B3" s="5">
        <v>100</v>
      </c>
      <c r="C3" s="5">
        <v>0</v>
      </c>
      <c r="D3" s="5">
        <v>25</v>
      </c>
      <c r="K3" s="5">
        <f t="shared" ref="K3:K7" si="0">B3*-1</f>
        <v>-100</v>
      </c>
    </row>
    <row r="4" spans="1:12" x14ac:dyDescent="0.25">
      <c r="A4" s="10">
        <v>46157</v>
      </c>
      <c r="B4" s="5">
        <v>106.43</v>
      </c>
      <c r="C4" s="5">
        <v>0</v>
      </c>
      <c r="D4" s="5">
        <v>0</v>
      </c>
      <c r="K4" s="5">
        <f t="shared" si="0"/>
        <v>-106.43</v>
      </c>
    </row>
    <row r="5" spans="1:12" x14ac:dyDescent="0.25">
      <c r="A5" s="10">
        <v>46171</v>
      </c>
      <c r="B5" s="24">
        <v>108.56</v>
      </c>
      <c r="C5" s="5">
        <v>0</v>
      </c>
      <c r="D5" s="5">
        <v>0</v>
      </c>
      <c r="K5" s="5">
        <f t="shared" si="0"/>
        <v>-108.56</v>
      </c>
    </row>
    <row r="6" spans="1:12" x14ac:dyDescent="0.25">
      <c r="A6" s="10">
        <v>46191</v>
      </c>
      <c r="B6" s="5">
        <v>108.96</v>
      </c>
      <c r="C6" s="5">
        <v>0</v>
      </c>
      <c r="D6" s="5">
        <v>0</v>
      </c>
      <c r="K6" s="5">
        <f t="shared" si="0"/>
        <v>-108.96</v>
      </c>
    </row>
    <row r="7" spans="1:12" x14ac:dyDescent="0.25">
      <c r="A7" s="10"/>
      <c r="B7" s="5"/>
      <c r="C7" s="5"/>
      <c r="D7" s="5"/>
      <c r="K7" s="5">
        <f t="shared" si="0"/>
        <v>0</v>
      </c>
    </row>
    <row r="8" spans="1:12" x14ac:dyDescent="0.25">
      <c r="A8" s="10"/>
      <c r="B8" s="5"/>
      <c r="C8" s="5"/>
      <c r="D8" s="5"/>
      <c r="K8" s="3"/>
    </row>
    <row r="9" spans="1:12" x14ac:dyDescent="0.25">
      <c r="A9" s="10"/>
      <c r="B9" s="5"/>
      <c r="C9" s="5"/>
      <c r="D9" s="5"/>
      <c r="K9" s="3"/>
    </row>
    <row r="10" spans="1:12" x14ac:dyDescent="0.25">
      <c r="A10" s="10"/>
      <c r="B10" s="5"/>
      <c r="C10" s="5"/>
      <c r="D10" s="5"/>
      <c r="K10" s="3"/>
    </row>
    <row r="11" spans="1:12" x14ac:dyDescent="0.25">
      <c r="A11" s="10"/>
      <c r="B11" s="2"/>
      <c r="C11" s="2"/>
      <c r="D11" s="2"/>
      <c r="K11" s="3"/>
    </row>
    <row r="12" spans="1:12" x14ac:dyDescent="0.25">
      <c r="A12" s="10"/>
      <c r="B12" s="2"/>
      <c r="C12" s="2"/>
      <c r="D12" s="2"/>
      <c r="K12" s="3"/>
    </row>
    <row r="13" spans="1:12" x14ac:dyDescent="0.25">
      <c r="A13" s="10"/>
      <c r="B13" s="2"/>
      <c r="C13" s="2"/>
      <c r="D13" s="2"/>
      <c r="K13" s="3"/>
    </row>
    <row r="14" spans="1:12" x14ac:dyDescent="0.25">
      <c r="A14" s="10"/>
      <c r="B14" s="2"/>
      <c r="C14" s="2"/>
      <c r="D14" s="2"/>
      <c r="K14" s="3"/>
    </row>
    <row r="15" spans="1:12" x14ac:dyDescent="0.25">
      <c r="A15" s="10"/>
      <c r="B15" s="2"/>
      <c r="C15" s="2"/>
      <c r="D15" s="2"/>
      <c r="K15" s="3"/>
    </row>
    <row r="16" spans="1:12" x14ac:dyDescent="0.25">
      <c r="A16" s="10"/>
      <c r="B16" s="2"/>
      <c r="C16" s="2"/>
      <c r="D16" s="2"/>
      <c r="K16" s="3"/>
    </row>
    <row r="17" spans="1:11" x14ac:dyDescent="0.25">
      <c r="A17" s="10"/>
      <c r="B17" s="2"/>
      <c r="C17" s="2"/>
      <c r="D17" s="2"/>
      <c r="K17" s="3"/>
    </row>
    <row r="18" spans="1:11" x14ac:dyDescent="0.25">
      <c r="A18" s="10"/>
      <c r="B18" s="2"/>
      <c r="C18" s="2"/>
      <c r="D18" s="2"/>
      <c r="K18" s="3"/>
    </row>
    <row r="19" spans="1:11" x14ac:dyDescent="0.25">
      <c r="A19" s="10"/>
      <c r="B19" s="2"/>
      <c r="C19" s="2"/>
      <c r="D19" s="2"/>
      <c r="K19" s="3"/>
    </row>
    <row r="20" spans="1:11" x14ac:dyDescent="0.25">
      <c r="A20" s="10"/>
      <c r="B20" s="2"/>
      <c r="C20" s="2"/>
      <c r="D20" s="2"/>
      <c r="K20" s="3"/>
    </row>
    <row r="21" spans="1:11" x14ac:dyDescent="0.25">
      <c r="A21" s="10"/>
      <c r="B21" s="2"/>
      <c r="C21" s="2"/>
      <c r="D21" s="2"/>
      <c r="K21" s="3"/>
    </row>
    <row r="22" spans="1:11" x14ac:dyDescent="0.25">
      <c r="A22" s="10"/>
      <c r="B22" s="2"/>
      <c r="C22" s="2"/>
      <c r="D22" s="2"/>
      <c r="K22" s="3"/>
    </row>
    <row r="23" spans="1:11" x14ac:dyDescent="0.25">
      <c r="A23" s="10"/>
      <c r="B23" s="2"/>
      <c r="C23" s="2"/>
      <c r="D23" s="2"/>
      <c r="K23" s="3"/>
    </row>
    <row r="24" spans="1:11" x14ac:dyDescent="0.25">
      <c r="A24" s="10"/>
      <c r="B24" s="2"/>
      <c r="C24" s="2"/>
      <c r="D24" s="2"/>
      <c r="K24" s="3"/>
    </row>
    <row r="25" spans="1:11" x14ac:dyDescent="0.25">
      <c r="A25" s="10"/>
      <c r="B25" s="2"/>
      <c r="C25" s="2"/>
      <c r="D25" s="2"/>
      <c r="K25" s="3"/>
    </row>
    <row r="26" spans="1:11" x14ac:dyDescent="0.25">
      <c r="A26" s="10"/>
      <c r="B26" s="2"/>
      <c r="C26" s="2"/>
      <c r="D26" s="2"/>
      <c r="K26" s="3"/>
    </row>
    <row r="27" spans="1:11" x14ac:dyDescent="0.25">
      <c r="A27" s="10"/>
      <c r="B27" s="2"/>
      <c r="C27" s="2"/>
      <c r="D27" s="2"/>
      <c r="K27" s="3"/>
    </row>
    <row r="28" spans="1:11" x14ac:dyDescent="0.25">
      <c r="A28" s="10"/>
      <c r="B28" s="2"/>
      <c r="C28" s="2"/>
      <c r="D28" s="2"/>
      <c r="K28" s="3"/>
    </row>
    <row r="29" spans="1:11" x14ac:dyDescent="0.25">
      <c r="A29" s="10"/>
      <c r="B29" s="2"/>
      <c r="C29" s="2"/>
      <c r="D29" s="2"/>
      <c r="K29" s="3"/>
    </row>
    <row r="30" spans="1:11" x14ac:dyDescent="0.25">
      <c r="A30" s="10"/>
      <c r="B30" s="2"/>
      <c r="C30" s="2"/>
      <c r="D30" s="2"/>
      <c r="K30" s="3"/>
    </row>
    <row r="31" spans="1:11" x14ac:dyDescent="0.25">
      <c r="A31" s="10"/>
      <c r="B31" s="2"/>
      <c r="C31" s="2"/>
      <c r="D31" s="2"/>
      <c r="K31" s="3"/>
    </row>
    <row r="32" spans="1:11" x14ac:dyDescent="0.25">
      <c r="A32" s="10"/>
      <c r="B32" s="2"/>
      <c r="C32" s="2"/>
      <c r="D32" s="2"/>
      <c r="K32" s="3"/>
    </row>
    <row r="33" spans="1:11" x14ac:dyDescent="0.25">
      <c r="A33" s="10"/>
      <c r="B33" s="2"/>
      <c r="C33" s="2"/>
      <c r="D33" s="2"/>
      <c r="K33" s="3"/>
    </row>
    <row r="34" spans="1:11" x14ac:dyDescent="0.25">
      <c r="A34" s="10"/>
      <c r="B34" s="2"/>
      <c r="C34" s="2"/>
      <c r="D34" s="2"/>
      <c r="K34" s="3"/>
    </row>
    <row r="35" spans="1:11" x14ac:dyDescent="0.25">
      <c r="A35" s="10"/>
      <c r="B35" s="2"/>
      <c r="C35" s="2"/>
      <c r="D35" s="2"/>
      <c r="K35" s="3"/>
    </row>
    <row r="36" spans="1:11" x14ac:dyDescent="0.25">
      <c r="A36" s="10"/>
      <c r="B36" s="2"/>
      <c r="C36" s="2"/>
      <c r="D36" s="2"/>
      <c r="K36" s="3"/>
    </row>
    <row r="37" spans="1:11" x14ac:dyDescent="0.25">
      <c r="A37" s="10"/>
      <c r="B37" s="2"/>
      <c r="C37" s="2"/>
      <c r="D37" s="2"/>
      <c r="K37" s="3"/>
    </row>
    <row r="38" spans="1:11" x14ac:dyDescent="0.25">
      <c r="A38" s="10"/>
      <c r="B38" s="2"/>
      <c r="C38" s="2"/>
      <c r="D38" s="2"/>
      <c r="K38" s="3"/>
    </row>
    <row r="39" spans="1:11" x14ac:dyDescent="0.25">
      <c r="A39" s="10"/>
      <c r="B39" s="2"/>
      <c r="C39" s="2"/>
      <c r="D39" s="2"/>
      <c r="K39" s="3"/>
    </row>
    <row r="40" spans="1:11" x14ac:dyDescent="0.25">
      <c r="A40" s="10"/>
      <c r="B40" s="2"/>
      <c r="C40" s="2"/>
      <c r="D40" s="2"/>
      <c r="K40" s="3"/>
    </row>
    <row r="41" spans="1:11" x14ac:dyDescent="0.25">
      <c r="A41" s="10"/>
      <c r="B41" s="2"/>
      <c r="C41" s="2"/>
      <c r="D41" s="2"/>
      <c r="K41" s="3"/>
    </row>
    <row r="42" spans="1:11" x14ac:dyDescent="0.25">
      <c r="A42" s="10"/>
      <c r="B42" s="2"/>
      <c r="C42" s="2"/>
      <c r="D42" s="2"/>
      <c r="K42" s="3"/>
    </row>
    <row r="43" spans="1:11" x14ac:dyDescent="0.25">
      <c r="A43" s="10"/>
      <c r="B43" s="2"/>
      <c r="C43" s="2"/>
      <c r="D43" s="2"/>
      <c r="K43" s="3"/>
    </row>
    <row r="44" spans="1:11" x14ac:dyDescent="0.25">
      <c r="A44" s="10"/>
      <c r="B44" s="2"/>
      <c r="C44" s="2"/>
      <c r="D44" s="2"/>
      <c r="K44" s="3"/>
    </row>
    <row r="45" spans="1:11" x14ac:dyDescent="0.25">
      <c r="A45" s="10"/>
      <c r="B45" s="2"/>
      <c r="C45" s="2"/>
      <c r="D45" s="2"/>
      <c r="K45" s="3"/>
    </row>
    <row r="46" spans="1:11" x14ac:dyDescent="0.25">
      <c r="A46" s="10"/>
      <c r="B46" s="2"/>
      <c r="C46" s="2"/>
      <c r="D46" s="2"/>
      <c r="K46" s="3"/>
    </row>
    <row r="47" spans="1:11" x14ac:dyDescent="0.25">
      <c r="A47" s="10"/>
      <c r="B47" s="2"/>
      <c r="C47" s="2"/>
      <c r="D47" s="2"/>
      <c r="K47" s="3"/>
    </row>
    <row r="48" spans="1:11" x14ac:dyDescent="0.25">
      <c r="A48" s="10"/>
      <c r="B48" s="2"/>
      <c r="C48" s="2"/>
      <c r="D48" s="2"/>
      <c r="K48" s="3"/>
    </row>
    <row r="49" spans="1:11" x14ac:dyDescent="0.25">
      <c r="A49" s="10"/>
      <c r="B49" s="2"/>
      <c r="C49" s="2"/>
      <c r="D49" s="2"/>
      <c r="K49" s="3"/>
    </row>
    <row r="50" spans="1:11" x14ac:dyDescent="0.25">
      <c r="A50" s="10"/>
      <c r="B50" s="2"/>
      <c r="C50" s="2"/>
      <c r="D50" s="2"/>
      <c r="K50" s="3"/>
    </row>
    <row r="51" spans="1:11" x14ac:dyDescent="0.25">
      <c r="A51" s="10"/>
      <c r="B51" s="2"/>
      <c r="C51" s="2"/>
      <c r="D51" s="2"/>
      <c r="K51" s="3"/>
    </row>
    <row r="52" spans="1:11" x14ac:dyDescent="0.25">
      <c r="A52" s="10"/>
      <c r="B52" s="2"/>
      <c r="C52" s="2"/>
      <c r="D52" s="2"/>
      <c r="K52" s="3"/>
    </row>
    <row r="53" spans="1:11" x14ac:dyDescent="0.25">
      <c r="A53" s="10"/>
      <c r="B53" s="2"/>
      <c r="C53" s="2"/>
      <c r="D53" s="2"/>
      <c r="K53" s="3"/>
    </row>
    <row r="54" spans="1:11" x14ac:dyDescent="0.25">
      <c r="A54" s="10"/>
      <c r="B54" s="2"/>
      <c r="C54" s="2"/>
      <c r="D54" s="2"/>
      <c r="K54" s="3"/>
    </row>
    <row r="55" spans="1:11" x14ac:dyDescent="0.25">
      <c r="A55" s="10"/>
      <c r="B55" s="2"/>
      <c r="C55" s="2"/>
      <c r="D55" s="2"/>
      <c r="K55" s="3"/>
    </row>
    <row r="56" spans="1:11" x14ac:dyDescent="0.25">
      <c r="A56" s="10"/>
      <c r="B56" s="2"/>
      <c r="C56" s="2"/>
      <c r="D56" s="2"/>
      <c r="K56" s="3"/>
    </row>
    <row r="57" spans="1:11" x14ac:dyDescent="0.25">
      <c r="A57" s="10"/>
      <c r="B57" s="2"/>
      <c r="C57" s="2"/>
      <c r="D57" s="2"/>
      <c r="K57" s="3"/>
    </row>
    <row r="58" spans="1:11" x14ac:dyDescent="0.25">
      <c r="A58" s="10"/>
      <c r="B58" s="2"/>
      <c r="C58" s="2"/>
      <c r="D58" s="2"/>
      <c r="K58" s="3"/>
    </row>
    <row r="59" spans="1:11" x14ac:dyDescent="0.25">
      <c r="A59" s="10"/>
      <c r="B59" s="2"/>
      <c r="C59" s="2"/>
      <c r="D59" s="2"/>
      <c r="K59" s="3"/>
    </row>
    <row r="60" spans="1:11" x14ac:dyDescent="0.25">
      <c r="A60" s="10"/>
      <c r="B60" s="2"/>
      <c r="C60" s="2"/>
      <c r="D60" s="2"/>
      <c r="K60" s="3"/>
    </row>
    <row r="61" spans="1:11" x14ac:dyDescent="0.25">
      <c r="A61" s="10"/>
      <c r="B61" s="2"/>
      <c r="C61" s="2"/>
      <c r="D61" s="2"/>
      <c r="K61" s="3"/>
    </row>
    <row r="62" spans="1:11" x14ac:dyDescent="0.25">
      <c r="A62" s="10"/>
      <c r="B62" s="2"/>
      <c r="C62" s="2"/>
      <c r="D62" s="2"/>
      <c r="K62" s="3"/>
    </row>
    <row r="63" spans="1:11" x14ac:dyDescent="0.25">
      <c r="A63" s="10"/>
      <c r="B63" s="2"/>
      <c r="C63" s="2"/>
      <c r="D63" s="2"/>
      <c r="K63" s="3"/>
    </row>
    <row r="64" spans="1:11" x14ac:dyDescent="0.25">
      <c r="A64" s="10"/>
      <c r="B64" s="2"/>
      <c r="C64" s="2"/>
      <c r="D64" s="2"/>
      <c r="K64" s="3"/>
    </row>
    <row r="65" spans="1:11" x14ac:dyDescent="0.25">
      <c r="A65" s="10"/>
      <c r="B65" s="2"/>
      <c r="C65" s="2"/>
      <c r="D65" s="2"/>
      <c r="K65" s="3"/>
    </row>
    <row r="66" spans="1:11" x14ac:dyDescent="0.25">
      <c r="A66" s="10"/>
      <c r="B66" s="2"/>
      <c r="C66" s="2"/>
      <c r="D66" s="2"/>
      <c r="K66" s="3"/>
    </row>
    <row r="67" spans="1:11" x14ac:dyDescent="0.25">
      <c r="A67" s="10"/>
      <c r="B67" s="2"/>
      <c r="C67" s="2"/>
      <c r="D67" s="2"/>
      <c r="K67" s="3"/>
    </row>
    <row r="68" spans="1:11" x14ac:dyDescent="0.25">
      <c r="A68" s="10"/>
      <c r="B68" s="2"/>
      <c r="C68" s="2"/>
      <c r="D68" s="2"/>
      <c r="K68" s="3"/>
    </row>
    <row r="69" spans="1:11" x14ac:dyDescent="0.25">
      <c r="A69" s="10"/>
      <c r="B69" s="2"/>
      <c r="C69" s="2"/>
      <c r="D69" s="2"/>
      <c r="K69" s="3"/>
    </row>
    <row r="70" spans="1:11" x14ac:dyDescent="0.25">
      <c r="A70" s="10"/>
      <c r="B70" s="2"/>
      <c r="C70" s="2"/>
      <c r="D70" s="2"/>
      <c r="K70" s="3"/>
    </row>
    <row r="71" spans="1:11" x14ac:dyDescent="0.25">
      <c r="A71" s="10"/>
      <c r="B71" s="2"/>
      <c r="C71" s="2"/>
      <c r="D71" s="2"/>
      <c r="K71" s="3"/>
    </row>
    <row r="72" spans="1:11" x14ac:dyDescent="0.25">
      <c r="A72" s="10"/>
      <c r="B72" s="2"/>
      <c r="C72" s="2"/>
      <c r="D72" s="2"/>
      <c r="K72" s="3"/>
    </row>
    <row r="73" spans="1:11" x14ac:dyDescent="0.25">
      <c r="A73" s="10"/>
      <c r="B73" s="2"/>
      <c r="C73" s="2"/>
      <c r="D73" s="2"/>
      <c r="K73" s="3"/>
    </row>
    <row r="74" spans="1:11" x14ac:dyDescent="0.25">
      <c r="A74" s="10"/>
      <c r="B74" s="2"/>
      <c r="C74" s="2"/>
      <c r="D74" s="2"/>
      <c r="K74" s="3"/>
    </row>
    <row r="75" spans="1:11" x14ac:dyDescent="0.25">
      <c r="A75" s="10"/>
      <c r="B75" s="2"/>
      <c r="C75" s="2"/>
      <c r="D75" s="2"/>
      <c r="K75" s="3"/>
    </row>
    <row r="76" spans="1:11" x14ac:dyDescent="0.25">
      <c r="A76" s="10"/>
      <c r="B76" s="2"/>
      <c r="C76" s="2"/>
      <c r="D76" s="2"/>
      <c r="K76" s="3"/>
    </row>
    <row r="77" spans="1:11" x14ac:dyDescent="0.25">
      <c r="A77" s="10"/>
      <c r="B77" s="2"/>
      <c r="C77" s="2"/>
      <c r="D77" s="2"/>
      <c r="K77" s="3"/>
    </row>
    <row r="78" spans="1:11" x14ac:dyDescent="0.25">
      <c r="A78" s="10"/>
      <c r="B78" s="2"/>
      <c r="C78" s="2"/>
      <c r="D78" s="2"/>
      <c r="K78" s="3"/>
    </row>
    <row r="79" spans="1:11" x14ac:dyDescent="0.25">
      <c r="A79" s="10"/>
      <c r="B79" s="2"/>
      <c r="C79" s="2"/>
      <c r="D79" s="2"/>
      <c r="K79" s="3"/>
    </row>
    <row r="80" spans="1:11" x14ac:dyDescent="0.25">
      <c r="A80" s="10"/>
      <c r="B80" s="2"/>
      <c r="C80" s="2"/>
      <c r="D80" s="2"/>
      <c r="K80" s="3"/>
    </row>
    <row r="81" spans="1:11" x14ac:dyDescent="0.25">
      <c r="A81" s="10"/>
      <c r="B81" s="2"/>
      <c r="C81" s="2"/>
      <c r="D81" s="2"/>
      <c r="K81" s="3"/>
    </row>
    <row r="82" spans="1:11" x14ac:dyDescent="0.25">
      <c r="A82" s="10"/>
      <c r="B82" s="2"/>
      <c r="C82" s="2"/>
      <c r="D82" s="2"/>
      <c r="K82" s="3"/>
    </row>
    <row r="83" spans="1:11" x14ac:dyDescent="0.25">
      <c r="A83" s="10"/>
      <c r="B83" s="2"/>
      <c r="C83" s="2"/>
      <c r="D83" s="2"/>
      <c r="K83" s="3"/>
    </row>
    <row r="84" spans="1:11" x14ac:dyDescent="0.25">
      <c r="A84" s="10"/>
      <c r="B84" s="2"/>
      <c r="C84" s="2"/>
      <c r="D84" s="2"/>
      <c r="K84" s="3"/>
    </row>
    <row r="85" spans="1:11" x14ac:dyDescent="0.25">
      <c r="A85" s="10"/>
      <c r="B85" s="2"/>
      <c r="C85" s="2"/>
      <c r="D85" s="2"/>
      <c r="K85" s="3"/>
    </row>
    <row r="86" spans="1:11" x14ac:dyDescent="0.25">
      <c r="A86" s="10"/>
      <c r="B86" s="2"/>
      <c r="C86" s="2"/>
      <c r="D86" s="2"/>
      <c r="K86" s="3"/>
    </row>
    <row r="87" spans="1:11" x14ac:dyDescent="0.25">
      <c r="A87" s="10"/>
      <c r="B87" s="2"/>
      <c r="C87" s="2"/>
      <c r="D87" s="2"/>
      <c r="K87" s="3"/>
    </row>
    <row r="88" spans="1:11" x14ac:dyDescent="0.25">
      <c r="A88" s="10"/>
      <c r="B88" s="2"/>
      <c r="C88" s="2"/>
      <c r="D88" s="2"/>
      <c r="K88" s="3"/>
    </row>
    <row r="89" spans="1:11" x14ac:dyDescent="0.25">
      <c r="A89" s="10"/>
      <c r="B89" s="2"/>
      <c r="C89" s="2"/>
      <c r="D89" s="2"/>
      <c r="K89" s="3"/>
    </row>
    <row r="90" spans="1:11" x14ac:dyDescent="0.25">
      <c r="A90" s="10"/>
      <c r="B90" s="2"/>
      <c r="C90" s="2"/>
      <c r="D90" s="2"/>
      <c r="K90" s="3"/>
    </row>
    <row r="91" spans="1:11" x14ac:dyDescent="0.25">
      <c r="A91" s="10"/>
      <c r="B91" s="2"/>
      <c r="C91" s="2"/>
      <c r="D91" s="2"/>
      <c r="K91" s="3"/>
    </row>
    <row r="92" spans="1:11" x14ac:dyDescent="0.25">
      <c r="A92" s="10"/>
      <c r="B92" s="2"/>
      <c r="C92" s="2"/>
      <c r="D92" s="2"/>
      <c r="K92" s="3"/>
    </row>
    <row r="93" spans="1:11" x14ac:dyDescent="0.25">
      <c r="A93" s="10"/>
      <c r="B93" s="2"/>
      <c r="C93" s="2"/>
      <c r="D93" s="2"/>
      <c r="K93" s="3"/>
    </row>
    <row r="94" spans="1:11" x14ac:dyDescent="0.25">
      <c r="A94" s="10"/>
      <c r="B94" s="2"/>
      <c r="C94" s="2"/>
      <c r="D94" s="2"/>
      <c r="K94" s="3"/>
    </row>
    <row r="95" spans="1:11" x14ac:dyDescent="0.25">
      <c r="A95" s="10"/>
      <c r="B95" s="2"/>
      <c r="C95" s="2"/>
      <c r="D95" s="2"/>
      <c r="K95" s="3"/>
    </row>
    <row r="96" spans="1:11" x14ac:dyDescent="0.25">
      <c r="A96" s="10"/>
      <c r="B96" s="2"/>
      <c r="C96" s="2"/>
      <c r="D96" s="2"/>
      <c r="K96" s="3"/>
    </row>
    <row r="97" spans="1:11" x14ac:dyDescent="0.25">
      <c r="A97" s="10"/>
      <c r="B97" s="2"/>
      <c r="C97" s="2"/>
      <c r="D97" s="2"/>
      <c r="K97" s="3"/>
    </row>
    <row r="98" spans="1:11" x14ac:dyDescent="0.25">
      <c r="A98" s="10"/>
      <c r="B98" s="2"/>
      <c r="C98" s="2"/>
      <c r="D98" s="2"/>
      <c r="K98" s="3"/>
    </row>
    <row r="99" spans="1:11" x14ac:dyDescent="0.25">
      <c r="A99" s="10"/>
      <c r="B99" s="2"/>
      <c r="C99" s="2"/>
      <c r="D99" s="2"/>
      <c r="K99" s="3"/>
    </row>
    <row r="100" spans="1:11" x14ac:dyDescent="0.25">
      <c r="A100" s="10"/>
      <c r="B100" s="2"/>
      <c r="C100" s="2"/>
      <c r="D100" s="2"/>
      <c r="K100" s="3"/>
    </row>
    <row r="101" spans="1:11" x14ac:dyDescent="0.25">
      <c r="A101" s="10"/>
      <c r="B101" s="2"/>
      <c r="C101" s="2"/>
      <c r="D101" s="2"/>
      <c r="K101" s="3"/>
    </row>
    <row r="102" spans="1:11" x14ac:dyDescent="0.25">
      <c r="A102" s="10"/>
      <c r="B102" s="2"/>
      <c r="C102" s="2"/>
      <c r="D102" s="2"/>
      <c r="K102" s="3"/>
    </row>
    <row r="103" spans="1:11" x14ac:dyDescent="0.25">
      <c r="A103" s="10"/>
      <c r="B103" s="2"/>
      <c r="C103" s="2"/>
      <c r="D103" s="2"/>
      <c r="K103" s="3"/>
    </row>
    <row r="104" spans="1:11" x14ac:dyDescent="0.25">
      <c r="A104" s="10"/>
      <c r="B104" s="2"/>
      <c r="C104" s="2"/>
      <c r="D104" s="2"/>
      <c r="K104" s="3"/>
    </row>
    <row r="105" spans="1:11" x14ac:dyDescent="0.25">
      <c r="A105" s="10"/>
      <c r="B105" s="2"/>
      <c r="C105" s="2"/>
      <c r="D105" s="2"/>
      <c r="K105" s="3"/>
    </row>
    <row r="106" spans="1:11" x14ac:dyDescent="0.25">
      <c r="A106" s="10"/>
      <c r="B106" s="2"/>
      <c r="C106" s="2"/>
      <c r="D106" s="2"/>
      <c r="K106" s="3"/>
    </row>
    <row r="107" spans="1:11" x14ac:dyDescent="0.25">
      <c r="A107" s="10"/>
      <c r="B107" s="2"/>
      <c r="C107" s="2"/>
      <c r="D107" s="2"/>
      <c r="K107" s="3"/>
    </row>
    <row r="108" spans="1:11" x14ac:dyDescent="0.25">
      <c r="A108" s="10"/>
      <c r="B108" s="2"/>
      <c r="C108" s="2"/>
      <c r="D108" s="2"/>
      <c r="K108" s="3"/>
    </row>
    <row r="109" spans="1:11" x14ac:dyDescent="0.25">
      <c r="A109" s="10"/>
      <c r="B109" s="2"/>
      <c r="C109" s="2"/>
      <c r="D109" s="2"/>
      <c r="K109" s="3"/>
    </row>
    <row r="110" spans="1:11" x14ac:dyDescent="0.25">
      <c r="A110" s="10"/>
      <c r="B110" s="2"/>
      <c r="C110" s="2"/>
      <c r="D110" s="2"/>
      <c r="K110" s="3"/>
    </row>
    <row r="111" spans="1:11" x14ac:dyDescent="0.25">
      <c r="A111" s="10"/>
      <c r="B111" s="2"/>
      <c r="C111" s="2"/>
      <c r="D111" s="2"/>
      <c r="K111" s="3"/>
    </row>
    <row r="112" spans="1:11" x14ac:dyDescent="0.25">
      <c r="A112" s="10"/>
      <c r="B112" s="2"/>
      <c r="C112" s="2"/>
      <c r="D112" s="2"/>
      <c r="K112" s="3"/>
    </row>
    <row r="113" spans="1:11" x14ac:dyDescent="0.25">
      <c r="A113" s="10"/>
      <c r="B113" s="2"/>
      <c r="C113" s="2"/>
      <c r="D113" s="2"/>
      <c r="K113" s="3"/>
    </row>
    <row r="114" spans="1:11" x14ac:dyDescent="0.25">
      <c r="A114" s="10"/>
      <c r="B114" s="2"/>
      <c r="C114" s="2"/>
      <c r="D114" s="2"/>
      <c r="K114" s="3"/>
    </row>
    <row r="115" spans="1:11" x14ac:dyDescent="0.25">
      <c r="A115" s="10"/>
      <c r="B115" s="2"/>
      <c r="C115" s="2"/>
      <c r="D115" s="2"/>
      <c r="K115" s="3"/>
    </row>
    <row r="116" spans="1:11" x14ac:dyDescent="0.25">
      <c r="A116" s="10"/>
      <c r="B116" s="2"/>
      <c r="C116" s="2"/>
      <c r="D116" s="2"/>
      <c r="K116" s="3"/>
    </row>
    <row r="117" spans="1:11" x14ac:dyDescent="0.25">
      <c r="A117" s="10"/>
      <c r="B117" s="2"/>
      <c r="C117" s="2"/>
      <c r="D117" s="2"/>
      <c r="K117" s="3"/>
    </row>
    <row r="118" spans="1:11" x14ac:dyDescent="0.25">
      <c r="A118" s="10"/>
      <c r="B118" s="2"/>
      <c r="C118" s="2"/>
      <c r="D118" s="2"/>
      <c r="K118" s="3"/>
    </row>
    <row r="119" spans="1:11" x14ac:dyDescent="0.25">
      <c r="A119" s="10"/>
      <c r="B119" s="2"/>
      <c r="C119" s="2"/>
      <c r="D119" s="2"/>
      <c r="K119" s="3"/>
    </row>
    <row r="120" spans="1:11" x14ac:dyDescent="0.25">
      <c r="A120" s="10"/>
      <c r="B120" s="2"/>
      <c r="C120" s="2"/>
      <c r="D120" s="2"/>
      <c r="K120" s="3"/>
    </row>
    <row r="121" spans="1:11" x14ac:dyDescent="0.25">
      <c r="A121" s="10"/>
      <c r="B121" s="2"/>
      <c r="C121" s="2"/>
      <c r="D121" s="2"/>
      <c r="K121" s="3"/>
    </row>
    <row r="122" spans="1:11" x14ac:dyDescent="0.25">
      <c r="A122" s="10"/>
      <c r="B122" s="2"/>
      <c r="C122" s="2"/>
      <c r="D122" s="2"/>
      <c r="K122" s="3"/>
    </row>
    <row r="123" spans="1:11" x14ac:dyDescent="0.25">
      <c r="A123" s="10"/>
      <c r="B123" s="2"/>
      <c r="C123" s="2"/>
      <c r="D123" s="2"/>
      <c r="K123" s="3"/>
    </row>
    <row r="124" spans="1:11" x14ac:dyDescent="0.25">
      <c r="A124" s="10"/>
      <c r="B124" s="2"/>
      <c r="C124" s="2"/>
      <c r="D124" s="2"/>
      <c r="K124" s="3"/>
    </row>
    <row r="125" spans="1:11" x14ac:dyDescent="0.25">
      <c r="A125" s="10"/>
      <c r="B125" s="2"/>
      <c r="C125" s="2"/>
      <c r="D125" s="2"/>
      <c r="K125" s="3"/>
    </row>
    <row r="126" spans="1:11" x14ac:dyDescent="0.25">
      <c r="A126" s="10"/>
      <c r="B126" s="2"/>
      <c r="C126" s="2"/>
      <c r="D126" s="2"/>
      <c r="K126" s="3"/>
    </row>
    <row r="127" spans="1:11" x14ac:dyDescent="0.25">
      <c r="A127" s="10"/>
      <c r="B127" s="2"/>
      <c r="C127" s="2"/>
      <c r="D127" s="2"/>
      <c r="K127" s="3"/>
    </row>
    <row r="128" spans="1:11" x14ac:dyDescent="0.25">
      <c r="A128" s="10"/>
      <c r="B128" s="2"/>
      <c r="C128" s="2"/>
      <c r="D128" s="2"/>
      <c r="K128" s="3"/>
    </row>
    <row r="129" spans="1:11" x14ac:dyDescent="0.25">
      <c r="A129" s="10"/>
      <c r="B129" s="2"/>
      <c r="C129" s="2"/>
      <c r="D129" s="2"/>
      <c r="K129" s="3"/>
    </row>
    <row r="130" spans="1:11" x14ac:dyDescent="0.25">
      <c r="A130" s="10"/>
      <c r="B130" s="2"/>
      <c r="C130" s="2"/>
      <c r="D130" s="2"/>
      <c r="K130" s="3"/>
    </row>
    <row r="131" spans="1:11" x14ac:dyDescent="0.25">
      <c r="A131" s="10"/>
      <c r="B131" s="2"/>
      <c r="C131" s="2"/>
      <c r="D131" s="2"/>
      <c r="K131" s="3"/>
    </row>
    <row r="132" spans="1:11" x14ac:dyDescent="0.25">
      <c r="A132" s="10"/>
      <c r="B132" s="2"/>
      <c r="C132" s="2"/>
      <c r="D132" s="2"/>
      <c r="K132" s="3"/>
    </row>
    <row r="133" spans="1:11" x14ac:dyDescent="0.25">
      <c r="A133" s="10"/>
      <c r="B133" s="2"/>
      <c r="C133" s="2"/>
      <c r="D133" s="2"/>
      <c r="K133" s="3"/>
    </row>
    <row r="134" spans="1:11" x14ac:dyDescent="0.25">
      <c r="A134" s="10"/>
      <c r="B134" s="2"/>
      <c r="C134" s="2"/>
      <c r="D134" s="2"/>
      <c r="K134" s="3"/>
    </row>
    <row r="135" spans="1:11" x14ac:dyDescent="0.25">
      <c r="A135" s="10"/>
      <c r="B135" s="2"/>
      <c r="C135" s="2"/>
      <c r="D135" s="2"/>
      <c r="K135" s="3"/>
    </row>
    <row r="136" spans="1:11" x14ac:dyDescent="0.25">
      <c r="A136" s="10"/>
      <c r="B136" s="2"/>
      <c r="C136" s="2"/>
      <c r="D136" s="2"/>
      <c r="K136" s="3"/>
    </row>
    <row r="137" spans="1:11" x14ac:dyDescent="0.25">
      <c r="A137" s="10"/>
      <c r="B137" s="2"/>
      <c r="C137" s="2"/>
      <c r="D137" s="2"/>
      <c r="K137" s="3"/>
    </row>
    <row r="138" spans="1:11" x14ac:dyDescent="0.25">
      <c r="A138" s="10"/>
      <c r="B138" s="2"/>
      <c r="C138" s="2"/>
      <c r="D138" s="2"/>
      <c r="K138" s="3"/>
    </row>
    <row r="139" spans="1:11" x14ac:dyDescent="0.25">
      <c r="A139" s="10"/>
      <c r="B139" s="2"/>
      <c r="C139" s="2"/>
      <c r="D139" s="2"/>
      <c r="K139" s="3"/>
    </row>
    <row r="140" spans="1:11" x14ac:dyDescent="0.25">
      <c r="A140" s="10"/>
      <c r="B140" s="2"/>
      <c r="C140" s="2"/>
      <c r="D140" s="2"/>
      <c r="K140" s="3"/>
    </row>
    <row r="141" spans="1:11" x14ac:dyDescent="0.25">
      <c r="A141" s="10"/>
      <c r="B141" s="2"/>
      <c r="C141" s="2"/>
      <c r="D141" s="2"/>
      <c r="K141" s="3"/>
    </row>
    <row r="142" spans="1:11" x14ac:dyDescent="0.25">
      <c r="A142" s="10"/>
      <c r="B142" s="2"/>
      <c r="C142" s="2"/>
      <c r="D142" s="2"/>
      <c r="K142" s="3"/>
    </row>
    <row r="143" spans="1:11" x14ac:dyDescent="0.25">
      <c r="A143" s="10"/>
      <c r="B143" s="2"/>
      <c r="C143" s="2"/>
      <c r="D143" s="2"/>
      <c r="K143" s="3"/>
    </row>
    <row r="144" spans="1:11" x14ac:dyDescent="0.25">
      <c r="A144" s="10"/>
      <c r="B144" s="2"/>
      <c r="C144" s="2"/>
      <c r="D144" s="2"/>
      <c r="K144" s="3"/>
    </row>
    <row r="145" spans="1:11" x14ac:dyDescent="0.25">
      <c r="A145" s="10"/>
      <c r="B145" s="2"/>
      <c r="C145" s="2"/>
      <c r="D145" s="2"/>
      <c r="K145" s="3"/>
    </row>
    <row r="146" spans="1:11" x14ac:dyDescent="0.25">
      <c r="A146" s="10"/>
      <c r="B146" s="2"/>
      <c r="C146" s="2"/>
      <c r="D146" s="2"/>
      <c r="K146" s="3"/>
    </row>
    <row r="147" spans="1:11" x14ac:dyDescent="0.25">
      <c r="A147" s="10"/>
      <c r="B147" s="2"/>
      <c r="C147" s="2"/>
      <c r="D147" s="2"/>
      <c r="K147" s="3"/>
    </row>
    <row r="148" spans="1:11" x14ac:dyDescent="0.25">
      <c r="A148" s="10"/>
      <c r="B148" s="2"/>
      <c r="C148" s="2"/>
      <c r="D148" s="2"/>
      <c r="K148" s="3"/>
    </row>
    <row r="149" spans="1:11" x14ac:dyDescent="0.25">
      <c r="A149" s="10"/>
      <c r="B149" s="2"/>
      <c r="C149" s="2"/>
      <c r="D149" s="2"/>
      <c r="K149" s="3"/>
    </row>
    <row r="150" spans="1:11" x14ac:dyDescent="0.25">
      <c r="A150" s="10"/>
      <c r="B150" s="2"/>
      <c r="C150" s="2"/>
      <c r="D150" s="2"/>
      <c r="K150" s="3"/>
    </row>
    <row r="151" spans="1:11" x14ac:dyDescent="0.25">
      <c r="A151" s="10"/>
      <c r="B151" s="2"/>
      <c r="C151" s="2"/>
      <c r="D151" s="2"/>
      <c r="K151" s="3"/>
    </row>
    <row r="152" spans="1:11" x14ac:dyDescent="0.25">
      <c r="A152" s="10"/>
      <c r="B152" s="2"/>
      <c r="C152" s="2"/>
      <c r="D152" s="2"/>
      <c r="K152" s="3"/>
    </row>
    <row r="153" spans="1:11" x14ac:dyDescent="0.25">
      <c r="A153" s="10"/>
      <c r="B153" s="2"/>
      <c r="C153" s="2"/>
      <c r="D153" s="2"/>
      <c r="K153" s="3"/>
    </row>
    <row r="154" spans="1:11" x14ac:dyDescent="0.25">
      <c r="A154" s="10"/>
      <c r="B154" s="2"/>
      <c r="C154" s="2"/>
      <c r="D154" s="2"/>
      <c r="K154" s="3"/>
    </row>
    <row r="155" spans="1:11" x14ac:dyDescent="0.25">
      <c r="A155" s="10"/>
      <c r="B155" s="2"/>
      <c r="C155" s="2"/>
      <c r="D155" s="2"/>
      <c r="K155" s="3"/>
    </row>
    <row r="156" spans="1:11" x14ac:dyDescent="0.25">
      <c r="A156" s="10"/>
      <c r="B156" s="2"/>
      <c r="C156" s="2"/>
      <c r="D156" s="2"/>
      <c r="K156" s="3"/>
    </row>
    <row r="157" spans="1:11" x14ac:dyDescent="0.25">
      <c r="A157" s="10"/>
      <c r="B157" s="2"/>
      <c r="C157" s="2"/>
      <c r="D157" s="2"/>
      <c r="K157" s="3"/>
    </row>
    <row r="158" spans="1:11" x14ac:dyDescent="0.25">
      <c r="A158" s="10"/>
      <c r="B158" s="2"/>
      <c r="C158" s="2"/>
      <c r="D158" s="2"/>
      <c r="K158" s="3"/>
    </row>
    <row r="159" spans="1:11" x14ac:dyDescent="0.25">
      <c r="A159" s="10"/>
      <c r="B159" s="2"/>
      <c r="C159" s="2"/>
      <c r="D159" s="2"/>
      <c r="K159" s="3"/>
    </row>
    <row r="160" spans="1:11" x14ac:dyDescent="0.25">
      <c r="A160" s="10"/>
      <c r="B160" s="2"/>
      <c r="C160" s="2"/>
      <c r="D160" s="2"/>
      <c r="K160" s="3"/>
    </row>
    <row r="161" spans="1:11" x14ac:dyDescent="0.25">
      <c r="A161" s="10"/>
      <c r="B161" s="2"/>
      <c r="C161" s="2"/>
      <c r="D161" s="2"/>
      <c r="K161" s="3"/>
    </row>
    <row r="162" spans="1:11" x14ac:dyDescent="0.25">
      <c r="A162" s="10"/>
      <c r="B162" s="2"/>
      <c r="C162" s="2"/>
      <c r="D162" s="2"/>
      <c r="K162" s="3"/>
    </row>
    <row r="163" spans="1:11" x14ac:dyDescent="0.25">
      <c r="A163" s="10"/>
      <c r="B163" s="2"/>
      <c r="C163" s="2"/>
      <c r="D163" s="2"/>
      <c r="K163" s="3"/>
    </row>
    <row r="164" spans="1:11" x14ac:dyDescent="0.25">
      <c r="A164" s="10"/>
      <c r="B164" s="2"/>
      <c r="C164" s="2"/>
      <c r="D164" s="2"/>
      <c r="K164" s="3"/>
    </row>
    <row r="165" spans="1:11" x14ac:dyDescent="0.25">
      <c r="A165" s="10"/>
      <c r="B165" s="2"/>
      <c r="C165" s="2"/>
      <c r="D165" s="2"/>
      <c r="K165" s="3"/>
    </row>
    <row r="166" spans="1:11" x14ac:dyDescent="0.25">
      <c r="A166" s="10"/>
      <c r="B166" s="2"/>
      <c r="C166" s="2"/>
      <c r="D166" s="2"/>
      <c r="K166" s="3"/>
    </row>
    <row r="167" spans="1:11" x14ac:dyDescent="0.25">
      <c r="A167" s="10"/>
      <c r="B167" s="2"/>
      <c r="C167" s="2"/>
      <c r="D167" s="2"/>
      <c r="K167" s="3"/>
    </row>
    <row r="168" spans="1:11" x14ac:dyDescent="0.25">
      <c r="A168" s="10"/>
      <c r="B168" s="2"/>
      <c r="C168" s="2"/>
      <c r="D168" s="2"/>
      <c r="K168" s="3"/>
    </row>
    <row r="169" spans="1:11" x14ac:dyDescent="0.25">
      <c r="A169" s="10"/>
      <c r="B169" s="2"/>
      <c r="C169" s="2"/>
      <c r="D169" s="2"/>
      <c r="K169" s="3"/>
    </row>
    <row r="170" spans="1:11" x14ac:dyDescent="0.25">
      <c r="A170" s="10"/>
      <c r="B170" s="2"/>
      <c r="C170" s="2"/>
      <c r="D170" s="2"/>
      <c r="K170" s="3"/>
    </row>
    <row r="171" spans="1:11" x14ac:dyDescent="0.25">
      <c r="A171" s="10"/>
      <c r="B171" s="2"/>
      <c r="C171" s="2"/>
      <c r="D171" s="2"/>
      <c r="K171" s="3"/>
    </row>
    <row r="172" spans="1:11" x14ac:dyDescent="0.25">
      <c r="A172" s="10"/>
      <c r="B172" s="2"/>
      <c r="C172" s="2"/>
      <c r="D172" s="2"/>
      <c r="K172" s="3"/>
    </row>
    <row r="173" spans="1:11" x14ac:dyDescent="0.25">
      <c r="A173" s="10"/>
      <c r="B173" s="2"/>
      <c r="C173" s="2"/>
      <c r="D173" s="2"/>
      <c r="K173" s="3"/>
    </row>
    <row r="174" spans="1:11" x14ac:dyDescent="0.25">
      <c r="A174" s="10"/>
      <c r="B174" s="2"/>
      <c r="C174" s="2"/>
      <c r="D174" s="2"/>
      <c r="K174" s="3"/>
    </row>
    <row r="175" spans="1:11" x14ac:dyDescent="0.25">
      <c r="A175" s="10"/>
      <c r="B175" s="2"/>
      <c r="C175" s="2"/>
      <c r="D175" s="2"/>
      <c r="K175" s="3"/>
    </row>
    <row r="176" spans="1:11" x14ac:dyDescent="0.25">
      <c r="A176" s="10"/>
      <c r="B176" s="2"/>
      <c r="C176" s="2"/>
      <c r="D176" s="2"/>
      <c r="K176" s="3"/>
    </row>
    <row r="177" spans="1:11" x14ac:dyDescent="0.25">
      <c r="A177" s="10"/>
      <c r="B177" s="2"/>
      <c r="C177" s="2"/>
      <c r="D177" s="2"/>
      <c r="K177" s="3"/>
    </row>
    <row r="178" spans="1:11" x14ac:dyDescent="0.25">
      <c r="A178" s="10"/>
      <c r="B178" s="2"/>
      <c r="C178" s="2"/>
      <c r="D178" s="2"/>
      <c r="K178" s="3"/>
    </row>
    <row r="179" spans="1:11" x14ac:dyDescent="0.25">
      <c r="A179" s="10"/>
      <c r="B179" s="2"/>
      <c r="C179" s="2"/>
      <c r="D179" s="2"/>
      <c r="K179" s="3"/>
    </row>
    <row r="180" spans="1:11" x14ac:dyDescent="0.25">
      <c r="A180" s="10"/>
      <c r="B180" s="2"/>
      <c r="C180" s="2"/>
      <c r="D180" s="2"/>
      <c r="K180" s="3"/>
    </row>
    <row r="181" spans="1:11" x14ac:dyDescent="0.25">
      <c r="A181" s="10"/>
      <c r="B181" s="2"/>
      <c r="C181" s="2"/>
      <c r="D181" s="2"/>
      <c r="K181" s="3"/>
    </row>
    <row r="182" spans="1:11" x14ac:dyDescent="0.25">
      <c r="A182" s="10"/>
      <c r="B182" s="2"/>
      <c r="C182" s="2"/>
      <c r="D182" s="2"/>
      <c r="K182" s="3"/>
    </row>
    <row r="183" spans="1:11" x14ac:dyDescent="0.25">
      <c r="A183" s="10"/>
      <c r="B183" s="2"/>
      <c r="C183" s="2"/>
      <c r="D183" s="2"/>
      <c r="K183" s="3"/>
    </row>
    <row r="184" spans="1:11" x14ac:dyDescent="0.25">
      <c r="A184" s="10"/>
      <c r="B184" s="2"/>
      <c r="C184" s="2"/>
      <c r="D184" s="2"/>
      <c r="K184" s="3"/>
    </row>
    <row r="185" spans="1:11" x14ac:dyDescent="0.25">
      <c r="A185" s="10"/>
      <c r="B185" s="2"/>
      <c r="C185" s="2"/>
      <c r="D185" s="2"/>
      <c r="K185" s="3"/>
    </row>
    <row r="186" spans="1:11" x14ac:dyDescent="0.25">
      <c r="A186" s="10"/>
      <c r="B186" s="2"/>
      <c r="C186" s="2"/>
      <c r="D186" s="2"/>
      <c r="K186" s="3"/>
    </row>
    <row r="187" spans="1:11" x14ac:dyDescent="0.25">
      <c r="A187" s="10"/>
      <c r="B187" s="2"/>
      <c r="C187" s="2"/>
      <c r="D187" s="2"/>
      <c r="K187" s="3"/>
    </row>
    <row r="188" spans="1:11" x14ac:dyDescent="0.25">
      <c r="A188" s="10"/>
      <c r="B188" s="2"/>
      <c r="C188" s="2"/>
      <c r="D188" s="2"/>
      <c r="K188" s="3"/>
    </row>
    <row r="189" spans="1:11" x14ac:dyDescent="0.25">
      <c r="A189" s="10"/>
      <c r="B189" s="2"/>
      <c r="C189" s="2"/>
      <c r="D189" s="2"/>
      <c r="K189" s="3"/>
    </row>
    <row r="190" spans="1:11" x14ac:dyDescent="0.25">
      <c r="A190" s="10"/>
      <c r="B190" s="2"/>
      <c r="C190" s="2"/>
      <c r="D190" s="2"/>
      <c r="K190" s="3"/>
    </row>
    <row r="191" spans="1:11" x14ac:dyDescent="0.25">
      <c r="A191" s="10"/>
      <c r="B191" s="2"/>
      <c r="C191" s="2"/>
      <c r="D191" s="2"/>
      <c r="K191" s="3"/>
    </row>
    <row r="192" spans="1:11" x14ac:dyDescent="0.25">
      <c r="A192" s="10"/>
      <c r="B192" s="2"/>
      <c r="C192" s="2"/>
      <c r="D192" s="2"/>
      <c r="K192" s="3"/>
    </row>
    <row r="193" spans="1:11" x14ac:dyDescent="0.25">
      <c r="A193" s="10"/>
      <c r="B193" s="2"/>
      <c r="C193" s="2"/>
      <c r="D193" s="2"/>
      <c r="K193" s="3"/>
    </row>
    <row r="194" spans="1:11" x14ac:dyDescent="0.25">
      <c r="A194" s="10"/>
      <c r="B194" s="2"/>
      <c r="C194" s="2"/>
      <c r="D194" s="2"/>
      <c r="K194" s="3"/>
    </row>
    <row r="195" spans="1:11" x14ac:dyDescent="0.25">
      <c r="A195" s="10"/>
      <c r="B195" s="2"/>
      <c r="C195" s="2"/>
      <c r="D195" s="2"/>
      <c r="K195" s="3"/>
    </row>
    <row r="196" spans="1:11" x14ac:dyDescent="0.25">
      <c r="A196" s="10"/>
      <c r="B196" s="2"/>
      <c r="C196" s="2"/>
      <c r="D196" s="2"/>
      <c r="K196" s="3"/>
    </row>
    <row r="197" spans="1:11" x14ac:dyDescent="0.25">
      <c r="A197" s="10"/>
      <c r="B197" s="2"/>
      <c r="C197" s="2"/>
      <c r="D197" s="2"/>
      <c r="K197" s="3"/>
    </row>
    <row r="198" spans="1:11" x14ac:dyDescent="0.25">
      <c r="A198" s="10"/>
      <c r="B198" s="2"/>
      <c r="C198" s="2"/>
      <c r="D198" s="2"/>
      <c r="K198" s="3"/>
    </row>
    <row r="199" spans="1:11" x14ac:dyDescent="0.25">
      <c r="A199" s="10"/>
      <c r="B199" s="2"/>
      <c r="C199" s="2"/>
      <c r="D199" s="2"/>
      <c r="K199" s="3"/>
    </row>
    <row r="200" spans="1:11" x14ac:dyDescent="0.25">
      <c r="A200" s="10">
        <f ca="1">TODAY()</f>
        <v>46307</v>
      </c>
      <c r="B200" s="2"/>
      <c r="C200" s="2"/>
      <c r="D200" s="2"/>
      <c r="K200" s="5">
        <f>Overview!U3</f>
        <v>674.58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83585-76E8-43FA-B139-66F5B08DA1B3}">
  <dimension ref="A1:AA42"/>
  <sheetViews>
    <sheetView workbookViewId="0">
      <selection activeCell="A37" sqref="A37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65</v>
      </c>
      <c r="D1" s="23" t="s">
        <v>10</v>
      </c>
      <c r="E1" s="23" t="s">
        <v>0</v>
      </c>
      <c r="F1" s="23" t="s">
        <v>6</v>
      </c>
      <c r="G1" s="23" t="s">
        <v>0</v>
      </c>
      <c r="H1" s="23" t="s">
        <v>6</v>
      </c>
      <c r="I1" s="23" t="s">
        <v>36</v>
      </c>
      <c r="J1" s="11" t="s">
        <v>10</v>
      </c>
      <c r="K1" s="11" t="s">
        <v>22</v>
      </c>
      <c r="M1" s="26" t="s">
        <v>0</v>
      </c>
      <c r="N1" s="28"/>
      <c r="O1" s="26" t="s">
        <v>6</v>
      </c>
      <c r="P1" s="28"/>
      <c r="Q1" s="31" t="s">
        <v>37</v>
      </c>
      <c r="R1" s="31" t="s">
        <v>23</v>
      </c>
      <c r="S1" s="31" t="s">
        <v>47</v>
      </c>
      <c r="Y1" s="12" t="s">
        <v>10</v>
      </c>
      <c r="Z1" s="23" t="s">
        <v>38</v>
      </c>
      <c r="AA1" s="23" t="s">
        <v>47</v>
      </c>
    </row>
    <row r="2" spans="1:27" x14ac:dyDescent="0.25">
      <c r="A2" s="8" t="s">
        <v>1</v>
      </c>
      <c r="B2" s="3" t="s">
        <v>66</v>
      </c>
      <c r="D2" s="10">
        <v>46363</v>
      </c>
      <c r="E2" s="5">
        <v>0</v>
      </c>
      <c r="F2" s="5">
        <v>2.48</v>
      </c>
      <c r="G2" s="5"/>
      <c r="H2" s="5"/>
      <c r="I2" s="5"/>
      <c r="J2" s="10"/>
      <c r="K2" s="9" t="str">
        <f>IF(J2&gt;0,J2-D2,"")</f>
        <v/>
      </c>
      <c r="M2" s="13" t="s">
        <v>39</v>
      </c>
      <c r="N2" s="13" t="s">
        <v>23</v>
      </c>
      <c r="O2" s="23" t="s">
        <v>40</v>
      </c>
      <c r="P2" s="23" t="s">
        <v>41</v>
      </c>
      <c r="Q2" s="32"/>
      <c r="R2" s="32"/>
      <c r="S2" s="32"/>
      <c r="Y2" s="10">
        <f>B3</f>
        <v>46248</v>
      </c>
      <c r="Z2" s="3">
        <f>B11*-1</f>
        <v>-100</v>
      </c>
      <c r="AA2" s="3" t="str">
        <f ca="1">IF(COUNTIFS(D:D,"&lt;"&amp;TODAY(),J:J,"")&gt;0,"+","")</f>
        <v/>
      </c>
    </row>
    <row r="3" spans="1:27" x14ac:dyDescent="0.25">
      <c r="A3" s="8" t="s">
        <v>8</v>
      </c>
      <c r="B3" s="10">
        <v>46248</v>
      </c>
      <c r="D3" s="10">
        <v>46453</v>
      </c>
      <c r="E3" s="5">
        <v>0</v>
      </c>
      <c r="F3" s="3">
        <v>2.15</v>
      </c>
      <c r="G3" s="5"/>
      <c r="H3" s="5"/>
      <c r="I3" s="5"/>
      <c r="J3" s="10"/>
      <c r="K3" s="9" t="str">
        <f t="shared" ref="K3:K41" si="0">IF(J3&gt;0,J3-D3,"")</f>
        <v/>
      </c>
      <c r="M3" s="5">
        <f>B11</f>
        <v>100</v>
      </c>
      <c r="N3" s="5">
        <f>G42</f>
        <v>0</v>
      </c>
      <c r="O3" s="5">
        <f>F42</f>
        <v>8.66</v>
      </c>
      <c r="P3" s="5">
        <f>H42+I42</f>
        <v>0</v>
      </c>
      <c r="Q3" s="14" t="str">
        <f>IF(M3=N3,XIRR(Z2:Z41,Y2:Y41),"")</f>
        <v/>
      </c>
      <c r="R3" s="10" t="str">
        <f>IF(M3=N3,B14,"")</f>
        <v/>
      </c>
      <c r="S3" s="3" t="str">
        <f ca="1">IF(COUNTIFS(D:D,"&lt;"&amp;TODAY(),J:J,"")=0,"",TODAY()-_xlfn.MINIFS(D:D,D:D,"&lt;"&amp;TODAY(),J:J,""))</f>
        <v/>
      </c>
      <c r="Y3" s="10">
        <f>J2</f>
        <v>0</v>
      </c>
      <c r="Z3" s="5">
        <f>G2+H2+I2</f>
        <v>0</v>
      </c>
    </row>
    <row r="4" spans="1:27" x14ac:dyDescent="0.25">
      <c r="A4" s="8" t="s">
        <v>12</v>
      </c>
      <c r="B4" s="10">
        <v>46252</v>
      </c>
      <c r="D4" s="10">
        <v>46545</v>
      </c>
      <c r="E4" s="5">
        <v>0</v>
      </c>
      <c r="F4" s="3">
        <v>2.19</v>
      </c>
      <c r="G4" s="5"/>
      <c r="H4" s="5"/>
      <c r="I4" s="5"/>
      <c r="J4" s="10"/>
      <c r="K4" s="9" t="str">
        <f t="shared" si="0"/>
        <v/>
      </c>
      <c r="Y4" s="10">
        <f t="shared" ref="Y4:Y41" si="1">J3</f>
        <v>0</v>
      </c>
      <c r="Z4" s="5">
        <f t="shared" ref="Z4:Z41" si="2">G3+H3+I3</f>
        <v>0</v>
      </c>
    </row>
    <row r="5" spans="1:27" x14ac:dyDescent="0.25">
      <c r="A5" s="8" t="s">
        <v>2</v>
      </c>
      <c r="B5" s="3" t="s">
        <v>3</v>
      </c>
      <c r="D5" s="10">
        <v>46615</v>
      </c>
      <c r="E5" s="5">
        <v>100</v>
      </c>
      <c r="F5" s="3">
        <v>1.84</v>
      </c>
      <c r="G5" s="5"/>
      <c r="H5" s="5"/>
      <c r="I5" s="3"/>
      <c r="J5" s="10"/>
      <c r="K5" s="9" t="str">
        <f t="shared" si="0"/>
        <v/>
      </c>
      <c r="Y5" s="10">
        <f t="shared" si="1"/>
        <v>0</v>
      </c>
      <c r="Z5" s="5">
        <f t="shared" si="2"/>
        <v>0</v>
      </c>
    </row>
    <row r="6" spans="1:27" x14ac:dyDescent="0.25">
      <c r="A6" s="8" t="s">
        <v>13</v>
      </c>
      <c r="B6" s="4">
        <v>0.8</v>
      </c>
      <c r="D6" s="10"/>
      <c r="E6" s="5"/>
      <c r="F6" s="5"/>
      <c r="G6" s="5"/>
      <c r="H6" s="5"/>
      <c r="I6" s="3"/>
      <c r="J6" s="10"/>
      <c r="K6" s="9" t="str">
        <f t="shared" si="0"/>
        <v/>
      </c>
      <c r="Y6" s="10">
        <f t="shared" si="1"/>
        <v>0</v>
      </c>
      <c r="Z6" s="5">
        <f t="shared" si="2"/>
        <v>0</v>
      </c>
    </row>
    <row r="7" spans="1:27" x14ac:dyDescent="0.25">
      <c r="A7" s="8" t="s">
        <v>14</v>
      </c>
      <c r="B7" s="4">
        <v>0.8</v>
      </c>
      <c r="D7" s="10"/>
      <c r="E7" s="5"/>
      <c r="F7" s="3"/>
      <c r="G7" s="5"/>
      <c r="H7" s="5"/>
      <c r="I7" s="3"/>
      <c r="J7" s="10"/>
      <c r="K7" s="9" t="str">
        <f t="shared" si="0"/>
        <v/>
      </c>
      <c r="Y7" s="10">
        <f t="shared" si="1"/>
        <v>0</v>
      </c>
      <c r="Z7" s="5">
        <f t="shared" si="2"/>
        <v>0</v>
      </c>
    </row>
    <row r="8" spans="1:27" x14ac:dyDescent="0.25">
      <c r="A8" s="8" t="s">
        <v>4</v>
      </c>
      <c r="B8" s="3">
        <v>12</v>
      </c>
      <c r="D8" s="10"/>
      <c r="E8" s="5"/>
      <c r="F8" s="3"/>
      <c r="G8" s="2"/>
      <c r="H8" s="2"/>
      <c r="I8" s="2"/>
      <c r="J8" s="10"/>
      <c r="K8" s="9" t="str">
        <f t="shared" si="0"/>
        <v/>
      </c>
      <c r="Y8" s="10">
        <f t="shared" si="1"/>
        <v>0</v>
      </c>
      <c r="Z8" s="5">
        <f t="shared" si="2"/>
        <v>0</v>
      </c>
    </row>
    <row r="9" spans="1:27" x14ac:dyDescent="0.25">
      <c r="A9" s="8" t="s">
        <v>5</v>
      </c>
      <c r="B9" s="3" t="s">
        <v>9</v>
      </c>
      <c r="D9" s="10"/>
      <c r="E9" s="5"/>
      <c r="F9" s="3"/>
      <c r="G9" s="2"/>
      <c r="H9" s="2"/>
      <c r="I9" s="2"/>
      <c r="J9" s="10"/>
      <c r="K9" s="9" t="str">
        <f t="shared" si="0"/>
        <v/>
      </c>
      <c r="Y9" s="10">
        <f t="shared" si="1"/>
        <v>0</v>
      </c>
      <c r="Z9" s="5">
        <f t="shared" si="2"/>
        <v>0</v>
      </c>
    </row>
    <row r="10" spans="1:27" x14ac:dyDescent="0.25">
      <c r="A10" s="8" t="s">
        <v>7</v>
      </c>
      <c r="B10" s="6">
        <v>8.6999999999999994E-2</v>
      </c>
      <c r="D10" s="10"/>
      <c r="E10" s="5"/>
      <c r="F10" s="3"/>
      <c r="G10" s="2"/>
      <c r="H10" s="2"/>
      <c r="I10" s="2"/>
      <c r="J10" s="10"/>
      <c r="K10" s="9" t="str">
        <f t="shared" si="0"/>
        <v/>
      </c>
      <c r="Y10" s="10">
        <f t="shared" si="1"/>
        <v>0</v>
      </c>
      <c r="Z10" s="5">
        <f t="shared" si="2"/>
        <v>0</v>
      </c>
    </row>
    <row r="11" spans="1:27" x14ac:dyDescent="0.25">
      <c r="A11" s="8" t="s">
        <v>60</v>
      </c>
      <c r="B11" s="5">
        <v>100</v>
      </c>
      <c r="D11" s="10"/>
      <c r="E11" s="5"/>
      <c r="F11" s="3"/>
      <c r="G11" s="2"/>
      <c r="H11" s="2"/>
      <c r="I11" s="2"/>
      <c r="J11" s="10"/>
      <c r="K11" s="9" t="str">
        <f t="shared" si="0"/>
        <v/>
      </c>
      <c r="Y11" s="10">
        <f t="shared" si="1"/>
        <v>0</v>
      </c>
      <c r="Z11" s="5">
        <f t="shared" si="2"/>
        <v>0</v>
      </c>
    </row>
    <row r="12" spans="1:27" x14ac:dyDescent="0.25">
      <c r="A12" s="8" t="s">
        <v>44</v>
      </c>
      <c r="B12" s="25">
        <v>46615</v>
      </c>
      <c r="D12" s="10"/>
      <c r="E12" s="5"/>
      <c r="F12" s="5"/>
      <c r="G12" s="5"/>
      <c r="H12" s="5"/>
      <c r="I12" s="5"/>
      <c r="J12" s="10"/>
      <c r="K12" s="9" t="str">
        <f t="shared" si="0"/>
        <v/>
      </c>
      <c r="Y12" s="10">
        <f t="shared" si="1"/>
        <v>0</v>
      </c>
      <c r="Z12" s="5">
        <f t="shared" si="2"/>
        <v>0</v>
      </c>
    </row>
    <row r="13" spans="1:27" x14ac:dyDescent="0.25">
      <c r="A13" s="8" t="s">
        <v>48</v>
      </c>
      <c r="B13" s="9">
        <f ca="1">IF(B11&lt;&gt;N3,(TODAY()-B12)*-1,"")</f>
        <v>308</v>
      </c>
      <c r="D13" s="10"/>
      <c r="E13" s="5"/>
      <c r="F13" s="5"/>
      <c r="G13" s="5"/>
      <c r="H13" s="5"/>
      <c r="I13" s="5"/>
      <c r="J13" s="15"/>
      <c r="K13" s="9" t="str">
        <f t="shared" si="0"/>
        <v/>
      </c>
      <c r="Y13" s="10">
        <f t="shared" si="1"/>
        <v>0</v>
      </c>
      <c r="Z13" s="5">
        <f t="shared" si="2"/>
        <v>0</v>
      </c>
    </row>
    <row r="14" spans="1:27" x14ac:dyDescent="0.25">
      <c r="A14" s="8" t="s">
        <v>23</v>
      </c>
      <c r="B14" s="10"/>
      <c r="D14" s="23"/>
      <c r="E14" s="5"/>
      <c r="F14" s="5"/>
      <c r="G14" s="5"/>
      <c r="H14" s="5"/>
      <c r="I14" s="5"/>
      <c r="J14" s="3"/>
      <c r="K14" s="9" t="str">
        <f t="shared" si="0"/>
        <v/>
      </c>
      <c r="Y14" s="10">
        <f t="shared" si="1"/>
        <v>0</v>
      </c>
      <c r="Z14" s="5">
        <f t="shared" si="2"/>
        <v>0</v>
      </c>
    </row>
    <row r="15" spans="1:27" x14ac:dyDescent="0.25">
      <c r="A15" s="8" t="s">
        <v>61</v>
      </c>
      <c r="B15" s="3" t="str">
        <f>IF(M3=N3,B14-B12,"")</f>
        <v/>
      </c>
      <c r="D15" s="23"/>
      <c r="E15" s="5"/>
      <c r="F15" s="5"/>
      <c r="G15" s="5"/>
      <c r="H15" s="5"/>
      <c r="I15" s="5"/>
      <c r="J15" s="3"/>
      <c r="K15" s="9" t="str">
        <f t="shared" si="0"/>
        <v/>
      </c>
      <c r="Y15" s="10">
        <f t="shared" si="1"/>
        <v>0</v>
      </c>
      <c r="Z15" s="5">
        <f t="shared" si="2"/>
        <v>0</v>
      </c>
    </row>
    <row r="16" spans="1:27" x14ac:dyDescent="0.25">
      <c r="D16" s="23"/>
      <c r="E16" s="5"/>
      <c r="F16" s="5"/>
      <c r="G16" s="5"/>
      <c r="H16" s="5"/>
      <c r="I16" s="5"/>
      <c r="J16" s="3"/>
      <c r="K16" s="9" t="str">
        <f t="shared" si="0"/>
        <v/>
      </c>
      <c r="Y16" s="10">
        <f t="shared" si="1"/>
        <v>0</v>
      </c>
      <c r="Z16" s="5">
        <f t="shared" si="2"/>
        <v>0</v>
      </c>
    </row>
    <row r="17" spans="4:26" x14ac:dyDescent="0.25">
      <c r="D17" s="23"/>
      <c r="E17" s="5"/>
      <c r="F17" s="5"/>
      <c r="G17" s="5"/>
      <c r="H17" s="5"/>
      <c r="I17" s="5"/>
      <c r="J17" s="3"/>
      <c r="K17" s="9" t="str">
        <f t="shared" si="0"/>
        <v/>
      </c>
      <c r="Y17" s="10">
        <f t="shared" si="1"/>
        <v>0</v>
      </c>
      <c r="Z17" s="5">
        <f t="shared" si="2"/>
        <v>0</v>
      </c>
    </row>
    <row r="18" spans="4:26" x14ac:dyDescent="0.25">
      <c r="D18" s="23"/>
      <c r="E18" s="5"/>
      <c r="F18" s="5"/>
      <c r="G18" s="5"/>
      <c r="H18" s="5"/>
      <c r="I18" s="5"/>
      <c r="J18" s="3"/>
      <c r="K18" s="9" t="str">
        <f t="shared" si="0"/>
        <v/>
      </c>
      <c r="Y18" s="10">
        <f t="shared" si="1"/>
        <v>0</v>
      </c>
      <c r="Z18" s="5">
        <f t="shared" si="2"/>
        <v>0</v>
      </c>
    </row>
    <row r="19" spans="4:26" x14ac:dyDescent="0.25">
      <c r="D19" s="23"/>
      <c r="E19" s="5"/>
      <c r="F19" s="5"/>
      <c r="G19" s="5"/>
      <c r="H19" s="5"/>
      <c r="I19" s="5"/>
      <c r="J19" s="3"/>
      <c r="K19" s="9" t="str">
        <f t="shared" si="0"/>
        <v/>
      </c>
      <c r="Y19" s="10">
        <f t="shared" si="1"/>
        <v>0</v>
      </c>
      <c r="Z19" s="5">
        <f t="shared" si="2"/>
        <v>0</v>
      </c>
    </row>
    <row r="20" spans="4:26" x14ac:dyDescent="0.25">
      <c r="D20" s="23"/>
      <c r="E20" s="5"/>
      <c r="F20" s="5"/>
      <c r="G20" s="5"/>
      <c r="H20" s="5"/>
      <c r="I20" s="5"/>
      <c r="J20" s="3"/>
      <c r="K20" s="9" t="str">
        <f t="shared" si="0"/>
        <v/>
      </c>
      <c r="Y20" s="10">
        <f t="shared" si="1"/>
        <v>0</v>
      </c>
      <c r="Z20" s="5">
        <f t="shared" si="2"/>
        <v>0</v>
      </c>
    </row>
    <row r="21" spans="4:26" x14ac:dyDescent="0.25">
      <c r="D21" s="23"/>
      <c r="E21" s="5"/>
      <c r="F21" s="5"/>
      <c r="G21" s="5"/>
      <c r="H21" s="5"/>
      <c r="I21" s="5"/>
      <c r="J21" s="3"/>
      <c r="K21" s="9" t="str">
        <f t="shared" si="0"/>
        <v/>
      </c>
      <c r="Y21" s="10">
        <f t="shared" si="1"/>
        <v>0</v>
      </c>
      <c r="Z21" s="5">
        <f t="shared" si="2"/>
        <v>0</v>
      </c>
    </row>
    <row r="22" spans="4:26" x14ac:dyDescent="0.25">
      <c r="D22" s="23"/>
      <c r="E22" s="5"/>
      <c r="F22" s="5"/>
      <c r="G22" s="5"/>
      <c r="H22" s="5"/>
      <c r="I22" s="5"/>
      <c r="J22" s="3"/>
      <c r="K22" s="9" t="str">
        <f t="shared" si="0"/>
        <v/>
      </c>
      <c r="Y22" s="10">
        <f t="shared" si="1"/>
        <v>0</v>
      </c>
      <c r="Z22" s="5">
        <f t="shared" si="2"/>
        <v>0</v>
      </c>
    </row>
    <row r="23" spans="4:26" x14ac:dyDescent="0.25">
      <c r="D23" s="23"/>
      <c r="E23" s="5"/>
      <c r="F23" s="5"/>
      <c r="G23" s="5"/>
      <c r="H23" s="5"/>
      <c r="I23" s="5"/>
      <c r="J23" s="3"/>
      <c r="K23" s="9" t="str">
        <f t="shared" si="0"/>
        <v/>
      </c>
      <c r="Y23" s="10">
        <f t="shared" si="1"/>
        <v>0</v>
      </c>
      <c r="Z23" s="5">
        <f t="shared" si="2"/>
        <v>0</v>
      </c>
    </row>
    <row r="24" spans="4:26" x14ac:dyDescent="0.25">
      <c r="D24" s="23"/>
      <c r="E24" s="5"/>
      <c r="F24" s="5"/>
      <c r="G24" s="5"/>
      <c r="H24" s="5"/>
      <c r="I24" s="5"/>
      <c r="J24" s="3"/>
      <c r="K24" s="9" t="str">
        <f t="shared" si="0"/>
        <v/>
      </c>
      <c r="Y24" s="10">
        <f t="shared" si="1"/>
        <v>0</v>
      </c>
      <c r="Z24" s="5">
        <f t="shared" si="2"/>
        <v>0</v>
      </c>
    </row>
    <row r="25" spans="4:26" x14ac:dyDescent="0.25">
      <c r="D25" s="23"/>
      <c r="E25" s="5"/>
      <c r="F25" s="5"/>
      <c r="G25" s="5"/>
      <c r="H25" s="5"/>
      <c r="I25" s="5"/>
      <c r="J25" s="3"/>
      <c r="K25" s="9" t="str">
        <f t="shared" si="0"/>
        <v/>
      </c>
      <c r="Y25" s="10">
        <f t="shared" si="1"/>
        <v>0</v>
      </c>
      <c r="Z25" s="5">
        <f t="shared" si="2"/>
        <v>0</v>
      </c>
    </row>
    <row r="26" spans="4:26" x14ac:dyDescent="0.25">
      <c r="D26" s="23"/>
      <c r="E26" s="5"/>
      <c r="F26" s="5"/>
      <c r="G26" s="5"/>
      <c r="H26" s="5"/>
      <c r="I26" s="5"/>
      <c r="J26" s="3"/>
      <c r="K26" s="9" t="str">
        <f t="shared" si="0"/>
        <v/>
      </c>
      <c r="Y26" s="10">
        <f t="shared" si="1"/>
        <v>0</v>
      </c>
      <c r="Z26" s="5">
        <f t="shared" si="2"/>
        <v>0</v>
      </c>
    </row>
    <row r="27" spans="4:26" x14ac:dyDescent="0.25">
      <c r="D27" s="23"/>
      <c r="E27" s="5"/>
      <c r="F27" s="5"/>
      <c r="G27" s="5"/>
      <c r="H27" s="5"/>
      <c r="I27" s="5"/>
      <c r="J27" s="3"/>
      <c r="K27" s="9" t="str">
        <f t="shared" si="0"/>
        <v/>
      </c>
      <c r="Y27" s="10">
        <f t="shared" si="1"/>
        <v>0</v>
      </c>
      <c r="Z27" s="5">
        <f t="shared" si="2"/>
        <v>0</v>
      </c>
    </row>
    <row r="28" spans="4:26" x14ac:dyDescent="0.25">
      <c r="D28" s="23"/>
      <c r="E28" s="5"/>
      <c r="F28" s="5"/>
      <c r="G28" s="5"/>
      <c r="H28" s="5"/>
      <c r="I28" s="5"/>
      <c r="J28" s="3"/>
      <c r="K28" s="9" t="str">
        <f t="shared" si="0"/>
        <v/>
      </c>
      <c r="Y28" s="10">
        <f t="shared" si="1"/>
        <v>0</v>
      </c>
      <c r="Z28" s="5">
        <f t="shared" si="2"/>
        <v>0</v>
      </c>
    </row>
    <row r="29" spans="4:26" x14ac:dyDescent="0.25">
      <c r="D29" s="23"/>
      <c r="E29" s="5"/>
      <c r="F29" s="5"/>
      <c r="G29" s="5"/>
      <c r="H29" s="5"/>
      <c r="I29" s="5"/>
      <c r="J29" s="3"/>
      <c r="K29" s="9" t="str">
        <f t="shared" si="0"/>
        <v/>
      </c>
      <c r="Y29" s="10">
        <f t="shared" si="1"/>
        <v>0</v>
      </c>
      <c r="Z29" s="5">
        <f t="shared" si="2"/>
        <v>0</v>
      </c>
    </row>
    <row r="30" spans="4:26" x14ac:dyDescent="0.25">
      <c r="D30" s="23"/>
      <c r="E30" s="5"/>
      <c r="F30" s="5"/>
      <c r="G30" s="5"/>
      <c r="H30" s="5"/>
      <c r="I30" s="5"/>
      <c r="J30" s="3"/>
      <c r="K30" s="9" t="str">
        <f t="shared" si="0"/>
        <v/>
      </c>
      <c r="Y30" s="10">
        <f t="shared" si="1"/>
        <v>0</v>
      </c>
      <c r="Z30" s="5">
        <f t="shared" si="2"/>
        <v>0</v>
      </c>
    </row>
    <row r="31" spans="4:26" x14ac:dyDescent="0.25">
      <c r="D31" s="23"/>
      <c r="E31" s="5"/>
      <c r="F31" s="5"/>
      <c r="G31" s="5"/>
      <c r="H31" s="5"/>
      <c r="I31" s="5"/>
      <c r="J31" s="3"/>
      <c r="K31" s="9" t="str">
        <f t="shared" si="0"/>
        <v/>
      </c>
      <c r="Y31" s="10">
        <f t="shared" si="1"/>
        <v>0</v>
      </c>
      <c r="Z31" s="5">
        <f t="shared" si="2"/>
        <v>0</v>
      </c>
    </row>
    <row r="32" spans="4:26" x14ac:dyDescent="0.25">
      <c r="D32" s="23"/>
      <c r="E32" s="5"/>
      <c r="F32" s="5"/>
      <c r="G32" s="5"/>
      <c r="H32" s="5"/>
      <c r="I32" s="5"/>
      <c r="J32" s="3"/>
      <c r="K32" s="9" t="str">
        <f t="shared" si="0"/>
        <v/>
      </c>
      <c r="Y32" s="10">
        <f t="shared" si="1"/>
        <v>0</v>
      </c>
      <c r="Z32" s="5">
        <f t="shared" si="2"/>
        <v>0</v>
      </c>
    </row>
    <row r="33" spans="4:26" x14ac:dyDescent="0.25">
      <c r="D33" s="23"/>
      <c r="E33" s="5"/>
      <c r="F33" s="5"/>
      <c r="G33" s="5"/>
      <c r="H33" s="5"/>
      <c r="I33" s="5"/>
      <c r="J33" s="3"/>
      <c r="K33" s="9" t="str">
        <f t="shared" si="0"/>
        <v/>
      </c>
      <c r="Y33" s="10">
        <f t="shared" si="1"/>
        <v>0</v>
      </c>
      <c r="Z33" s="5">
        <f t="shared" si="2"/>
        <v>0</v>
      </c>
    </row>
    <row r="34" spans="4:26" x14ac:dyDescent="0.25">
      <c r="D34" s="23"/>
      <c r="E34" s="5"/>
      <c r="F34" s="5"/>
      <c r="G34" s="5"/>
      <c r="H34" s="5"/>
      <c r="I34" s="5"/>
      <c r="J34" s="3"/>
      <c r="K34" s="9" t="str">
        <f t="shared" si="0"/>
        <v/>
      </c>
      <c r="Y34" s="10">
        <f t="shared" si="1"/>
        <v>0</v>
      </c>
      <c r="Z34" s="5">
        <f t="shared" si="2"/>
        <v>0</v>
      </c>
    </row>
    <row r="35" spans="4:26" x14ac:dyDescent="0.25">
      <c r="D35" s="23"/>
      <c r="E35" s="5"/>
      <c r="F35" s="5"/>
      <c r="G35" s="5"/>
      <c r="H35" s="5"/>
      <c r="I35" s="5"/>
      <c r="J35" s="3"/>
      <c r="K35" s="9" t="str">
        <f t="shared" si="0"/>
        <v/>
      </c>
      <c r="Y35" s="10">
        <f t="shared" si="1"/>
        <v>0</v>
      </c>
      <c r="Z35" s="5">
        <f t="shared" si="2"/>
        <v>0</v>
      </c>
    </row>
    <row r="36" spans="4:26" x14ac:dyDescent="0.25">
      <c r="D36" s="23"/>
      <c r="E36" s="5"/>
      <c r="F36" s="5"/>
      <c r="G36" s="5"/>
      <c r="H36" s="5"/>
      <c r="I36" s="5"/>
      <c r="J36" s="3"/>
      <c r="K36" s="9" t="str">
        <f t="shared" si="0"/>
        <v/>
      </c>
      <c r="Y36" s="10">
        <f t="shared" si="1"/>
        <v>0</v>
      </c>
      <c r="Z36" s="5">
        <f t="shared" si="2"/>
        <v>0</v>
      </c>
    </row>
    <row r="37" spans="4:26" x14ac:dyDescent="0.25">
      <c r="D37" s="23"/>
      <c r="E37" s="5"/>
      <c r="F37" s="5"/>
      <c r="G37" s="5"/>
      <c r="H37" s="5"/>
      <c r="I37" s="5"/>
      <c r="J37" s="3"/>
      <c r="K37" s="9" t="str">
        <f t="shared" si="0"/>
        <v/>
      </c>
      <c r="Y37" s="10">
        <f t="shared" si="1"/>
        <v>0</v>
      </c>
      <c r="Z37" s="5">
        <f t="shared" si="2"/>
        <v>0</v>
      </c>
    </row>
    <row r="38" spans="4:26" x14ac:dyDescent="0.25">
      <c r="D38" s="23"/>
      <c r="E38" s="5"/>
      <c r="F38" s="5"/>
      <c r="G38" s="5"/>
      <c r="H38" s="5"/>
      <c r="I38" s="5"/>
      <c r="J38" s="3"/>
      <c r="K38" s="9" t="str">
        <f t="shared" si="0"/>
        <v/>
      </c>
      <c r="Y38" s="10">
        <f t="shared" si="1"/>
        <v>0</v>
      </c>
      <c r="Z38" s="5">
        <f t="shared" si="2"/>
        <v>0</v>
      </c>
    </row>
    <row r="39" spans="4:26" x14ac:dyDescent="0.25">
      <c r="D39" s="23"/>
      <c r="E39" s="5"/>
      <c r="F39" s="5"/>
      <c r="G39" s="5"/>
      <c r="H39" s="5"/>
      <c r="I39" s="5"/>
      <c r="J39" s="3"/>
      <c r="K39" s="9" t="str">
        <f t="shared" si="0"/>
        <v/>
      </c>
      <c r="Y39" s="10">
        <f t="shared" si="1"/>
        <v>0</v>
      </c>
      <c r="Z39" s="5">
        <f t="shared" si="2"/>
        <v>0</v>
      </c>
    </row>
    <row r="40" spans="4:26" x14ac:dyDescent="0.25">
      <c r="D40" s="23"/>
      <c r="E40" s="5"/>
      <c r="F40" s="5"/>
      <c r="G40" s="5"/>
      <c r="H40" s="5"/>
      <c r="I40" s="5"/>
      <c r="J40" s="3"/>
      <c r="K40" s="9" t="str">
        <f t="shared" si="0"/>
        <v/>
      </c>
      <c r="Y40" s="10">
        <f t="shared" si="1"/>
        <v>0</v>
      </c>
      <c r="Z40" s="5">
        <f t="shared" si="2"/>
        <v>0</v>
      </c>
    </row>
    <row r="41" spans="4:26" x14ac:dyDescent="0.25">
      <c r="D41" s="23"/>
      <c r="E41" s="5"/>
      <c r="F41" s="5"/>
      <c r="G41" s="5"/>
      <c r="H41" s="5"/>
      <c r="I41" s="5"/>
      <c r="J41" s="3"/>
      <c r="K41" s="9" t="str">
        <f t="shared" si="0"/>
        <v/>
      </c>
      <c r="Y41" s="10">
        <f t="shared" si="1"/>
        <v>0</v>
      </c>
      <c r="Z41" s="5">
        <f t="shared" si="2"/>
        <v>0</v>
      </c>
    </row>
    <row r="42" spans="4:26" x14ac:dyDescent="0.25">
      <c r="D42" s="23" t="s">
        <v>11</v>
      </c>
      <c r="E42" s="5">
        <f>SUM(E2:E41)</f>
        <v>100</v>
      </c>
      <c r="F42" s="5">
        <f t="shared" ref="F42:I42" si="3">SUM(F2:F41)</f>
        <v>8.66</v>
      </c>
      <c r="G42" s="5">
        <f t="shared" si="3"/>
        <v>0</v>
      </c>
      <c r="H42" s="5">
        <f t="shared" si="3"/>
        <v>0</v>
      </c>
      <c r="I42" s="5">
        <f t="shared" si="3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:B1">
    <cfRule type="expression" dxfId="31" priority="1">
      <formula>$AA$2="+"</formula>
    </cfRule>
    <cfRule type="expression" dxfId="30" priority="2">
      <formula>$M$3=$N$3</formula>
    </cfRule>
  </conditionalFormatting>
  <conditionalFormatting sqref="S3">
    <cfRule type="expression" dxfId="29" priority="3">
      <formula>$AA$2="+"</formula>
    </cfRule>
  </conditionalFormatting>
  <conditionalFormatting sqref="AA2">
    <cfRule type="expression" dxfId="28" priority="4">
      <formula>$AA$2="+"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F80C-A6D2-499E-B2A1-FB3EEC0E6D72}">
  <dimension ref="A1:AA42"/>
  <sheetViews>
    <sheetView workbookViewId="0">
      <selection activeCell="F9" sqref="F9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64</v>
      </c>
      <c r="D1" s="23" t="s">
        <v>10</v>
      </c>
      <c r="E1" s="23" t="s">
        <v>0</v>
      </c>
      <c r="F1" s="23" t="s">
        <v>6</v>
      </c>
      <c r="G1" s="23" t="s">
        <v>0</v>
      </c>
      <c r="H1" s="23" t="s">
        <v>6</v>
      </c>
      <c r="I1" s="23" t="s">
        <v>36</v>
      </c>
      <c r="J1" s="11" t="s">
        <v>10</v>
      </c>
      <c r="K1" s="11" t="s">
        <v>22</v>
      </c>
      <c r="M1" s="26" t="s">
        <v>0</v>
      </c>
      <c r="N1" s="28"/>
      <c r="O1" s="26" t="s">
        <v>6</v>
      </c>
      <c r="P1" s="28"/>
      <c r="Q1" s="31" t="s">
        <v>37</v>
      </c>
      <c r="R1" s="31" t="s">
        <v>23</v>
      </c>
      <c r="S1" s="31" t="s">
        <v>47</v>
      </c>
      <c r="Y1" s="12" t="s">
        <v>10</v>
      </c>
      <c r="Z1" s="23" t="s">
        <v>38</v>
      </c>
      <c r="AA1" s="23" t="s">
        <v>47</v>
      </c>
    </row>
    <row r="2" spans="1:27" x14ac:dyDescent="0.25">
      <c r="A2" s="8" t="s">
        <v>1</v>
      </c>
      <c r="B2" s="3" t="s">
        <v>63</v>
      </c>
      <c r="D2" s="10">
        <v>46363</v>
      </c>
      <c r="E2" s="5">
        <v>0</v>
      </c>
      <c r="F2" s="5">
        <v>2.5499999999999998</v>
      </c>
      <c r="G2" s="5"/>
      <c r="H2" s="5"/>
      <c r="I2" s="5"/>
      <c r="J2" s="10"/>
      <c r="K2" s="9" t="str">
        <f>IF(J2&gt;0,J2-D2,"")</f>
        <v/>
      </c>
      <c r="M2" s="13" t="s">
        <v>39</v>
      </c>
      <c r="N2" s="13" t="s">
        <v>23</v>
      </c>
      <c r="O2" s="23" t="s">
        <v>40</v>
      </c>
      <c r="P2" s="23" t="s">
        <v>41</v>
      </c>
      <c r="Q2" s="32"/>
      <c r="R2" s="32"/>
      <c r="S2" s="32"/>
      <c r="Y2" s="10">
        <f>B3</f>
        <v>46248</v>
      </c>
      <c r="Z2" s="3">
        <f>B11*-1</f>
        <v>-106.7</v>
      </c>
      <c r="AA2" s="3" t="str">
        <f ca="1">IF(COUNTIFS(D:D,"&lt;"&amp;TODAY(),J:J,"")&gt;0,"+","")</f>
        <v/>
      </c>
    </row>
    <row r="3" spans="1:27" x14ac:dyDescent="0.25">
      <c r="A3" s="8" t="s">
        <v>8</v>
      </c>
      <c r="B3" s="10">
        <v>46248</v>
      </c>
      <c r="D3" s="10">
        <v>46453</v>
      </c>
      <c r="E3" s="5">
        <v>0</v>
      </c>
      <c r="F3" s="3">
        <v>2.21</v>
      </c>
      <c r="G3" s="5"/>
      <c r="H3" s="5"/>
      <c r="I3" s="5"/>
      <c r="J3" s="10"/>
      <c r="K3" s="9" t="str">
        <f t="shared" ref="K3:K41" si="0">IF(J3&gt;0,J3-D3,"")</f>
        <v/>
      </c>
      <c r="M3" s="5">
        <f>B11</f>
        <v>106.7</v>
      </c>
      <c r="N3" s="5">
        <f>G42</f>
        <v>0</v>
      </c>
      <c r="O3" s="5">
        <f>F42</f>
        <v>8.91</v>
      </c>
      <c r="P3" s="5">
        <f>H42+I42</f>
        <v>0</v>
      </c>
      <c r="Q3" s="14" t="str">
        <f>IF(M3=N3,XIRR(Z2:Z41,Y2:Y41),"")</f>
        <v/>
      </c>
      <c r="R3" s="10" t="str">
        <f>IF(M3=N3,B14,"")</f>
        <v/>
      </c>
      <c r="S3" s="3" t="str">
        <f ca="1">IF(COUNTIFS(D:D,"&lt;"&amp;TODAY(),J:J,"")=0,"",TODAY()-_xlfn.MINIFS(D:D,D:D,"&lt;"&amp;TODAY(),J:J,""))</f>
        <v/>
      </c>
      <c r="Y3" s="10">
        <f>J2</f>
        <v>0</v>
      </c>
      <c r="Z3" s="5">
        <f>G2+H2+I2</f>
        <v>0</v>
      </c>
    </row>
    <row r="4" spans="1:27" x14ac:dyDescent="0.25">
      <c r="A4" s="8" t="s">
        <v>12</v>
      </c>
      <c r="B4" s="10">
        <v>46252</v>
      </c>
      <c r="D4" s="10">
        <v>46545</v>
      </c>
      <c r="E4" s="5">
        <v>0</v>
      </c>
      <c r="F4" s="3">
        <v>2.2599999999999998</v>
      </c>
      <c r="G4" s="5"/>
      <c r="H4" s="5"/>
      <c r="I4" s="5"/>
      <c r="J4" s="10"/>
      <c r="K4" s="9" t="str">
        <f t="shared" si="0"/>
        <v/>
      </c>
      <c r="Y4" s="10">
        <f t="shared" ref="Y4:Y41" si="1">J3</f>
        <v>0</v>
      </c>
      <c r="Z4" s="5">
        <f t="shared" ref="Z4:Z41" si="2">G3+H3+I3</f>
        <v>0</v>
      </c>
    </row>
    <row r="5" spans="1:27" x14ac:dyDescent="0.25">
      <c r="A5" s="8" t="s">
        <v>2</v>
      </c>
      <c r="B5" s="3" t="s">
        <v>54</v>
      </c>
      <c r="D5" s="10">
        <v>46615</v>
      </c>
      <c r="E5" s="5">
        <v>106.7</v>
      </c>
      <c r="F5" s="3">
        <v>1.89</v>
      </c>
      <c r="G5" s="5"/>
      <c r="H5" s="5"/>
      <c r="I5" s="3"/>
      <c r="J5" s="10"/>
      <c r="K5" s="9" t="str">
        <f t="shared" si="0"/>
        <v/>
      </c>
      <c r="Y5" s="10">
        <f t="shared" si="1"/>
        <v>0</v>
      </c>
      <c r="Z5" s="5">
        <f t="shared" si="2"/>
        <v>0</v>
      </c>
    </row>
    <row r="6" spans="1:27" x14ac:dyDescent="0.25">
      <c r="A6" s="8" t="s">
        <v>13</v>
      </c>
      <c r="B6" s="4">
        <v>0.61</v>
      </c>
      <c r="D6" s="10"/>
      <c r="E6" s="5"/>
      <c r="F6" s="5"/>
      <c r="G6" s="5"/>
      <c r="H6" s="5"/>
      <c r="I6" s="3"/>
      <c r="J6" s="10"/>
      <c r="K6" s="9" t="str">
        <f t="shared" si="0"/>
        <v/>
      </c>
      <c r="Y6" s="10">
        <f t="shared" si="1"/>
        <v>0</v>
      </c>
      <c r="Z6" s="5">
        <f t="shared" si="2"/>
        <v>0</v>
      </c>
    </row>
    <row r="7" spans="1:27" x14ac:dyDescent="0.25">
      <c r="A7" s="8" t="s">
        <v>14</v>
      </c>
      <c r="B7" s="4">
        <v>0.85</v>
      </c>
      <c r="D7" s="10"/>
      <c r="E7" s="5"/>
      <c r="F7" s="3"/>
      <c r="G7" s="5"/>
      <c r="H7" s="5"/>
      <c r="I7" s="3"/>
      <c r="J7" s="10"/>
      <c r="K7" s="9" t="str">
        <f t="shared" si="0"/>
        <v/>
      </c>
      <c r="Y7" s="10">
        <f t="shared" si="1"/>
        <v>0</v>
      </c>
      <c r="Z7" s="5">
        <f t="shared" si="2"/>
        <v>0</v>
      </c>
    </row>
    <row r="8" spans="1:27" x14ac:dyDescent="0.25">
      <c r="A8" s="8" t="s">
        <v>4</v>
      </c>
      <c r="B8" s="3">
        <v>12</v>
      </c>
      <c r="D8" s="10"/>
      <c r="E8" s="5"/>
      <c r="F8" s="3"/>
      <c r="G8" s="2"/>
      <c r="H8" s="2"/>
      <c r="I8" s="2"/>
      <c r="J8" s="10"/>
      <c r="K8" s="9" t="str">
        <f t="shared" si="0"/>
        <v/>
      </c>
      <c r="Y8" s="10">
        <f t="shared" si="1"/>
        <v>0</v>
      </c>
      <c r="Z8" s="5">
        <f t="shared" si="2"/>
        <v>0</v>
      </c>
    </row>
    <row r="9" spans="1:27" x14ac:dyDescent="0.25">
      <c r="A9" s="8" t="s">
        <v>5</v>
      </c>
      <c r="B9" s="3" t="s">
        <v>9</v>
      </c>
      <c r="D9" s="10"/>
      <c r="E9" s="5"/>
      <c r="F9" s="3"/>
      <c r="G9" s="2"/>
      <c r="H9" s="2"/>
      <c r="I9" s="2"/>
      <c r="J9" s="10"/>
      <c r="K9" s="9" t="str">
        <f t="shared" si="0"/>
        <v/>
      </c>
      <c r="Y9" s="10">
        <f t="shared" si="1"/>
        <v>0</v>
      </c>
      <c r="Z9" s="5">
        <f t="shared" si="2"/>
        <v>0</v>
      </c>
    </row>
    <row r="10" spans="1:27" x14ac:dyDescent="0.25">
      <c r="A10" s="8" t="s">
        <v>7</v>
      </c>
      <c r="B10" s="6">
        <v>8.4000000000000005E-2</v>
      </c>
      <c r="D10" s="10"/>
      <c r="E10" s="5"/>
      <c r="F10" s="3"/>
      <c r="G10" s="2"/>
      <c r="H10" s="2"/>
      <c r="I10" s="2"/>
      <c r="J10" s="10"/>
      <c r="K10" s="9" t="str">
        <f t="shared" si="0"/>
        <v/>
      </c>
      <c r="Y10" s="10">
        <f t="shared" si="1"/>
        <v>0</v>
      </c>
      <c r="Z10" s="5">
        <f t="shared" si="2"/>
        <v>0</v>
      </c>
    </row>
    <row r="11" spans="1:27" x14ac:dyDescent="0.25">
      <c r="A11" s="8" t="s">
        <v>60</v>
      </c>
      <c r="B11" s="5">
        <v>106.7</v>
      </c>
      <c r="D11" s="10"/>
      <c r="E11" s="5"/>
      <c r="F11" s="3"/>
      <c r="G11" s="2"/>
      <c r="H11" s="2"/>
      <c r="I11" s="2"/>
      <c r="J11" s="10"/>
      <c r="K11" s="9" t="str">
        <f t="shared" si="0"/>
        <v/>
      </c>
      <c r="Y11" s="10">
        <f t="shared" si="1"/>
        <v>0</v>
      </c>
      <c r="Z11" s="5">
        <f t="shared" si="2"/>
        <v>0</v>
      </c>
    </row>
    <row r="12" spans="1:27" x14ac:dyDescent="0.25">
      <c r="A12" s="8" t="s">
        <v>44</v>
      </c>
      <c r="B12" s="25">
        <v>46615</v>
      </c>
      <c r="D12" s="10"/>
      <c r="E12" s="5"/>
      <c r="F12" s="5"/>
      <c r="G12" s="5"/>
      <c r="H12" s="5"/>
      <c r="I12" s="5"/>
      <c r="J12" s="10"/>
      <c r="K12" s="9" t="str">
        <f t="shared" si="0"/>
        <v/>
      </c>
      <c r="Y12" s="10">
        <f t="shared" si="1"/>
        <v>0</v>
      </c>
      <c r="Z12" s="5">
        <f t="shared" si="2"/>
        <v>0</v>
      </c>
    </row>
    <row r="13" spans="1:27" x14ac:dyDescent="0.25">
      <c r="A13" s="8" t="s">
        <v>48</v>
      </c>
      <c r="B13" s="9">
        <f ca="1">IF(B11&lt;&gt;N3,(TODAY()-B12)*-1,"")</f>
        <v>308</v>
      </c>
      <c r="D13" s="10"/>
      <c r="E13" s="5"/>
      <c r="F13" s="5"/>
      <c r="G13" s="5"/>
      <c r="H13" s="5"/>
      <c r="I13" s="5"/>
      <c r="J13" s="15"/>
      <c r="K13" s="9" t="str">
        <f t="shared" si="0"/>
        <v/>
      </c>
      <c r="Y13" s="10">
        <f t="shared" si="1"/>
        <v>0</v>
      </c>
      <c r="Z13" s="5">
        <f t="shared" si="2"/>
        <v>0</v>
      </c>
    </row>
    <row r="14" spans="1:27" x14ac:dyDescent="0.25">
      <c r="A14" s="8" t="s">
        <v>23</v>
      </c>
      <c r="B14" s="10"/>
      <c r="D14" s="23"/>
      <c r="E14" s="5"/>
      <c r="F14" s="5"/>
      <c r="G14" s="5"/>
      <c r="H14" s="5"/>
      <c r="I14" s="5"/>
      <c r="J14" s="3"/>
      <c r="K14" s="9" t="str">
        <f t="shared" si="0"/>
        <v/>
      </c>
      <c r="Y14" s="10">
        <f t="shared" si="1"/>
        <v>0</v>
      </c>
      <c r="Z14" s="5">
        <f t="shared" si="2"/>
        <v>0</v>
      </c>
    </row>
    <row r="15" spans="1:27" x14ac:dyDescent="0.25">
      <c r="A15" s="8" t="s">
        <v>61</v>
      </c>
      <c r="B15" s="3" t="str">
        <f>IF(M3=N3,B14-B12,"")</f>
        <v/>
      </c>
      <c r="D15" s="23"/>
      <c r="E15" s="5"/>
      <c r="F15" s="5"/>
      <c r="G15" s="5"/>
      <c r="H15" s="5"/>
      <c r="I15" s="5"/>
      <c r="J15" s="3"/>
      <c r="K15" s="9" t="str">
        <f t="shared" si="0"/>
        <v/>
      </c>
      <c r="Y15" s="10">
        <f t="shared" si="1"/>
        <v>0</v>
      </c>
      <c r="Z15" s="5">
        <f t="shared" si="2"/>
        <v>0</v>
      </c>
    </row>
    <row r="16" spans="1:27" x14ac:dyDescent="0.25">
      <c r="D16" s="23"/>
      <c r="E16" s="5"/>
      <c r="F16" s="5"/>
      <c r="G16" s="5"/>
      <c r="H16" s="5"/>
      <c r="I16" s="5"/>
      <c r="J16" s="3"/>
      <c r="K16" s="9" t="str">
        <f t="shared" si="0"/>
        <v/>
      </c>
      <c r="Y16" s="10">
        <f t="shared" si="1"/>
        <v>0</v>
      </c>
      <c r="Z16" s="5">
        <f t="shared" si="2"/>
        <v>0</v>
      </c>
    </row>
    <row r="17" spans="4:26" x14ac:dyDescent="0.25">
      <c r="D17" s="23"/>
      <c r="E17" s="5"/>
      <c r="F17" s="5"/>
      <c r="G17" s="5"/>
      <c r="H17" s="5"/>
      <c r="I17" s="5"/>
      <c r="J17" s="3"/>
      <c r="K17" s="9" t="str">
        <f t="shared" si="0"/>
        <v/>
      </c>
      <c r="Y17" s="10">
        <f t="shared" si="1"/>
        <v>0</v>
      </c>
      <c r="Z17" s="5">
        <f t="shared" si="2"/>
        <v>0</v>
      </c>
    </row>
    <row r="18" spans="4:26" x14ac:dyDescent="0.25">
      <c r="D18" s="23"/>
      <c r="E18" s="5"/>
      <c r="F18" s="5"/>
      <c r="G18" s="5"/>
      <c r="H18" s="5"/>
      <c r="I18" s="5"/>
      <c r="J18" s="3"/>
      <c r="K18" s="9" t="str">
        <f t="shared" si="0"/>
        <v/>
      </c>
      <c r="Y18" s="10">
        <f t="shared" si="1"/>
        <v>0</v>
      </c>
      <c r="Z18" s="5">
        <f t="shared" si="2"/>
        <v>0</v>
      </c>
    </row>
    <row r="19" spans="4:26" x14ac:dyDescent="0.25">
      <c r="D19" s="23"/>
      <c r="E19" s="5"/>
      <c r="F19" s="5"/>
      <c r="G19" s="5"/>
      <c r="H19" s="5"/>
      <c r="I19" s="5"/>
      <c r="J19" s="3"/>
      <c r="K19" s="9" t="str">
        <f t="shared" si="0"/>
        <v/>
      </c>
      <c r="Y19" s="10">
        <f t="shared" si="1"/>
        <v>0</v>
      </c>
      <c r="Z19" s="5">
        <f t="shared" si="2"/>
        <v>0</v>
      </c>
    </row>
    <row r="20" spans="4:26" x14ac:dyDescent="0.25">
      <c r="D20" s="23"/>
      <c r="E20" s="5"/>
      <c r="F20" s="5"/>
      <c r="G20" s="5"/>
      <c r="H20" s="5"/>
      <c r="I20" s="5"/>
      <c r="J20" s="3"/>
      <c r="K20" s="9" t="str">
        <f t="shared" si="0"/>
        <v/>
      </c>
      <c r="Y20" s="10">
        <f t="shared" si="1"/>
        <v>0</v>
      </c>
      <c r="Z20" s="5">
        <f t="shared" si="2"/>
        <v>0</v>
      </c>
    </row>
    <row r="21" spans="4:26" x14ac:dyDescent="0.25">
      <c r="D21" s="23"/>
      <c r="E21" s="5"/>
      <c r="F21" s="5"/>
      <c r="G21" s="5"/>
      <c r="H21" s="5"/>
      <c r="I21" s="5"/>
      <c r="J21" s="3"/>
      <c r="K21" s="9" t="str">
        <f t="shared" si="0"/>
        <v/>
      </c>
      <c r="Y21" s="10">
        <f t="shared" si="1"/>
        <v>0</v>
      </c>
      <c r="Z21" s="5">
        <f t="shared" si="2"/>
        <v>0</v>
      </c>
    </row>
    <row r="22" spans="4:26" x14ac:dyDescent="0.25">
      <c r="D22" s="23"/>
      <c r="E22" s="5"/>
      <c r="F22" s="5"/>
      <c r="G22" s="5"/>
      <c r="H22" s="5"/>
      <c r="I22" s="5"/>
      <c r="J22" s="3"/>
      <c r="K22" s="9" t="str">
        <f t="shared" si="0"/>
        <v/>
      </c>
      <c r="Y22" s="10">
        <f t="shared" si="1"/>
        <v>0</v>
      </c>
      <c r="Z22" s="5">
        <f t="shared" si="2"/>
        <v>0</v>
      </c>
    </row>
    <row r="23" spans="4:26" x14ac:dyDescent="0.25">
      <c r="D23" s="23"/>
      <c r="E23" s="5"/>
      <c r="F23" s="5"/>
      <c r="G23" s="5"/>
      <c r="H23" s="5"/>
      <c r="I23" s="5"/>
      <c r="J23" s="3"/>
      <c r="K23" s="9" t="str">
        <f t="shared" si="0"/>
        <v/>
      </c>
      <c r="Y23" s="10">
        <f t="shared" si="1"/>
        <v>0</v>
      </c>
      <c r="Z23" s="5">
        <f t="shared" si="2"/>
        <v>0</v>
      </c>
    </row>
    <row r="24" spans="4:26" x14ac:dyDescent="0.25">
      <c r="D24" s="23"/>
      <c r="E24" s="5"/>
      <c r="F24" s="5"/>
      <c r="G24" s="5"/>
      <c r="H24" s="5"/>
      <c r="I24" s="5"/>
      <c r="J24" s="3"/>
      <c r="K24" s="9" t="str">
        <f t="shared" si="0"/>
        <v/>
      </c>
      <c r="Y24" s="10">
        <f t="shared" si="1"/>
        <v>0</v>
      </c>
      <c r="Z24" s="5">
        <f t="shared" si="2"/>
        <v>0</v>
      </c>
    </row>
    <row r="25" spans="4:26" x14ac:dyDescent="0.25">
      <c r="D25" s="23"/>
      <c r="E25" s="5"/>
      <c r="F25" s="5"/>
      <c r="G25" s="5"/>
      <c r="H25" s="5"/>
      <c r="I25" s="5"/>
      <c r="J25" s="3"/>
      <c r="K25" s="9" t="str">
        <f t="shared" si="0"/>
        <v/>
      </c>
      <c r="Y25" s="10">
        <f t="shared" si="1"/>
        <v>0</v>
      </c>
      <c r="Z25" s="5">
        <f t="shared" si="2"/>
        <v>0</v>
      </c>
    </row>
    <row r="26" spans="4:26" x14ac:dyDescent="0.25">
      <c r="D26" s="23"/>
      <c r="E26" s="5"/>
      <c r="F26" s="5"/>
      <c r="G26" s="5"/>
      <c r="H26" s="5"/>
      <c r="I26" s="5"/>
      <c r="J26" s="3"/>
      <c r="K26" s="9" t="str">
        <f t="shared" si="0"/>
        <v/>
      </c>
      <c r="Y26" s="10">
        <f t="shared" si="1"/>
        <v>0</v>
      </c>
      <c r="Z26" s="5">
        <f t="shared" si="2"/>
        <v>0</v>
      </c>
    </row>
    <row r="27" spans="4:26" x14ac:dyDescent="0.25">
      <c r="D27" s="23"/>
      <c r="E27" s="5"/>
      <c r="F27" s="5"/>
      <c r="G27" s="5"/>
      <c r="H27" s="5"/>
      <c r="I27" s="5"/>
      <c r="J27" s="3"/>
      <c r="K27" s="9" t="str">
        <f t="shared" si="0"/>
        <v/>
      </c>
      <c r="Y27" s="10">
        <f t="shared" si="1"/>
        <v>0</v>
      </c>
      <c r="Z27" s="5">
        <f t="shared" si="2"/>
        <v>0</v>
      </c>
    </row>
    <row r="28" spans="4:26" x14ac:dyDescent="0.25">
      <c r="D28" s="23"/>
      <c r="E28" s="5"/>
      <c r="F28" s="5"/>
      <c r="G28" s="5"/>
      <c r="H28" s="5"/>
      <c r="I28" s="5"/>
      <c r="J28" s="3"/>
      <c r="K28" s="9" t="str">
        <f t="shared" si="0"/>
        <v/>
      </c>
      <c r="Y28" s="10">
        <f t="shared" si="1"/>
        <v>0</v>
      </c>
      <c r="Z28" s="5">
        <f t="shared" si="2"/>
        <v>0</v>
      </c>
    </row>
    <row r="29" spans="4:26" x14ac:dyDescent="0.25">
      <c r="D29" s="23"/>
      <c r="E29" s="5"/>
      <c r="F29" s="5"/>
      <c r="G29" s="5"/>
      <c r="H29" s="5"/>
      <c r="I29" s="5"/>
      <c r="J29" s="3"/>
      <c r="K29" s="9" t="str">
        <f t="shared" si="0"/>
        <v/>
      </c>
      <c r="Y29" s="10">
        <f t="shared" si="1"/>
        <v>0</v>
      </c>
      <c r="Z29" s="5">
        <f t="shared" si="2"/>
        <v>0</v>
      </c>
    </row>
    <row r="30" spans="4:26" x14ac:dyDescent="0.25">
      <c r="D30" s="23"/>
      <c r="E30" s="5"/>
      <c r="F30" s="5"/>
      <c r="G30" s="5"/>
      <c r="H30" s="5"/>
      <c r="I30" s="5"/>
      <c r="J30" s="3"/>
      <c r="K30" s="9" t="str">
        <f t="shared" si="0"/>
        <v/>
      </c>
      <c r="Y30" s="10">
        <f t="shared" si="1"/>
        <v>0</v>
      </c>
      <c r="Z30" s="5">
        <f t="shared" si="2"/>
        <v>0</v>
      </c>
    </row>
    <row r="31" spans="4:26" x14ac:dyDescent="0.25">
      <c r="D31" s="23"/>
      <c r="E31" s="5"/>
      <c r="F31" s="5"/>
      <c r="G31" s="5"/>
      <c r="H31" s="5"/>
      <c r="I31" s="5"/>
      <c r="J31" s="3"/>
      <c r="K31" s="9" t="str">
        <f t="shared" si="0"/>
        <v/>
      </c>
      <c r="Y31" s="10">
        <f t="shared" si="1"/>
        <v>0</v>
      </c>
      <c r="Z31" s="5">
        <f t="shared" si="2"/>
        <v>0</v>
      </c>
    </row>
    <row r="32" spans="4:26" x14ac:dyDescent="0.25">
      <c r="D32" s="23"/>
      <c r="E32" s="5"/>
      <c r="F32" s="5"/>
      <c r="G32" s="5"/>
      <c r="H32" s="5"/>
      <c r="I32" s="5"/>
      <c r="J32" s="3"/>
      <c r="K32" s="9" t="str">
        <f t="shared" si="0"/>
        <v/>
      </c>
      <c r="Y32" s="10">
        <f t="shared" si="1"/>
        <v>0</v>
      </c>
      <c r="Z32" s="5">
        <f t="shared" si="2"/>
        <v>0</v>
      </c>
    </row>
    <row r="33" spans="4:26" x14ac:dyDescent="0.25">
      <c r="D33" s="23"/>
      <c r="E33" s="5"/>
      <c r="F33" s="5"/>
      <c r="G33" s="5"/>
      <c r="H33" s="5"/>
      <c r="I33" s="5"/>
      <c r="J33" s="3"/>
      <c r="K33" s="9" t="str">
        <f t="shared" si="0"/>
        <v/>
      </c>
      <c r="Y33" s="10">
        <f t="shared" si="1"/>
        <v>0</v>
      </c>
      <c r="Z33" s="5">
        <f t="shared" si="2"/>
        <v>0</v>
      </c>
    </row>
    <row r="34" spans="4:26" x14ac:dyDescent="0.25">
      <c r="D34" s="23"/>
      <c r="E34" s="5"/>
      <c r="F34" s="5"/>
      <c r="G34" s="5"/>
      <c r="H34" s="5"/>
      <c r="I34" s="5"/>
      <c r="J34" s="3"/>
      <c r="K34" s="9" t="str">
        <f t="shared" si="0"/>
        <v/>
      </c>
      <c r="Y34" s="10">
        <f t="shared" si="1"/>
        <v>0</v>
      </c>
      <c r="Z34" s="5">
        <f t="shared" si="2"/>
        <v>0</v>
      </c>
    </row>
    <row r="35" spans="4:26" x14ac:dyDescent="0.25">
      <c r="D35" s="23"/>
      <c r="E35" s="5"/>
      <c r="F35" s="5"/>
      <c r="G35" s="5"/>
      <c r="H35" s="5"/>
      <c r="I35" s="5"/>
      <c r="J35" s="3"/>
      <c r="K35" s="9" t="str">
        <f t="shared" si="0"/>
        <v/>
      </c>
      <c r="Y35" s="10">
        <f t="shared" si="1"/>
        <v>0</v>
      </c>
      <c r="Z35" s="5">
        <f t="shared" si="2"/>
        <v>0</v>
      </c>
    </row>
    <row r="36" spans="4:26" x14ac:dyDescent="0.25">
      <c r="D36" s="23"/>
      <c r="E36" s="5"/>
      <c r="F36" s="5"/>
      <c r="G36" s="5"/>
      <c r="H36" s="5"/>
      <c r="I36" s="5"/>
      <c r="J36" s="3"/>
      <c r="K36" s="9" t="str">
        <f t="shared" si="0"/>
        <v/>
      </c>
      <c r="Y36" s="10">
        <f t="shared" si="1"/>
        <v>0</v>
      </c>
      <c r="Z36" s="5">
        <f t="shared" si="2"/>
        <v>0</v>
      </c>
    </row>
    <row r="37" spans="4:26" x14ac:dyDescent="0.25">
      <c r="D37" s="23"/>
      <c r="E37" s="5"/>
      <c r="F37" s="5"/>
      <c r="G37" s="5"/>
      <c r="H37" s="5"/>
      <c r="I37" s="5"/>
      <c r="J37" s="3"/>
      <c r="K37" s="9" t="str">
        <f t="shared" si="0"/>
        <v/>
      </c>
      <c r="Y37" s="10">
        <f t="shared" si="1"/>
        <v>0</v>
      </c>
      <c r="Z37" s="5">
        <f t="shared" si="2"/>
        <v>0</v>
      </c>
    </row>
    <row r="38" spans="4:26" x14ac:dyDescent="0.25">
      <c r="D38" s="23"/>
      <c r="E38" s="5"/>
      <c r="F38" s="5"/>
      <c r="G38" s="5"/>
      <c r="H38" s="5"/>
      <c r="I38" s="5"/>
      <c r="J38" s="3"/>
      <c r="K38" s="9" t="str">
        <f t="shared" si="0"/>
        <v/>
      </c>
      <c r="Y38" s="10">
        <f t="shared" si="1"/>
        <v>0</v>
      </c>
      <c r="Z38" s="5">
        <f t="shared" si="2"/>
        <v>0</v>
      </c>
    </row>
    <row r="39" spans="4:26" x14ac:dyDescent="0.25">
      <c r="D39" s="23"/>
      <c r="E39" s="5"/>
      <c r="F39" s="5"/>
      <c r="G39" s="5"/>
      <c r="H39" s="5"/>
      <c r="I39" s="5"/>
      <c r="J39" s="3"/>
      <c r="K39" s="9" t="str">
        <f t="shared" si="0"/>
        <v/>
      </c>
      <c r="Y39" s="10">
        <f t="shared" si="1"/>
        <v>0</v>
      </c>
      <c r="Z39" s="5">
        <f t="shared" si="2"/>
        <v>0</v>
      </c>
    </row>
    <row r="40" spans="4:26" x14ac:dyDescent="0.25">
      <c r="D40" s="23"/>
      <c r="E40" s="5"/>
      <c r="F40" s="5"/>
      <c r="G40" s="5"/>
      <c r="H40" s="5"/>
      <c r="I40" s="5"/>
      <c r="J40" s="3"/>
      <c r="K40" s="9" t="str">
        <f t="shared" si="0"/>
        <v/>
      </c>
      <c r="Y40" s="10">
        <f t="shared" si="1"/>
        <v>0</v>
      </c>
      <c r="Z40" s="5">
        <f t="shared" si="2"/>
        <v>0</v>
      </c>
    </row>
    <row r="41" spans="4:26" x14ac:dyDescent="0.25">
      <c r="D41" s="23"/>
      <c r="E41" s="5"/>
      <c r="F41" s="5"/>
      <c r="G41" s="5"/>
      <c r="H41" s="5"/>
      <c r="I41" s="5"/>
      <c r="J41" s="3"/>
      <c r="K41" s="9" t="str">
        <f t="shared" si="0"/>
        <v/>
      </c>
      <c r="Y41" s="10">
        <f t="shared" si="1"/>
        <v>0</v>
      </c>
      <c r="Z41" s="5">
        <f t="shared" si="2"/>
        <v>0</v>
      </c>
    </row>
    <row r="42" spans="4:26" x14ac:dyDescent="0.25">
      <c r="D42" s="23" t="s">
        <v>11</v>
      </c>
      <c r="E42" s="5">
        <f>SUM(E2:E41)</f>
        <v>106.7</v>
      </c>
      <c r="F42" s="5">
        <f t="shared" ref="F42:I42" si="3">SUM(F2:F41)</f>
        <v>8.91</v>
      </c>
      <c r="G42" s="5">
        <f t="shared" si="3"/>
        <v>0</v>
      </c>
      <c r="H42" s="5">
        <f t="shared" si="3"/>
        <v>0</v>
      </c>
      <c r="I42" s="5">
        <f t="shared" si="3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:B1">
    <cfRule type="expression" dxfId="27" priority="1">
      <formula>$AA$2="+"</formula>
    </cfRule>
    <cfRule type="expression" dxfId="26" priority="2">
      <formula>$M$3=$N$3</formula>
    </cfRule>
  </conditionalFormatting>
  <conditionalFormatting sqref="S3">
    <cfRule type="expression" dxfId="25" priority="3">
      <formula>$AA$2="+"</formula>
    </cfRule>
  </conditionalFormatting>
  <conditionalFormatting sqref="AA2">
    <cfRule type="expression" dxfId="24" priority="4">
      <formula>$AA$2="+"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6BFD8-B0E5-40D5-BEAF-A5929613C1CA}">
  <dimension ref="A1:AA42"/>
  <sheetViews>
    <sheetView workbookViewId="0">
      <selection activeCell="K2" sqref="K2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56</v>
      </c>
      <c r="D1" s="7" t="s">
        <v>10</v>
      </c>
      <c r="E1" s="7" t="s">
        <v>0</v>
      </c>
      <c r="F1" s="7" t="s">
        <v>6</v>
      </c>
      <c r="G1" s="7" t="s">
        <v>0</v>
      </c>
      <c r="H1" s="7" t="s">
        <v>6</v>
      </c>
      <c r="I1" s="7" t="s">
        <v>36</v>
      </c>
      <c r="J1" s="11" t="s">
        <v>10</v>
      </c>
      <c r="K1" s="11" t="s">
        <v>22</v>
      </c>
      <c r="M1" s="26" t="s">
        <v>0</v>
      </c>
      <c r="N1" s="28"/>
      <c r="O1" s="26" t="s">
        <v>6</v>
      </c>
      <c r="P1" s="28"/>
      <c r="Q1" s="31" t="s">
        <v>37</v>
      </c>
      <c r="R1" s="31" t="s">
        <v>23</v>
      </c>
      <c r="S1" s="31" t="s">
        <v>47</v>
      </c>
      <c r="Y1" s="12" t="s">
        <v>10</v>
      </c>
      <c r="Z1" s="7" t="s">
        <v>38</v>
      </c>
      <c r="AA1" s="7" t="s">
        <v>47</v>
      </c>
    </row>
    <row r="2" spans="1:27" x14ac:dyDescent="0.25">
      <c r="A2" s="8" t="s">
        <v>1</v>
      </c>
      <c r="B2" s="3" t="s">
        <v>55</v>
      </c>
      <c r="D2" s="10">
        <v>46302</v>
      </c>
      <c r="E2" s="5">
        <v>0</v>
      </c>
      <c r="F2" s="5">
        <v>2.48</v>
      </c>
      <c r="G2" s="5">
        <v>0</v>
      </c>
      <c r="H2" s="5">
        <v>2.48</v>
      </c>
      <c r="I2" s="5">
        <v>0</v>
      </c>
      <c r="J2" s="10">
        <v>46295</v>
      </c>
      <c r="K2" s="9">
        <f>IF(J2&gt;0,J2-D2,"")</f>
        <v>-7</v>
      </c>
      <c r="M2" s="13" t="s">
        <v>39</v>
      </c>
      <c r="N2" s="13" t="s">
        <v>23</v>
      </c>
      <c r="O2" s="7" t="s">
        <v>40</v>
      </c>
      <c r="P2" s="7" t="s">
        <v>41</v>
      </c>
      <c r="Q2" s="32"/>
      <c r="R2" s="32"/>
      <c r="S2" s="32"/>
      <c r="Y2" s="10">
        <f>B3</f>
        <v>46191</v>
      </c>
      <c r="Z2" s="3">
        <f>B11*-1</f>
        <v>-109</v>
      </c>
      <c r="AA2" s="3" t="str">
        <f ca="1">IF(COUNTIFS(D:D,"&lt;"&amp;TODAY(),J:J,"")&gt;0,"+","")</f>
        <v/>
      </c>
    </row>
    <row r="3" spans="1:27" x14ac:dyDescent="0.25">
      <c r="A3" s="8" t="s">
        <v>8</v>
      </c>
      <c r="B3" s="10">
        <v>46191</v>
      </c>
      <c r="D3" s="10">
        <v>46394</v>
      </c>
      <c r="E3" s="5">
        <v>0</v>
      </c>
      <c r="F3" s="3">
        <v>2.31</v>
      </c>
      <c r="G3" s="5"/>
      <c r="H3" s="5"/>
      <c r="I3" s="5"/>
      <c r="J3" s="10"/>
      <c r="K3" s="9" t="str">
        <f t="shared" ref="K3:K41" si="0">IF(J3&gt;0,J3-D3,"")</f>
        <v/>
      </c>
      <c r="M3" s="5">
        <f>B11</f>
        <v>109</v>
      </c>
      <c r="N3" s="5">
        <f>G42</f>
        <v>0</v>
      </c>
      <c r="O3" s="5">
        <f>F42</f>
        <v>9.11</v>
      </c>
      <c r="P3" s="5">
        <f>H42+I42</f>
        <v>2.48</v>
      </c>
      <c r="Q3" s="14" t="str">
        <f>IF(M3=N3,XIRR(Z2:Z41,Y2:Y41),"")</f>
        <v/>
      </c>
      <c r="R3" s="10" t="str">
        <f>IF(M3=N3,B14,"")</f>
        <v/>
      </c>
      <c r="S3" s="3" t="str">
        <f ca="1">IF(COUNTIFS(D:D,"&lt;"&amp;TODAY(),J:J,"")=0,"",TODAY()-_xlfn.MINIFS(D:D,D:D,"&lt;"&amp;TODAY(),J:J,""))</f>
        <v/>
      </c>
      <c r="Y3" s="10">
        <f>J2</f>
        <v>46295</v>
      </c>
      <c r="Z3" s="5">
        <f>G2+H2+I2</f>
        <v>2.48</v>
      </c>
    </row>
    <row r="4" spans="1:27" x14ac:dyDescent="0.25">
      <c r="A4" s="8" t="s">
        <v>12</v>
      </c>
      <c r="B4" s="10">
        <v>46196</v>
      </c>
      <c r="D4" s="10">
        <v>46484</v>
      </c>
      <c r="E4" s="5">
        <v>0</v>
      </c>
      <c r="F4" s="3">
        <v>2.2599999999999998</v>
      </c>
      <c r="G4" s="5"/>
      <c r="H4" s="5"/>
      <c r="I4" s="5"/>
      <c r="J4" s="10"/>
      <c r="K4" s="9" t="str">
        <f t="shared" si="0"/>
        <v/>
      </c>
      <c r="Y4" s="10">
        <f t="shared" ref="Y4:Y41" si="1">J3</f>
        <v>0</v>
      </c>
      <c r="Z4" s="5">
        <f t="shared" ref="Z4:Z41" si="2">G3+H3+I3</f>
        <v>0</v>
      </c>
    </row>
    <row r="5" spans="1:27" x14ac:dyDescent="0.25">
      <c r="A5" s="8" t="s">
        <v>2</v>
      </c>
      <c r="B5" s="3" t="s">
        <v>3</v>
      </c>
      <c r="D5" s="10">
        <v>46559</v>
      </c>
      <c r="E5" s="5">
        <v>109</v>
      </c>
      <c r="F5" s="3">
        <v>2.06</v>
      </c>
      <c r="G5" s="5"/>
      <c r="H5" s="5"/>
      <c r="I5" s="3"/>
      <c r="J5" s="10"/>
      <c r="K5" s="9" t="str">
        <f t="shared" si="0"/>
        <v/>
      </c>
      <c r="Y5" s="10">
        <f t="shared" si="1"/>
        <v>0</v>
      </c>
      <c r="Z5" s="5">
        <f t="shared" si="2"/>
        <v>0</v>
      </c>
    </row>
    <row r="6" spans="1:27" x14ac:dyDescent="0.25">
      <c r="A6" s="8" t="s">
        <v>13</v>
      </c>
      <c r="B6" s="4">
        <v>0.6</v>
      </c>
      <c r="D6" s="10"/>
      <c r="E6" s="5"/>
      <c r="F6" s="5"/>
      <c r="G6" s="5"/>
      <c r="H6" s="5"/>
      <c r="I6" s="3"/>
      <c r="J6" s="10"/>
      <c r="K6" s="9" t="str">
        <f t="shared" si="0"/>
        <v/>
      </c>
      <c r="Y6" s="10">
        <f t="shared" si="1"/>
        <v>0</v>
      </c>
      <c r="Z6" s="5">
        <f t="shared" si="2"/>
        <v>0</v>
      </c>
    </row>
    <row r="7" spans="1:27" x14ac:dyDescent="0.25">
      <c r="A7" s="8" t="s">
        <v>14</v>
      </c>
      <c r="B7" s="4">
        <v>0.75</v>
      </c>
      <c r="D7" s="10"/>
      <c r="E7" s="5"/>
      <c r="F7" s="3"/>
      <c r="G7" s="5"/>
      <c r="H7" s="5"/>
      <c r="I7" s="3"/>
      <c r="J7" s="10"/>
      <c r="K7" s="9" t="str">
        <f t="shared" si="0"/>
        <v/>
      </c>
      <c r="Y7" s="10">
        <f t="shared" si="1"/>
        <v>0</v>
      </c>
      <c r="Z7" s="5">
        <f t="shared" si="2"/>
        <v>0</v>
      </c>
    </row>
    <row r="8" spans="1:27" x14ac:dyDescent="0.25">
      <c r="A8" s="8" t="s">
        <v>4</v>
      </c>
      <c r="B8" s="3">
        <v>12</v>
      </c>
      <c r="D8" s="10"/>
      <c r="E8" s="5"/>
      <c r="F8" s="3"/>
      <c r="G8" s="2"/>
      <c r="H8" s="2"/>
      <c r="I8" s="2"/>
      <c r="J8" s="10"/>
      <c r="K8" s="9" t="str">
        <f t="shared" si="0"/>
        <v/>
      </c>
      <c r="Y8" s="10">
        <f t="shared" si="1"/>
        <v>0</v>
      </c>
      <c r="Z8" s="5">
        <f t="shared" si="2"/>
        <v>0</v>
      </c>
    </row>
    <row r="9" spans="1:27" x14ac:dyDescent="0.25">
      <c r="A9" s="8" t="s">
        <v>5</v>
      </c>
      <c r="B9" s="3" t="s">
        <v>9</v>
      </c>
      <c r="D9" s="10"/>
      <c r="E9" s="5"/>
      <c r="F9" s="3"/>
      <c r="G9" s="2"/>
      <c r="H9" s="2"/>
      <c r="I9" s="2"/>
      <c r="J9" s="10"/>
      <c r="K9" s="9" t="str">
        <f t="shared" si="0"/>
        <v/>
      </c>
      <c r="Y9" s="10">
        <f t="shared" si="1"/>
        <v>0</v>
      </c>
      <c r="Z9" s="5">
        <f t="shared" si="2"/>
        <v>0</v>
      </c>
    </row>
    <row r="10" spans="1:27" x14ac:dyDescent="0.25">
      <c r="A10" s="8" t="s">
        <v>7</v>
      </c>
      <c r="B10" s="6">
        <v>8.4000000000000005E-2</v>
      </c>
      <c r="D10" s="10"/>
      <c r="E10" s="5"/>
      <c r="F10" s="3"/>
      <c r="G10" s="2"/>
      <c r="H10" s="2"/>
      <c r="I10" s="2"/>
      <c r="J10" s="10"/>
      <c r="K10" s="9" t="str">
        <f t="shared" si="0"/>
        <v/>
      </c>
      <c r="Y10" s="10">
        <f t="shared" si="1"/>
        <v>0</v>
      </c>
      <c r="Z10" s="5">
        <f t="shared" si="2"/>
        <v>0</v>
      </c>
    </row>
    <row r="11" spans="1:27" x14ac:dyDescent="0.25">
      <c r="A11" s="8" t="s">
        <v>60</v>
      </c>
      <c r="B11" s="5">
        <v>109</v>
      </c>
      <c r="D11" s="10"/>
      <c r="E11" s="5"/>
      <c r="F11" s="3"/>
      <c r="G11" s="2"/>
      <c r="H11" s="2"/>
      <c r="I11" s="2"/>
      <c r="J11" s="10"/>
      <c r="K11" s="9" t="str">
        <f t="shared" si="0"/>
        <v/>
      </c>
      <c r="Y11" s="10">
        <f t="shared" si="1"/>
        <v>0</v>
      </c>
      <c r="Z11" s="5">
        <f t="shared" si="2"/>
        <v>0</v>
      </c>
    </row>
    <row r="12" spans="1:27" x14ac:dyDescent="0.25">
      <c r="A12" s="8" t="s">
        <v>44</v>
      </c>
      <c r="B12" s="10">
        <v>46559</v>
      </c>
      <c r="D12" s="10"/>
      <c r="E12" s="5"/>
      <c r="F12" s="5"/>
      <c r="G12" s="5"/>
      <c r="H12" s="5"/>
      <c r="I12" s="5"/>
      <c r="J12" s="10"/>
      <c r="K12" s="9" t="str">
        <f t="shared" si="0"/>
        <v/>
      </c>
      <c r="Y12" s="10">
        <f t="shared" si="1"/>
        <v>0</v>
      </c>
      <c r="Z12" s="5">
        <f t="shared" si="2"/>
        <v>0</v>
      </c>
    </row>
    <row r="13" spans="1:27" x14ac:dyDescent="0.25">
      <c r="A13" s="8" t="s">
        <v>48</v>
      </c>
      <c r="B13" s="9">
        <f ca="1">IF(B11&lt;&gt;N3,(TODAY()-B12)*-1,"")</f>
        <v>252</v>
      </c>
      <c r="D13" s="10"/>
      <c r="E13" s="5"/>
      <c r="F13" s="5"/>
      <c r="G13" s="5"/>
      <c r="H13" s="5"/>
      <c r="I13" s="5"/>
      <c r="J13" s="15"/>
      <c r="K13" s="9" t="str">
        <f t="shared" si="0"/>
        <v/>
      </c>
      <c r="Y13" s="10">
        <f t="shared" si="1"/>
        <v>0</v>
      </c>
      <c r="Z13" s="5">
        <f t="shared" si="2"/>
        <v>0</v>
      </c>
    </row>
    <row r="14" spans="1:27" x14ac:dyDescent="0.25">
      <c r="A14" s="8" t="s">
        <v>23</v>
      </c>
      <c r="B14" s="10"/>
      <c r="D14" s="7"/>
      <c r="E14" s="5"/>
      <c r="F14" s="5"/>
      <c r="G14" s="5"/>
      <c r="H14" s="5"/>
      <c r="I14" s="5"/>
      <c r="J14" s="3"/>
      <c r="K14" s="9" t="str">
        <f t="shared" si="0"/>
        <v/>
      </c>
      <c r="Y14" s="10">
        <f t="shared" si="1"/>
        <v>0</v>
      </c>
      <c r="Z14" s="5">
        <f t="shared" si="2"/>
        <v>0</v>
      </c>
    </row>
    <row r="15" spans="1:27" x14ac:dyDescent="0.25">
      <c r="A15" s="8" t="s">
        <v>61</v>
      </c>
      <c r="B15" s="3" t="str">
        <f>IF(M3=N3,B14-B12,"")</f>
        <v/>
      </c>
      <c r="D15" s="7"/>
      <c r="E15" s="5"/>
      <c r="F15" s="5"/>
      <c r="G15" s="5"/>
      <c r="H15" s="5"/>
      <c r="I15" s="5"/>
      <c r="J15" s="3"/>
      <c r="K15" s="9" t="str">
        <f t="shared" si="0"/>
        <v/>
      </c>
      <c r="Y15" s="10">
        <f t="shared" si="1"/>
        <v>0</v>
      </c>
      <c r="Z15" s="5">
        <f t="shared" si="2"/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9" t="str">
        <f t="shared" si="0"/>
        <v/>
      </c>
      <c r="Y16" s="10">
        <f t="shared" si="1"/>
        <v>0</v>
      </c>
      <c r="Z16" s="5">
        <f t="shared" si="2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9" t="str">
        <f t="shared" si="0"/>
        <v/>
      </c>
      <c r="Y17" s="10">
        <f t="shared" si="1"/>
        <v>0</v>
      </c>
      <c r="Z17" s="5">
        <f t="shared" si="2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9" t="str">
        <f t="shared" si="0"/>
        <v/>
      </c>
      <c r="Y18" s="10">
        <f t="shared" si="1"/>
        <v>0</v>
      </c>
      <c r="Z18" s="5">
        <f t="shared" si="2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9" t="str">
        <f t="shared" si="0"/>
        <v/>
      </c>
      <c r="Y19" s="10">
        <f t="shared" si="1"/>
        <v>0</v>
      </c>
      <c r="Z19" s="5">
        <f t="shared" si="2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9" t="str">
        <f t="shared" si="0"/>
        <v/>
      </c>
      <c r="Y20" s="10">
        <f t="shared" si="1"/>
        <v>0</v>
      </c>
      <c r="Z20" s="5">
        <f t="shared" si="2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9" t="str">
        <f t="shared" si="0"/>
        <v/>
      </c>
      <c r="Y21" s="10">
        <f t="shared" si="1"/>
        <v>0</v>
      </c>
      <c r="Z21" s="5">
        <f t="shared" si="2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9" t="str">
        <f t="shared" si="0"/>
        <v/>
      </c>
      <c r="Y22" s="10">
        <f t="shared" si="1"/>
        <v>0</v>
      </c>
      <c r="Z22" s="5">
        <f t="shared" si="2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9" t="str">
        <f t="shared" si="0"/>
        <v/>
      </c>
      <c r="Y23" s="10">
        <f t="shared" si="1"/>
        <v>0</v>
      </c>
      <c r="Z23" s="5">
        <f t="shared" si="2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9" t="str">
        <f t="shared" si="0"/>
        <v/>
      </c>
      <c r="Y24" s="10">
        <f t="shared" si="1"/>
        <v>0</v>
      </c>
      <c r="Z24" s="5">
        <f t="shared" si="2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9" t="str">
        <f t="shared" si="0"/>
        <v/>
      </c>
      <c r="Y25" s="10">
        <f t="shared" si="1"/>
        <v>0</v>
      </c>
      <c r="Z25" s="5">
        <f t="shared" si="2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9" t="str">
        <f t="shared" si="0"/>
        <v/>
      </c>
      <c r="Y26" s="10">
        <f t="shared" si="1"/>
        <v>0</v>
      </c>
      <c r="Z26" s="5">
        <f t="shared" si="2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9" t="str">
        <f t="shared" si="0"/>
        <v/>
      </c>
      <c r="Y27" s="10">
        <f t="shared" si="1"/>
        <v>0</v>
      </c>
      <c r="Z27" s="5">
        <f t="shared" si="2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9" t="str">
        <f t="shared" si="0"/>
        <v/>
      </c>
      <c r="Y28" s="10">
        <f t="shared" si="1"/>
        <v>0</v>
      </c>
      <c r="Z28" s="5">
        <f t="shared" si="2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9" t="str">
        <f t="shared" si="0"/>
        <v/>
      </c>
      <c r="Y29" s="10">
        <f t="shared" si="1"/>
        <v>0</v>
      </c>
      <c r="Z29" s="5">
        <f t="shared" si="2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9" t="str">
        <f t="shared" si="0"/>
        <v/>
      </c>
      <c r="Y30" s="10">
        <f t="shared" si="1"/>
        <v>0</v>
      </c>
      <c r="Z30" s="5">
        <f t="shared" si="2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9" t="str">
        <f t="shared" si="0"/>
        <v/>
      </c>
      <c r="Y31" s="10">
        <f t="shared" si="1"/>
        <v>0</v>
      </c>
      <c r="Z31" s="5">
        <f t="shared" si="2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9" t="str">
        <f t="shared" si="0"/>
        <v/>
      </c>
      <c r="Y32" s="10">
        <f t="shared" si="1"/>
        <v>0</v>
      </c>
      <c r="Z32" s="5">
        <f t="shared" si="2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9" t="str">
        <f t="shared" si="0"/>
        <v/>
      </c>
      <c r="Y33" s="10">
        <f t="shared" si="1"/>
        <v>0</v>
      </c>
      <c r="Z33" s="5">
        <f t="shared" si="2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9" t="str">
        <f t="shared" si="0"/>
        <v/>
      </c>
      <c r="Y34" s="10">
        <f t="shared" si="1"/>
        <v>0</v>
      </c>
      <c r="Z34" s="5">
        <f t="shared" si="2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9" t="str">
        <f t="shared" si="0"/>
        <v/>
      </c>
      <c r="Y35" s="10">
        <f t="shared" si="1"/>
        <v>0</v>
      </c>
      <c r="Z35" s="5">
        <f t="shared" si="2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9" t="str">
        <f t="shared" si="0"/>
        <v/>
      </c>
      <c r="Y36" s="10">
        <f t="shared" si="1"/>
        <v>0</v>
      </c>
      <c r="Z36" s="5">
        <f t="shared" si="2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9" t="str">
        <f t="shared" si="0"/>
        <v/>
      </c>
      <c r="Y37" s="10">
        <f t="shared" si="1"/>
        <v>0</v>
      </c>
      <c r="Z37" s="5">
        <f t="shared" si="2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9" t="str">
        <f t="shared" si="0"/>
        <v/>
      </c>
      <c r="Y38" s="10">
        <f t="shared" si="1"/>
        <v>0</v>
      </c>
      <c r="Z38" s="5">
        <f t="shared" si="2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9" t="str">
        <f t="shared" si="0"/>
        <v/>
      </c>
      <c r="Y39" s="10">
        <f t="shared" si="1"/>
        <v>0</v>
      </c>
      <c r="Z39" s="5">
        <f t="shared" si="2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9" t="str">
        <f t="shared" si="0"/>
        <v/>
      </c>
      <c r="Y40" s="10">
        <f t="shared" si="1"/>
        <v>0</v>
      </c>
      <c r="Z40" s="5">
        <f t="shared" si="2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9" t="str">
        <f t="shared" si="0"/>
        <v/>
      </c>
      <c r="Y41" s="10">
        <f t="shared" si="1"/>
        <v>0</v>
      </c>
      <c r="Z41" s="5">
        <f t="shared" si="2"/>
        <v>0</v>
      </c>
    </row>
    <row r="42" spans="4:26" x14ac:dyDescent="0.25">
      <c r="D42" s="7" t="s">
        <v>11</v>
      </c>
      <c r="E42" s="5">
        <f>SUM(E2:E41)</f>
        <v>109</v>
      </c>
      <c r="F42" s="5">
        <f t="shared" ref="F42:I42" si="3">SUM(F2:F41)</f>
        <v>9.11</v>
      </c>
      <c r="G42" s="5">
        <f t="shared" si="3"/>
        <v>0</v>
      </c>
      <c r="H42" s="5">
        <f t="shared" si="3"/>
        <v>2.48</v>
      </c>
      <c r="I42" s="5">
        <f t="shared" si="3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:B1">
    <cfRule type="expression" dxfId="23" priority="1">
      <formula>$AA$2="+"</formula>
    </cfRule>
    <cfRule type="expression" dxfId="22" priority="2">
      <formula>$M$3=$N$3</formula>
    </cfRule>
  </conditionalFormatting>
  <conditionalFormatting sqref="S3">
    <cfRule type="expression" dxfId="21" priority="7">
      <formula>$AA$2="+"</formula>
    </cfRule>
  </conditionalFormatting>
  <conditionalFormatting sqref="AA2">
    <cfRule type="expression" dxfId="20" priority="8">
      <formula>$AA$2="+"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7EBF-D756-4489-B8DD-C1D562CD5B73}">
  <dimension ref="A1:AA42"/>
  <sheetViews>
    <sheetView workbookViewId="0">
      <selection activeCell="K2" sqref="K2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53</v>
      </c>
      <c r="D1" s="7" t="s">
        <v>10</v>
      </c>
      <c r="E1" s="7" t="s">
        <v>0</v>
      </c>
      <c r="F1" s="7" t="s">
        <v>6</v>
      </c>
      <c r="G1" s="7" t="s">
        <v>0</v>
      </c>
      <c r="H1" s="7" t="s">
        <v>6</v>
      </c>
      <c r="I1" s="7" t="s">
        <v>36</v>
      </c>
      <c r="J1" s="11" t="s">
        <v>10</v>
      </c>
      <c r="K1" s="11" t="s">
        <v>22</v>
      </c>
      <c r="M1" s="26" t="s">
        <v>0</v>
      </c>
      <c r="N1" s="28"/>
      <c r="O1" s="26" t="s">
        <v>6</v>
      </c>
      <c r="P1" s="28"/>
      <c r="Q1" s="31" t="s">
        <v>37</v>
      </c>
      <c r="R1" s="31" t="s">
        <v>23</v>
      </c>
      <c r="S1" s="31" t="s">
        <v>47</v>
      </c>
      <c r="Y1" s="12" t="s">
        <v>10</v>
      </c>
      <c r="Z1" s="7" t="s">
        <v>38</v>
      </c>
      <c r="AA1" s="7" t="s">
        <v>47</v>
      </c>
    </row>
    <row r="2" spans="1:27" x14ac:dyDescent="0.25">
      <c r="A2" s="8" t="s">
        <v>1</v>
      </c>
      <c r="B2" s="3" t="s">
        <v>52</v>
      </c>
      <c r="D2" s="10">
        <v>46265</v>
      </c>
      <c r="E2" s="5">
        <v>0</v>
      </c>
      <c r="F2" s="5">
        <v>2.2599999999999998</v>
      </c>
      <c r="G2" s="5">
        <v>0</v>
      </c>
      <c r="H2" s="5">
        <v>2.2599999999999998</v>
      </c>
      <c r="I2" s="5">
        <v>0.13</v>
      </c>
      <c r="J2" s="10">
        <v>46276</v>
      </c>
      <c r="K2" s="9">
        <f>IF(J2&gt;0,J2-D2,"")</f>
        <v>11</v>
      </c>
      <c r="M2" s="13" t="s">
        <v>39</v>
      </c>
      <c r="N2" s="13" t="s">
        <v>23</v>
      </c>
      <c r="O2" s="7" t="s">
        <v>40</v>
      </c>
      <c r="P2" s="7" t="s">
        <v>41</v>
      </c>
      <c r="Q2" s="32"/>
      <c r="R2" s="32"/>
      <c r="S2" s="32"/>
      <c r="Y2" s="10">
        <f>B3</f>
        <v>46161</v>
      </c>
      <c r="Z2" s="3">
        <f>B11*-1</f>
        <v>-100</v>
      </c>
      <c r="AA2" s="3" t="str">
        <f ca="1">IF(COUNTIFS(D:D,"&lt;"&amp;TODAY(),J:J,"")&gt;0,"+","")</f>
        <v/>
      </c>
    </row>
    <row r="3" spans="1:27" x14ac:dyDescent="0.25">
      <c r="A3" s="8" t="s">
        <v>8</v>
      </c>
      <c r="B3" s="10">
        <v>46161</v>
      </c>
      <c r="D3" s="10">
        <v>46356</v>
      </c>
      <c r="E3" s="5">
        <v>0</v>
      </c>
      <c r="F3" s="3">
        <v>1.99</v>
      </c>
      <c r="G3" s="5"/>
      <c r="H3" s="5"/>
      <c r="I3" s="5"/>
      <c r="J3" s="10"/>
      <c r="K3" s="9" t="str">
        <f t="shared" ref="K3:K41" si="0">IF(J3&gt;0,J3-D3,"")</f>
        <v/>
      </c>
      <c r="M3" s="5">
        <f>B11</f>
        <v>100</v>
      </c>
      <c r="N3" s="5">
        <f>G42</f>
        <v>0</v>
      </c>
      <c r="O3" s="5">
        <f>F42</f>
        <v>7.51</v>
      </c>
      <c r="P3" s="5">
        <f>H42+I42</f>
        <v>2.3899999999999997</v>
      </c>
      <c r="Q3" s="14" t="str">
        <f>IF(M3=N3,XIRR(Z2:Z41,Y2:Y41),"")</f>
        <v/>
      </c>
      <c r="R3" s="10" t="str">
        <f>IF(M3=N3,B14,"")</f>
        <v/>
      </c>
      <c r="S3" s="3" t="str">
        <f ca="1">IF(COUNTIFS(D:D,"&lt;"&amp;TODAY(),J:J,"")=0,"",TODAY()-_xlfn.MINIFS(D:D,D:D,"&lt;"&amp;TODAY(),J:J,""))</f>
        <v/>
      </c>
      <c r="Y3" s="10">
        <f>J2</f>
        <v>46276</v>
      </c>
      <c r="Z3" s="5">
        <f>G2+H2+I2</f>
        <v>2.3899999999999997</v>
      </c>
    </row>
    <row r="4" spans="1:27" x14ac:dyDescent="0.25">
      <c r="A4" s="8" t="s">
        <v>12</v>
      </c>
      <c r="B4" s="10">
        <v>46162</v>
      </c>
      <c r="D4" s="10">
        <v>46446</v>
      </c>
      <c r="E4" s="5">
        <v>0</v>
      </c>
      <c r="F4" s="3">
        <v>1.97</v>
      </c>
      <c r="G4" s="5"/>
      <c r="H4" s="5"/>
      <c r="I4" s="5"/>
      <c r="J4" s="10"/>
      <c r="K4" s="9" t="str">
        <f t="shared" si="0"/>
        <v/>
      </c>
      <c r="Y4" s="10">
        <f t="shared" ref="Y4:Y41" si="1">J3</f>
        <v>0</v>
      </c>
      <c r="Z4" s="5">
        <f t="shared" ref="Z4:Z41" si="2">G3+H3+I3</f>
        <v>0</v>
      </c>
    </row>
    <row r="5" spans="1:27" x14ac:dyDescent="0.25">
      <c r="A5" s="8" t="s">
        <v>2</v>
      </c>
      <c r="B5" s="3" t="s">
        <v>54</v>
      </c>
      <c r="D5" s="10">
        <v>46505</v>
      </c>
      <c r="E5" s="5">
        <v>100</v>
      </c>
      <c r="F5" s="3">
        <v>1.29</v>
      </c>
      <c r="G5" s="5"/>
      <c r="H5" s="5"/>
      <c r="I5" s="3"/>
      <c r="J5" s="10"/>
      <c r="K5" s="9" t="str">
        <f t="shared" si="0"/>
        <v/>
      </c>
      <c r="Y5" s="10">
        <f t="shared" si="1"/>
        <v>0</v>
      </c>
      <c r="Z5" s="5">
        <f t="shared" si="2"/>
        <v>0</v>
      </c>
    </row>
    <row r="6" spans="1:27" x14ac:dyDescent="0.25">
      <c r="A6" s="8" t="s">
        <v>13</v>
      </c>
      <c r="B6" s="4">
        <v>0.65</v>
      </c>
      <c r="D6" s="10"/>
      <c r="E6" s="5"/>
      <c r="F6" s="5"/>
      <c r="G6" s="5"/>
      <c r="H6" s="5"/>
      <c r="I6" s="3"/>
      <c r="J6" s="10"/>
      <c r="K6" s="9" t="str">
        <f t="shared" si="0"/>
        <v/>
      </c>
      <c r="Y6" s="10">
        <f t="shared" si="1"/>
        <v>0</v>
      </c>
      <c r="Z6" s="5">
        <f t="shared" si="2"/>
        <v>0</v>
      </c>
    </row>
    <row r="7" spans="1:27" x14ac:dyDescent="0.25">
      <c r="A7" s="8" t="s">
        <v>14</v>
      </c>
      <c r="B7" s="4">
        <v>0.85</v>
      </c>
      <c r="D7" s="10"/>
      <c r="E7" s="5"/>
      <c r="F7" s="3"/>
      <c r="G7" s="5"/>
      <c r="H7" s="5"/>
      <c r="I7" s="3"/>
      <c r="J7" s="10"/>
      <c r="K7" s="9" t="str">
        <f t="shared" si="0"/>
        <v/>
      </c>
      <c r="Y7" s="10">
        <f t="shared" si="1"/>
        <v>0</v>
      </c>
      <c r="Z7" s="5">
        <f t="shared" si="2"/>
        <v>0</v>
      </c>
    </row>
    <row r="8" spans="1:27" x14ac:dyDescent="0.25">
      <c r="A8" s="8" t="s">
        <v>4</v>
      </c>
      <c r="B8" s="3">
        <v>12</v>
      </c>
      <c r="D8" s="10"/>
      <c r="E8" s="5"/>
      <c r="F8" s="3"/>
      <c r="G8" s="2"/>
      <c r="H8" s="2"/>
      <c r="I8" s="2"/>
      <c r="J8" s="10"/>
      <c r="K8" s="9" t="str">
        <f t="shared" si="0"/>
        <v/>
      </c>
      <c r="Y8" s="10">
        <f t="shared" si="1"/>
        <v>0</v>
      </c>
      <c r="Z8" s="5">
        <f t="shared" si="2"/>
        <v>0</v>
      </c>
    </row>
    <row r="9" spans="1:27" x14ac:dyDescent="0.25">
      <c r="A9" s="8" t="s">
        <v>5</v>
      </c>
      <c r="B9" s="3" t="s">
        <v>9</v>
      </c>
      <c r="D9" s="10"/>
      <c r="E9" s="5"/>
      <c r="F9" s="3"/>
      <c r="G9" s="2"/>
      <c r="H9" s="2"/>
      <c r="I9" s="2"/>
      <c r="J9" s="10"/>
      <c r="K9" s="9" t="str">
        <f t="shared" si="0"/>
        <v/>
      </c>
      <c r="Y9" s="10">
        <f t="shared" si="1"/>
        <v>0</v>
      </c>
      <c r="Z9" s="5">
        <f t="shared" si="2"/>
        <v>0</v>
      </c>
    </row>
    <row r="10" spans="1:27" x14ac:dyDescent="0.25">
      <c r="A10" s="8" t="s">
        <v>7</v>
      </c>
      <c r="B10" s="6">
        <v>0.08</v>
      </c>
      <c r="D10" s="10"/>
      <c r="E10" s="5"/>
      <c r="F10" s="3"/>
      <c r="G10" s="2"/>
      <c r="H10" s="2"/>
      <c r="I10" s="2"/>
      <c r="J10" s="10"/>
      <c r="K10" s="9" t="str">
        <f t="shared" si="0"/>
        <v/>
      </c>
      <c r="Y10" s="10">
        <f t="shared" si="1"/>
        <v>0</v>
      </c>
      <c r="Z10" s="5">
        <f t="shared" si="2"/>
        <v>0</v>
      </c>
    </row>
    <row r="11" spans="1:27" x14ac:dyDescent="0.25">
      <c r="A11" s="8" t="s">
        <v>60</v>
      </c>
      <c r="B11" s="5">
        <v>100</v>
      </c>
      <c r="D11" s="10"/>
      <c r="E11" s="5"/>
      <c r="F11" s="3"/>
      <c r="G11" s="2"/>
      <c r="H11" s="2"/>
      <c r="I11" s="2"/>
      <c r="J11" s="10"/>
      <c r="K11" s="9" t="str">
        <f t="shared" si="0"/>
        <v/>
      </c>
      <c r="Y11" s="10">
        <f t="shared" si="1"/>
        <v>0</v>
      </c>
      <c r="Z11" s="5">
        <f t="shared" si="2"/>
        <v>0</v>
      </c>
    </row>
    <row r="12" spans="1:27" x14ac:dyDescent="0.25">
      <c r="A12" s="8" t="s">
        <v>44</v>
      </c>
      <c r="B12" s="10">
        <v>46505</v>
      </c>
      <c r="D12" s="10"/>
      <c r="E12" s="5"/>
      <c r="F12" s="5"/>
      <c r="G12" s="5"/>
      <c r="H12" s="5"/>
      <c r="I12" s="5"/>
      <c r="J12" s="10"/>
      <c r="K12" s="9" t="str">
        <f t="shared" si="0"/>
        <v/>
      </c>
      <c r="Y12" s="10">
        <f t="shared" si="1"/>
        <v>0</v>
      </c>
      <c r="Z12" s="5">
        <f t="shared" si="2"/>
        <v>0</v>
      </c>
    </row>
    <row r="13" spans="1:27" x14ac:dyDescent="0.25">
      <c r="A13" s="8" t="s">
        <v>48</v>
      </c>
      <c r="B13" s="9">
        <f ca="1">IF(B11&lt;&gt;N3,(TODAY()-B12)*-1,"")</f>
        <v>198</v>
      </c>
      <c r="D13" s="10"/>
      <c r="E13" s="5"/>
      <c r="F13" s="5"/>
      <c r="G13" s="5"/>
      <c r="H13" s="5"/>
      <c r="I13" s="5"/>
      <c r="J13" s="15"/>
      <c r="K13" s="9" t="str">
        <f t="shared" si="0"/>
        <v/>
      </c>
      <c r="Y13" s="10">
        <f t="shared" si="1"/>
        <v>0</v>
      </c>
      <c r="Z13" s="5">
        <f t="shared" si="2"/>
        <v>0</v>
      </c>
    </row>
    <row r="14" spans="1:27" x14ac:dyDescent="0.25">
      <c r="A14" s="8" t="s">
        <v>23</v>
      </c>
      <c r="B14" s="10"/>
      <c r="D14" s="7"/>
      <c r="E14" s="5"/>
      <c r="F14" s="5"/>
      <c r="G14" s="5"/>
      <c r="H14" s="5"/>
      <c r="I14" s="5"/>
      <c r="J14" s="3"/>
      <c r="K14" s="9" t="str">
        <f t="shared" si="0"/>
        <v/>
      </c>
      <c r="Y14" s="10">
        <f t="shared" si="1"/>
        <v>0</v>
      </c>
      <c r="Z14" s="5">
        <f t="shared" si="2"/>
        <v>0</v>
      </c>
    </row>
    <row r="15" spans="1:27" x14ac:dyDescent="0.25">
      <c r="A15" s="8" t="s">
        <v>61</v>
      </c>
      <c r="B15" s="3" t="str">
        <f>IF(M3=N3,B14-B12,"")</f>
        <v/>
      </c>
      <c r="D15" s="7"/>
      <c r="E15" s="5"/>
      <c r="F15" s="5"/>
      <c r="G15" s="5"/>
      <c r="H15" s="5"/>
      <c r="I15" s="5"/>
      <c r="J15" s="3"/>
      <c r="K15" s="9" t="str">
        <f t="shared" si="0"/>
        <v/>
      </c>
      <c r="Y15" s="10">
        <f t="shared" si="1"/>
        <v>0</v>
      </c>
      <c r="Z15" s="5">
        <f t="shared" si="2"/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9" t="str">
        <f t="shared" si="0"/>
        <v/>
      </c>
      <c r="Y16" s="10">
        <f t="shared" si="1"/>
        <v>0</v>
      </c>
      <c r="Z16" s="5">
        <f t="shared" si="2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9" t="str">
        <f t="shared" si="0"/>
        <v/>
      </c>
      <c r="Y17" s="10">
        <f t="shared" si="1"/>
        <v>0</v>
      </c>
      <c r="Z17" s="5">
        <f t="shared" si="2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9" t="str">
        <f t="shared" si="0"/>
        <v/>
      </c>
      <c r="Y18" s="10">
        <f t="shared" si="1"/>
        <v>0</v>
      </c>
      <c r="Z18" s="5">
        <f t="shared" si="2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9" t="str">
        <f t="shared" si="0"/>
        <v/>
      </c>
      <c r="Y19" s="10">
        <f t="shared" si="1"/>
        <v>0</v>
      </c>
      <c r="Z19" s="5">
        <f t="shared" si="2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9" t="str">
        <f t="shared" si="0"/>
        <v/>
      </c>
      <c r="Y20" s="10">
        <f t="shared" si="1"/>
        <v>0</v>
      </c>
      <c r="Z20" s="5">
        <f t="shared" si="2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9" t="str">
        <f t="shared" si="0"/>
        <v/>
      </c>
      <c r="Y21" s="10">
        <f t="shared" si="1"/>
        <v>0</v>
      </c>
      <c r="Z21" s="5">
        <f t="shared" si="2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9" t="str">
        <f t="shared" si="0"/>
        <v/>
      </c>
      <c r="Y22" s="10">
        <f t="shared" si="1"/>
        <v>0</v>
      </c>
      <c r="Z22" s="5">
        <f t="shared" si="2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9" t="str">
        <f t="shared" si="0"/>
        <v/>
      </c>
      <c r="Y23" s="10">
        <f t="shared" si="1"/>
        <v>0</v>
      </c>
      <c r="Z23" s="5">
        <f t="shared" si="2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9" t="str">
        <f t="shared" si="0"/>
        <v/>
      </c>
      <c r="Y24" s="10">
        <f t="shared" si="1"/>
        <v>0</v>
      </c>
      <c r="Z24" s="5">
        <f t="shared" si="2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9" t="str">
        <f t="shared" si="0"/>
        <v/>
      </c>
      <c r="Y25" s="10">
        <f t="shared" si="1"/>
        <v>0</v>
      </c>
      <c r="Z25" s="5">
        <f t="shared" si="2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9" t="str">
        <f t="shared" si="0"/>
        <v/>
      </c>
      <c r="Y26" s="10">
        <f t="shared" si="1"/>
        <v>0</v>
      </c>
      <c r="Z26" s="5">
        <f t="shared" si="2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9" t="str">
        <f t="shared" si="0"/>
        <v/>
      </c>
      <c r="Y27" s="10">
        <f t="shared" si="1"/>
        <v>0</v>
      </c>
      <c r="Z27" s="5">
        <f t="shared" si="2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9" t="str">
        <f t="shared" si="0"/>
        <v/>
      </c>
      <c r="Y28" s="10">
        <f t="shared" si="1"/>
        <v>0</v>
      </c>
      <c r="Z28" s="5">
        <f t="shared" si="2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9" t="str">
        <f t="shared" si="0"/>
        <v/>
      </c>
      <c r="Y29" s="10">
        <f t="shared" si="1"/>
        <v>0</v>
      </c>
      <c r="Z29" s="5">
        <f t="shared" si="2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9" t="str">
        <f t="shared" si="0"/>
        <v/>
      </c>
      <c r="Y30" s="10">
        <f t="shared" si="1"/>
        <v>0</v>
      </c>
      <c r="Z30" s="5">
        <f t="shared" si="2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9" t="str">
        <f t="shared" si="0"/>
        <v/>
      </c>
      <c r="Y31" s="10">
        <f t="shared" si="1"/>
        <v>0</v>
      </c>
      <c r="Z31" s="5">
        <f t="shared" si="2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9" t="str">
        <f t="shared" si="0"/>
        <v/>
      </c>
      <c r="Y32" s="10">
        <f t="shared" si="1"/>
        <v>0</v>
      </c>
      <c r="Z32" s="5">
        <f t="shared" si="2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9" t="str">
        <f t="shared" si="0"/>
        <v/>
      </c>
      <c r="Y33" s="10">
        <f t="shared" si="1"/>
        <v>0</v>
      </c>
      <c r="Z33" s="5">
        <f t="shared" si="2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9" t="str">
        <f t="shared" si="0"/>
        <v/>
      </c>
      <c r="Y34" s="10">
        <f t="shared" si="1"/>
        <v>0</v>
      </c>
      <c r="Z34" s="5">
        <f t="shared" si="2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9" t="str">
        <f t="shared" si="0"/>
        <v/>
      </c>
      <c r="Y35" s="10">
        <f t="shared" si="1"/>
        <v>0</v>
      </c>
      <c r="Z35" s="5">
        <f t="shared" si="2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9" t="str">
        <f t="shared" si="0"/>
        <v/>
      </c>
      <c r="Y36" s="10">
        <f t="shared" si="1"/>
        <v>0</v>
      </c>
      <c r="Z36" s="5">
        <f t="shared" si="2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9" t="str">
        <f t="shared" si="0"/>
        <v/>
      </c>
      <c r="Y37" s="10">
        <f t="shared" si="1"/>
        <v>0</v>
      </c>
      <c r="Z37" s="5">
        <f t="shared" si="2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9" t="str">
        <f t="shared" si="0"/>
        <v/>
      </c>
      <c r="Y38" s="10">
        <f t="shared" si="1"/>
        <v>0</v>
      </c>
      <c r="Z38" s="5">
        <f t="shared" si="2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9" t="str">
        <f t="shared" si="0"/>
        <v/>
      </c>
      <c r="Y39" s="10">
        <f t="shared" si="1"/>
        <v>0</v>
      </c>
      <c r="Z39" s="5">
        <f t="shared" si="2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9" t="str">
        <f t="shared" si="0"/>
        <v/>
      </c>
      <c r="Y40" s="10">
        <f t="shared" si="1"/>
        <v>0</v>
      </c>
      <c r="Z40" s="5">
        <f t="shared" si="2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9" t="str">
        <f t="shared" si="0"/>
        <v/>
      </c>
      <c r="Y41" s="10">
        <f t="shared" si="1"/>
        <v>0</v>
      </c>
      <c r="Z41" s="5">
        <f t="shared" si="2"/>
        <v>0</v>
      </c>
    </row>
    <row r="42" spans="4:26" x14ac:dyDescent="0.25">
      <c r="D42" s="7" t="s">
        <v>11</v>
      </c>
      <c r="E42" s="5">
        <f>SUM(E2:E41)</f>
        <v>100</v>
      </c>
      <c r="F42" s="5">
        <f t="shared" ref="F42:I42" si="3">SUM(F2:F41)</f>
        <v>7.51</v>
      </c>
      <c r="G42" s="5">
        <f t="shared" si="3"/>
        <v>0</v>
      </c>
      <c r="H42" s="5">
        <f t="shared" si="3"/>
        <v>2.2599999999999998</v>
      </c>
      <c r="I42" s="5">
        <f t="shared" si="3"/>
        <v>0.13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:B1">
    <cfRule type="expression" dxfId="19" priority="1">
      <formula>$AA$2="+"</formula>
    </cfRule>
    <cfRule type="expression" dxfId="18" priority="2">
      <formula>$M$3=$N$3</formula>
    </cfRule>
  </conditionalFormatting>
  <conditionalFormatting sqref="S3">
    <cfRule type="expression" dxfId="17" priority="7">
      <formula>$AA$2="+"</formula>
    </cfRule>
  </conditionalFormatting>
  <conditionalFormatting sqref="AA2">
    <cfRule type="expression" dxfId="16" priority="8">
      <formula>$AA$2="+"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23EE0-3021-4A72-B22C-29C64B41A950}">
  <dimension ref="A1:AA42"/>
  <sheetViews>
    <sheetView topLeftCell="B1" workbookViewId="0">
      <selection activeCell="J3" sqref="J3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51</v>
      </c>
      <c r="D1" s="7" t="s">
        <v>10</v>
      </c>
      <c r="E1" s="7" t="s">
        <v>0</v>
      </c>
      <c r="F1" s="7" t="s">
        <v>6</v>
      </c>
      <c r="G1" s="7" t="s">
        <v>0</v>
      </c>
      <c r="H1" s="7" t="s">
        <v>6</v>
      </c>
      <c r="I1" s="7" t="s">
        <v>36</v>
      </c>
      <c r="J1" s="11" t="s">
        <v>10</v>
      </c>
      <c r="K1" s="11" t="s">
        <v>22</v>
      </c>
      <c r="M1" s="26" t="s">
        <v>0</v>
      </c>
      <c r="N1" s="28"/>
      <c r="O1" s="26" t="s">
        <v>6</v>
      </c>
      <c r="P1" s="28"/>
      <c r="Q1" s="31" t="s">
        <v>37</v>
      </c>
      <c r="R1" s="31" t="s">
        <v>23</v>
      </c>
      <c r="S1" s="31" t="s">
        <v>47</v>
      </c>
      <c r="Y1" s="12" t="s">
        <v>10</v>
      </c>
      <c r="Z1" s="7" t="s">
        <v>38</v>
      </c>
      <c r="AA1" s="7" t="s">
        <v>47</v>
      </c>
    </row>
    <row r="2" spans="1:27" x14ac:dyDescent="0.25">
      <c r="A2" s="8" t="s">
        <v>1</v>
      </c>
      <c r="B2" s="3" t="s">
        <v>50</v>
      </c>
      <c r="D2" s="10">
        <v>46265</v>
      </c>
      <c r="E2" s="5">
        <v>0</v>
      </c>
      <c r="F2" s="5">
        <v>2.87</v>
      </c>
      <c r="G2" s="5">
        <v>0</v>
      </c>
      <c r="H2" s="5">
        <v>2.87</v>
      </c>
      <c r="I2" s="5">
        <v>0</v>
      </c>
      <c r="J2" s="10">
        <v>46266</v>
      </c>
      <c r="K2" s="9">
        <f>IF(J2&gt;0,J2-D2,"")</f>
        <v>1</v>
      </c>
      <c r="M2" s="13" t="s">
        <v>39</v>
      </c>
      <c r="N2" s="13" t="s">
        <v>23</v>
      </c>
      <c r="O2" s="7" t="s">
        <v>40</v>
      </c>
      <c r="P2" s="7" t="s">
        <v>41</v>
      </c>
      <c r="Q2" s="32"/>
      <c r="R2" s="32"/>
      <c r="S2" s="32"/>
      <c r="Y2" s="10">
        <f>B3</f>
        <v>46157</v>
      </c>
      <c r="Z2" s="3">
        <f>B11*-1</f>
        <v>-126.1</v>
      </c>
      <c r="AA2" s="3" t="str">
        <f ca="1">IF(COUNTIFS(D:D,"&lt;"&amp;TODAY(),J:J,"")&gt;0,"+","")</f>
        <v/>
      </c>
    </row>
    <row r="3" spans="1:27" x14ac:dyDescent="0.25">
      <c r="A3" s="8" t="s">
        <v>8</v>
      </c>
      <c r="B3" s="10">
        <v>46157</v>
      </c>
      <c r="D3" s="10">
        <v>46356</v>
      </c>
      <c r="E3" s="5">
        <v>0</v>
      </c>
      <c r="F3" s="3">
        <v>2.52</v>
      </c>
      <c r="G3" s="5"/>
      <c r="H3" s="5"/>
      <c r="I3" s="5"/>
      <c r="J3" s="10"/>
      <c r="K3" s="9" t="str">
        <f t="shared" ref="K3:K41" si="0">IF(J3&gt;0,J3-D3,"")</f>
        <v/>
      </c>
      <c r="M3" s="5">
        <f>B11</f>
        <v>126.1</v>
      </c>
      <c r="N3" s="5">
        <f>G42</f>
        <v>0</v>
      </c>
      <c r="O3" s="5">
        <f>F42</f>
        <v>10.040000000000001</v>
      </c>
      <c r="P3" s="5">
        <f>H42+I42</f>
        <v>2.87</v>
      </c>
      <c r="Q3" s="14" t="str">
        <f>IF(M3=N3,XIRR(Z2:Z41,Y2:Y41),"")</f>
        <v/>
      </c>
      <c r="R3" s="10" t="str">
        <f>IF(M3=N3,B14,"")</f>
        <v/>
      </c>
      <c r="S3" s="3" t="str">
        <f ca="1">IF(COUNTIFS(D:D,"&lt;"&amp;TODAY(),J:J,"")=0,"",TODAY()-_xlfn.MINIFS(D:D,D:D,"&lt;"&amp;TODAY(),J:J,""))</f>
        <v/>
      </c>
      <c r="Y3" s="10">
        <f>J2</f>
        <v>46266</v>
      </c>
      <c r="Z3" s="5">
        <f>G2+H2+I2</f>
        <v>2.87</v>
      </c>
    </row>
    <row r="4" spans="1:27" x14ac:dyDescent="0.25">
      <c r="A4" s="8" t="s">
        <v>12</v>
      </c>
      <c r="B4" s="10">
        <v>46161</v>
      </c>
      <c r="D4" s="10">
        <v>46446</v>
      </c>
      <c r="E4" s="5">
        <v>0</v>
      </c>
      <c r="F4" s="3">
        <v>2.4900000000000002</v>
      </c>
      <c r="G4" s="5"/>
      <c r="H4" s="5"/>
      <c r="I4" s="5"/>
      <c r="J4" s="10"/>
      <c r="K4" s="9" t="str">
        <f t="shared" si="0"/>
        <v/>
      </c>
      <c r="Y4" s="10">
        <f t="shared" ref="Y4:Y41" si="1">J3</f>
        <v>0</v>
      </c>
      <c r="Z4" s="5">
        <f t="shared" ref="Z4:Z41" si="2">G3+H3+I3</f>
        <v>0</v>
      </c>
    </row>
    <row r="5" spans="1:27" x14ac:dyDescent="0.25">
      <c r="A5" s="8" t="s">
        <v>2</v>
      </c>
      <c r="B5" s="3" t="s">
        <v>3</v>
      </c>
      <c r="D5" s="10">
        <v>46524</v>
      </c>
      <c r="E5" s="5">
        <v>126.1</v>
      </c>
      <c r="F5" s="3">
        <v>2.16</v>
      </c>
      <c r="G5" s="5"/>
      <c r="H5" s="5"/>
      <c r="I5" s="3"/>
      <c r="J5" s="10"/>
      <c r="K5" s="9" t="str">
        <f t="shared" si="0"/>
        <v/>
      </c>
      <c r="Y5" s="10">
        <f t="shared" si="1"/>
        <v>0</v>
      </c>
      <c r="Z5" s="5">
        <f t="shared" si="2"/>
        <v>0</v>
      </c>
    </row>
    <row r="6" spans="1:27" x14ac:dyDescent="0.25">
      <c r="A6" s="8" t="s">
        <v>13</v>
      </c>
      <c r="B6" s="4">
        <v>0.77</v>
      </c>
      <c r="D6" s="10"/>
      <c r="E6" s="5"/>
      <c r="F6" s="5"/>
      <c r="G6" s="5"/>
      <c r="H6" s="5"/>
      <c r="I6" s="3"/>
      <c r="J6" s="10"/>
      <c r="K6" s="9" t="str">
        <f t="shared" si="0"/>
        <v/>
      </c>
      <c r="Y6" s="10">
        <f t="shared" si="1"/>
        <v>0</v>
      </c>
      <c r="Z6" s="5">
        <f t="shared" si="2"/>
        <v>0</v>
      </c>
    </row>
    <row r="7" spans="1:27" x14ac:dyDescent="0.25">
      <c r="A7" s="8" t="s">
        <v>14</v>
      </c>
      <c r="B7" s="4">
        <v>0.85</v>
      </c>
      <c r="D7" s="10"/>
      <c r="E7" s="5"/>
      <c r="F7" s="3"/>
      <c r="G7" s="5"/>
      <c r="H7" s="5"/>
      <c r="I7" s="3"/>
      <c r="J7" s="10"/>
      <c r="K7" s="9" t="str">
        <f t="shared" si="0"/>
        <v/>
      </c>
      <c r="Y7" s="10">
        <f t="shared" si="1"/>
        <v>0</v>
      </c>
      <c r="Z7" s="5">
        <f t="shared" si="2"/>
        <v>0</v>
      </c>
    </row>
    <row r="8" spans="1:27" x14ac:dyDescent="0.25">
      <c r="A8" s="8" t="s">
        <v>4</v>
      </c>
      <c r="B8" s="3">
        <v>12</v>
      </c>
      <c r="D8" s="10"/>
      <c r="E8" s="5"/>
      <c r="F8" s="3"/>
      <c r="G8" s="2"/>
      <c r="H8" s="2"/>
      <c r="I8" s="2"/>
      <c r="J8" s="10"/>
      <c r="K8" s="9" t="str">
        <f t="shared" si="0"/>
        <v/>
      </c>
      <c r="Y8" s="10">
        <f t="shared" si="1"/>
        <v>0</v>
      </c>
      <c r="Z8" s="5">
        <f t="shared" si="2"/>
        <v>0</v>
      </c>
    </row>
    <row r="9" spans="1:27" x14ac:dyDescent="0.25">
      <c r="A9" s="8" t="s">
        <v>5</v>
      </c>
      <c r="B9" s="3" t="s">
        <v>9</v>
      </c>
      <c r="D9" s="10"/>
      <c r="E9" s="5"/>
      <c r="F9" s="3"/>
      <c r="G9" s="2"/>
      <c r="H9" s="2"/>
      <c r="I9" s="2"/>
      <c r="J9" s="10"/>
      <c r="K9" s="9" t="str">
        <f t="shared" si="0"/>
        <v/>
      </c>
      <c r="Y9" s="10">
        <f t="shared" si="1"/>
        <v>0</v>
      </c>
      <c r="Z9" s="5">
        <f t="shared" si="2"/>
        <v>0</v>
      </c>
    </row>
    <row r="10" spans="1:27" x14ac:dyDescent="0.25">
      <c r="A10" s="8" t="s">
        <v>7</v>
      </c>
      <c r="B10" s="6">
        <v>0.08</v>
      </c>
      <c r="D10" s="10"/>
      <c r="E10" s="5"/>
      <c r="F10" s="3"/>
      <c r="G10" s="2"/>
      <c r="H10" s="2"/>
      <c r="I10" s="2"/>
      <c r="J10" s="10"/>
      <c r="K10" s="9" t="str">
        <f t="shared" si="0"/>
        <v/>
      </c>
      <c r="Y10" s="10">
        <f t="shared" si="1"/>
        <v>0</v>
      </c>
      <c r="Z10" s="5">
        <f t="shared" si="2"/>
        <v>0</v>
      </c>
    </row>
    <row r="11" spans="1:27" x14ac:dyDescent="0.25">
      <c r="A11" s="8" t="s">
        <v>60</v>
      </c>
      <c r="B11" s="5">
        <v>126.1</v>
      </c>
      <c r="D11" s="10"/>
      <c r="E11" s="5"/>
      <c r="F11" s="3"/>
      <c r="G11" s="2"/>
      <c r="H11" s="2"/>
      <c r="I11" s="2"/>
      <c r="J11" s="10"/>
      <c r="K11" s="9" t="str">
        <f t="shared" si="0"/>
        <v/>
      </c>
      <c r="Y11" s="10">
        <f t="shared" si="1"/>
        <v>0</v>
      </c>
      <c r="Z11" s="5">
        <f t="shared" si="2"/>
        <v>0</v>
      </c>
    </row>
    <row r="12" spans="1:27" x14ac:dyDescent="0.25">
      <c r="A12" s="8" t="s">
        <v>44</v>
      </c>
      <c r="B12" s="10">
        <v>46524</v>
      </c>
      <c r="D12" s="10"/>
      <c r="E12" s="5"/>
      <c r="F12" s="5"/>
      <c r="G12" s="5"/>
      <c r="H12" s="5"/>
      <c r="I12" s="5"/>
      <c r="J12" s="10"/>
      <c r="K12" s="9" t="str">
        <f t="shared" si="0"/>
        <v/>
      </c>
      <c r="Y12" s="10">
        <f t="shared" si="1"/>
        <v>0</v>
      </c>
      <c r="Z12" s="5">
        <f t="shared" si="2"/>
        <v>0</v>
      </c>
    </row>
    <row r="13" spans="1:27" x14ac:dyDescent="0.25">
      <c r="A13" s="8" t="s">
        <v>48</v>
      </c>
      <c r="B13" s="9">
        <f ca="1">IF(B11&lt;&gt;N3,(TODAY()-B12)*-1,"")</f>
        <v>217</v>
      </c>
      <c r="D13" s="10"/>
      <c r="E13" s="5"/>
      <c r="F13" s="5"/>
      <c r="G13" s="5"/>
      <c r="H13" s="5"/>
      <c r="I13" s="5"/>
      <c r="J13" s="15"/>
      <c r="K13" s="9" t="str">
        <f t="shared" si="0"/>
        <v/>
      </c>
      <c r="Y13" s="10">
        <f t="shared" si="1"/>
        <v>0</v>
      </c>
      <c r="Z13" s="5">
        <f t="shared" si="2"/>
        <v>0</v>
      </c>
    </row>
    <row r="14" spans="1:27" x14ac:dyDescent="0.25">
      <c r="A14" s="8" t="s">
        <v>23</v>
      </c>
      <c r="B14" s="10"/>
      <c r="D14" s="7"/>
      <c r="E14" s="5"/>
      <c r="F14" s="5"/>
      <c r="G14" s="5"/>
      <c r="H14" s="5"/>
      <c r="I14" s="5"/>
      <c r="J14" s="3"/>
      <c r="K14" s="9" t="str">
        <f t="shared" si="0"/>
        <v/>
      </c>
      <c r="Y14" s="10">
        <f t="shared" si="1"/>
        <v>0</v>
      </c>
      <c r="Z14" s="5">
        <f t="shared" si="2"/>
        <v>0</v>
      </c>
    </row>
    <row r="15" spans="1:27" x14ac:dyDescent="0.25">
      <c r="A15" s="8" t="s">
        <v>61</v>
      </c>
      <c r="B15" s="3" t="str">
        <f>IF(M3=N3,B14-B12,"")</f>
        <v/>
      </c>
      <c r="D15" s="7"/>
      <c r="E15" s="5"/>
      <c r="F15" s="5"/>
      <c r="G15" s="5"/>
      <c r="H15" s="5"/>
      <c r="I15" s="5"/>
      <c r="J15" s="3"/>
      <c r="K15" s="9" t="str">
        <f t="shared" si="0"/>
        <v/>
      </c>
      <c r="Y15" s="10">
        <f t="shared" si="1"/>
        <v>0</v>
      </c>
      <c r="Z15" s="5">
        <f t="shared" si="2"/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9" t="str">
        <f t="shared" si="0"/>
        <v/>
      </c>
      <c r="Y16" s="10">
        <f t="shared" si="1"/>
        <v>0</v>
      </c>
      <c r="Z16" s="5">
        <f t="shared" si="2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9" t="str">
        <f t="shared" si="0"/>
        <v/>
      </c>
      <c r="Y17" s="10">
        <f t="shared" si="1"/>
        <v>0</v>
      </c>
      <c r="Z17" s="5">
        <f t="shared" si="2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9" t="str">
        <f t="shared" si="0"/>
        <v/>
      </c>
      <c r="Y18" s="10">
        <f t="shared" si="1"/>
        <v>0</v>
      </c>
      <c r="Z18" s="5">
        <f t="shared" si="2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9" t="str">
        <f t="shared" si="0"/>
        <v/>
      </c>
      <c r="Y19" s="10">
        <f t="shared" si="1"/>
        <v>0</v>
      </c>
      <c r="Z19" s="5">
        <f t="shared" si="2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9" t="str">
        <f t="shared" si="0"/>
        <v/>
      </c>
      <c r="Y20" s="10">
        <f t="shared" si="1"/>
        <v>0</v>
      </c>
      <c r="Z20" s="5">
        <f t="shared" si="2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9" t="str">
        <f t="shared" si="0"/>
        <v/>
      </c>
      <c r="Y21" s="10">
        <f t="shared" si="1"/>
        <v>0</v>
      </c>
      <c r="Z21" s="5">
        <f t="shared" si="2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9" t="str">
        <f t="shared" si="0"/>
        <v/>
      </c>
      <c r="Y22" s="10">
        <f t="shared" si="1"/>
        <v>0</v>
      </c>
      <c r="Z22" s="5">
        <f t="shared" si="2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9" t="str">
        <f t="shared" si="0"/>
        <v/>
      </c>
      <c r="Y23" s="10">
        <f t="shared" si="1"/>
        <v>0</v>
      </c>
      <c r="Z23" s="5">
        <f t="shared" si="2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9" t="str">
        <f t="shared" si="0"/>
        <v/>
      </c>
      <c r="Y24" s="10">
        <f t="shared" si="1"/>
        <v>0</v>
      </c>
      <c r="Z24" s="5">
        <f t="shared" si="2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9" t="str">
        <f t="shared" si="0"/>
        <v/>
      </c>
      <c r="Y25" s="10">
        <f t="shared" si="1"/>
        <v>0</v>
      </c>
      <c r="Z25" s="5">
        <f t="shared" si="2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9" t="str">
        <f t="shared" si="0"/>
        <v/>
      </c>
      <c r="Y26" s="10">
        <f t="shared" si="1"/>
        <v>0</v>
      </c>
      <c r="Z26" s="5">
        <f t="shared" si="2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9" t="str">
        <f t="shared" si="0"/>
        <v/>
      </c>
      <c r="Y27" s="10">
        <f t="shared" si="1"/>
        <v>0</v>
      </c>
      <c r="Z27" s="5">
        <f t="shared" si="2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9" t="str">
        <f t="shared" si="0"/>
        <v/>
      </c>
      <c r="Y28" s="10">
        <f t="shared" si="1"/>
        <v>0</v>
      </c>
      <c r="Z28" s="5">
        <f t="shared" si="2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9" t="str">
        <f t="shared" si="0"/>
        <v/>
      </c>
      <c r="Y29" s="10">
        <f t="shared" si="1"/>
        <v>0</v>
      </c>
      <c r="Z29" s="5">
        <f t="shared" si="2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9" t="str">
        <f t="shared" si="0"/>
        <v/>
      </c>
      <c r="Y30" s="10">
        <f t="shared" si="1"/>
        <v>0</v>
      </c>
      <c r="Z30" s="5">
        <f t="shared" si="2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9" t="str">
        <f t="shared" si="0"/>
        <v/>
      </c>
      <c r="Y31" s="10">
        <f t="shared" si="1"/>
        <v>0</v>
      </c>
      <c r="Z31" s="5">
        <f t="shared" si="2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9" t="str">
        <f t="shared" si="0"/>
        <v/>
      </c>
      <c r="Y32" s="10">
        <f t="shared" si="1"/>
        <v>0</v>
      </c>
      <c r="Z32" s="5">
        <f t="shared" si="2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9" t="str">
        <f t="shared" si="0"/>
        <v/>
      </c>
      <c r="Y33" s="10">
        <f t="shared" si="1"/>
        <v>0</v>
      </c>
      <c r="Z33" s="5">
        <f t="shared" si="2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9" t="str">
        <f t="shared" si="0"/>
        <v/>
      </c>
      <c r="Y34" s="10">
        <f t="shared" si="1"/>
        <v>0</v>
      </c>
      <c r="Z34" s="5">
        <f t="shared" si="2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9" t="str">
        <f t="shared" si="0"/>
        <v/>
      </c>
      <c r="Y35" s="10">
        <f t="shared" si="1"/>
        <v>0</v>
      </c>
      <c r="Z35" s="5">
        <f t="shared" si="2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9" t="str">
        <f t="shared" si="0"/>
        <v/>
      </c>
      <c r="Y36" s="10">
        <f t="shared" si="1"/>
        <v>0</v>
      </c>
      <c r="Z36" s="5">
        <f t="shared" si="2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9" t="str">
        <f t="shared" si="0"/>
        <v/>
      </c>
      <c r="Y37" s="10">
        <f t="shared" si="1"/>
        <v>0</v>
      </c>
      <c r="Z37" s="5">
        <f t="shared" si="2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9" t="str">
        <f t="shared" si="0"/>
        <v/>
      </c>
      <c r="Y38" s="10">
        <f t="shared" si="1"/>
        <v>0</v>
      </c>
      <c r="Z38" s="5">
        <f t="shared" si="2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9" t="str">
        <f t="shared" si="0"/>
        <v/>
      </c>
      <c r="Y39" s="10">
        <f t="shared" si="1"/>
        <v>0</v>
      </c>
      <c r="Z39" s="5">
        <f t="shared" si="2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9" t="str">
        <f t="shared" si="0"/>
        <v/>
      </c>
      <c r="Y40" s="10">
        <f t="shared" si="1"/>
        <v>0</v>
      </c>
      <c r="Z40" s="5">
        <f t="shared" si="2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9" t="str">
        <f t="shared" si="0"/>
        <v/>
      </c>
      <c r="Y41" s="10">
        <f t="shared" si="1"/>
        <v>0</v>
      </c>
      <c r="Z41" s="5">
        <f t="shared" si="2"/>
        <v>0</v>
      </c>
    </row>
    <row r="42" spans="4:26" x14ac:dyDescent="0.25">
      <c r="D42" s="7" t="s">
        <v>11</v>
      </c>
      <c r="E42" s="5">
        <f>SUM(E2:E41)</f>
        <v>126.1</v>
      </c>
      <c r="F42" s="5">
        <f t="shared" ref="F42:I42" si="3">SUM(F2:F41)</f>
        <v>10.040000000000001</v>
      </c>
      <c r="G42" s="5">
        <f t="shared" si="3"/>
        <v>0</v>
      </c>
      <c r="H42" s="5">
        <f t="shared" si="3"/>
        <v>2.87</v>
      </c>
      <c r="I42" s="5">
        <f t="shared" si="3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:B1">
    <cfRule type="expression" dxfId="15" priority="1">
      <formula>$AA$2="+"</formula>
    </cfRule>
    <cfRule type="expression" dxfId="14" priority="2">
      <formula>$M$3=$N$3</formula>
    </cfRule>
  </conditionalFormatting>
  <conditionalFormatting sqref="S3">
    <cfRule type="expression" dxfId="13" priority="11">
      <formula>$AA$2="+"</formula>
    </cfRule>
  </conditionalFormatting>
  <conditionalFormatting sqref="AA2">
    <cfRule type="expression" dxfId="12" priority="12">
      <formula>$AA$2="+"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860C-6895-4117-8CA4-0B2D4DA1EC46}">
  <sheetPr>
    <tabColor rgb="FFFF0000"/>
  </sheetPr>
  <dimension ref="A1:AA42"/>
  <sheetViews>
    <sheetView workbookViewId="0">
      <selection activeCell="B6" sqref="B6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34</v>
      </c>
      <c r="D1" s="7" t="s">
        <v>10</v>
      </c>
      <c r="E1" s="7" t="s">
        <v>0</v>
      </c>
      <c r="F1" s="7" t="s">
        <v>6</v>
      </c>
      <c r="G1" s="7" t="s">
        <v>0</v>
      </c>
      <c r="H1" s="7" t="s">
        <v>6</v>
      </c>
      <c r="I1" s="7" t="s">
        <v>36</v>
      </c>
      <c r="J1" s="11" t="s">
        <v>10</v>
      </c>
      <c r="K1" s="11" t="s">
        <v>22</v>
      </c>
      <c r="M1" s="26" t="s">
        <v>0</v>
      </c>
      <c r="N1" s="28"/>
      <c r="O1" s="26" t="s">
        <v>6</v>
      </c>
      <c r="P1" s="28"/>
      <c r="Q1" s="31" t="s">
        <v>37</v>
      </c>
      <c r="R1" s="31" t="s">
        <v>23</v>
      </c>
      <c r="S1" s="31" t="s">
        <v>47</v>
      </c>
      <c r="Y1" s="12" t="s">
        <v>10</v>
      </c>
      <c r="Z1" s="7" t="s">
        <v>38</v>
      </c>
      <c r="AA1" s="7" t="s">
        <v>47</v>
      </c>
    </row>
    <row r="2" spans="1:27" x14ac:dyDescent="0.25">
      <c r="A2" s="8" t="s">
        <v>1</v>
      </c>
      <c r="B2" s="3" t="s">
        <v>33</v>
      </c>
      <c r="D2" s="10">
        <v>46081</v>
      </c>
      <c r="E2" s="5">
        <v>0</v>
      </c>
      <c r="F2" s="5">
        <v>2.9</v>
      </c>
      <c r="G2" s="5">
        <v>0</v>
      </c>
      <c r="H2" s="5">
        <v>2.9</v>
      </c>
      <c r="I2" s="5">
        <v>0</v>
      </c>
      <c r="J2" s="10">
        <v>46086</v>
      </c>
      <c r="K2" s="9">
        <f>IF(J2&gt;0,J2-D2,"")</f>
        <v>5</v>
      </c>
      <c r="M2" s="13" t="s">
        <v>39</v>
      </c>
      <c r="N2" s="13" t="s">
        <v>23</v>
      </c>
      <c r="O2" s="7" t="s">
        <v>40</v>
      </c>
      <c r="P2" s="7" t="s">
        <v>41</v>
      </c>
      <c r="Q2" s="32"/>
      <c r="R2" s="32"/>
      <c r="S2" s="32"/>
      <c r="Y2" s="10">
        <f>B3</f>
        <v>45979</v>
      </c>
      <c r="Z2" s="3">
        <f>B11*-1</f>
        <v>-125</v>
      </c>
      <c r="AA2" s="3" t="str">
        <f ca="1">IF(COUNTIFS(D:D,"&lt;"&amp;TODAY(),J:J,"")&gt;0,"+","")</f>
        <v>+</v>
      </c>
    </row>
    <row r="3" spans="1:27" x14ac:dyDescent="0.25">
      <c r="A3" s="8" t="s">
        <v>8</v>
      </c>
      <c r="B3" s="10">
        <v>45979</v>
      </c>
      <c r="D3" s="10">
        <v>46173</v>
      </c>
      <c r="E3" s="5">
        <v>0</v>
      </c>
      <c r="F3" s="3">
        <v>2.84</v>
      </c>
      <c r="G3" s="5"/>
      <c r="H3" s="5"/>
      <c r="I3" s="5"/>
      <c r="J3" s="10"/>
      <c r="K3" s="9" t="str">
        <f t="shared" ref="K3:K41" si="0">IF(J3&gt;0,J3-D3,"")</f>
        <v/>
      </c>
      <c r="M3" s="5">
        <f>B11</f>
        <v>125</v>
      </c>
      <c r="N3" s="5">
        <f>G42</f>
        <v>0</v>
      </c>
      <c r="O3" s="5">
        <f>F42</f>
        <v>8.36</v>
      </c>
      <c r="P3" s="5">
        <f>H42+I42</f>
        <v>2.9</v>
      </c>
      <c r="Q3" s="14" t="str">
        <f>IF(M3=N3,XIRR(Z2:Z41,Y2:Y41),"")</f>
        <v/>
      </c>
      <c r="R3" s="10" t="str">
        <f>IF(M3=N3,B14,"")</f>
        <v/>
      </c>
      <c r="S3" s="3">
        <f ca="1">IF(COUNTIFS(D:D,"&lt;"&amp;TODAY(),J:J,"")=0,"",TODAY()-_xlfn.MINIFS(D:D,D:D,"&lt;"&amp;TODAY(),J:J,""))</f>
        <v>134</v>
      </c>
      <c r="Y3" s="10">
        <f>J2</f>
        <v>46086</v>
      </c>
      <c r="Z3" s="5">
        <f>G2+H2+I2</f>
        <v>2.9</v>
      </c>
    </row>
    <row r="4" spans="1:27" x14ac:dyDescent="0.25">
      <c r="A4" s="8" t="s">
        <v>12</v>
      </c>
      <c r="B4" s="10">
        <v>45987</v>
      </c>
      <c r="D4" s="10">
        <v>46258</v>
      </c>
      <c r="E4" s="5">
        <v>125</v>
      </c>
      <c r="F4" s="3">
        <v>2.62</v>
      </c>
      <c r="G4" s="5"/>
      <c r="H4" s="5"/>
      <c r="I4" s="5"/>
      <c r="J4" s="10"/>
      <c r="K4" s="9" t="str">
        <f t="shared" si="0"/>
        <v/>
      </c>
      <c r="Y4" s="10">
        <f t="shared" ref="Y4:Y41" si="1">J3</f>
        <v>0</v>
      </c>
      <c r="Z4" s="5">
        <f t="shared" ref="Z4:Z41" si="2">G3+H3+I3</f>
        <v>0</v>
      </c>
    </row>
    <row r="5" spans="1:27" x14ac:dyDescent="0.25">
      <c r="A5" s="8" t="s">
        <v>2</v>
      </c>
      <c r="B5" s="3" t="s">
        <v>35</v>
      </c>
      <c r="D5" s="10"/>
      <c r="E5" s="5"/>
      <c r="F5" s="3"/>
      <c r="G5" s="5"/>
      <c r="H5" s="5"/>
      <c r="I5" s="3"/>
      <c r="J5" s="10"/>
      <c r="K5" s="9" t="str">
        <f t="shared" si="0"/>
        <v/>
      </c>
      <c r="Y5" s="10">
        <f t="shared" si="1"/>
        <v>0</v>
      </c>
      <c r="Z5" s="5">
        <f t="shared" si="2"/>
        <v>0</v>
      </c>
    </row>
    <row r="6" spans="1:27" x14ac:dyDescent="0.25">
      <c r="A6" s="8" t="s">
        <v>13</v>
      </c>
      <c r="B6" s="4">
        <v>0.42</v>
      </c>
      <c r="D6" s="10"/>
      <c r="E6" s="5"/>
      <c r="F6" s="5"/>
      <c r="G6" s="5"/>
      <c r="H6" s="5"/>
      <c r="I6" s="3"/>
      <c r="J6" s="10"/>
      <c r="K6" s="9" t="str">
        <f t="shared" si="0"/>
        <v/>
      </c>
      <c r="Y6" s="10">
        <f t="shared" si="1"/>
        <v>0</v>
      </c>
      <c r="Z6" s="5">
        <f t="shared" si="2"/>
        <v>0</v>
      </c>
    </row>
    <row r="7" spans="1:27" x14ac:dyDescent="0.25">
      <c r="A7" s="8" t="s">
        <v>14</v>
      </c>
      <c r="B7" s="4">
        <v>0.66</v>
      </c>
      <c r="D7" s="10"/>
      <c r="E7" s="5"/>
      <c r="F7" s="3"/>
      <c r="G7" s="5"/>
      <c r="H7" s="5"/>
      <c r="I7" s="3"/>
      <c r="J7" s="10"/>
      <c r="K7" s="9" t="str">
        <f t="shared" si="0"/>
        <v/>
      </c>
      <c r="Y7" s="10">
        <f t="shared" si="1"/>
        <v>0</v>
      </c>
      <c r="Z7" s="5">
        <f t="shared" si="2"/>
        <v>0</v>
      </c>
    </row>
    <row r="8" spans="1:27" x14ac:dyDescent="0.25">
      <c r="A8" s="8" t="s">
        <v>4</v>
      </c>
      <c r="B8" s="3">
        <v>9</v>
      </c>
      <c r="D8" s="10"/>
      <c r="E8" s="5"/>
      <c r="F8" s="3"/>
      <c r="G8" s="2"/>
      <c r="H8" s="2"/>
      <c r="I8" s="2"/>
      <c r="J8" s="10"/>
      <c r="K8" s="9" t="str">
        <f t="shared" si="0"/>
        <v/>
      </c>
      <c r="Y8" s="10">
        <f t="shared" si="1"/>
        <v>0</v>
      </c>
      <c r="Z8" s="5">
        <f t="shared" si="2"/>
        <v>0</v>
      </c>
    </row>
    <row r="9" spans="1:27" x14ac:dyDescent="0.25">
      <c r="A9" s="8" t="s">
        <v>5</v>
      </c>
      <c r="B9" s="3" t="s">
        <v>9</v>
      </c>
      <c r="D9" s="10"/>
      <c r="E9" s="5"/>
      <c r="F9" s="3"/>
      <c r="G9" s="2"/>
      <c r="H9" s="2"/>
      <c r="I9" s="2"/>
      <c r="J9" s="10"/>
      <c r="K9" s="9" t="str">
        <f t="shared" si="0"/>
        <v/>
      </c>
      <c r="Y9" s="10">
        <f t="shared" si="1"/>
        <v>0</v>
      </c>
      <c r="Z9" s="5">
        <f t="shared" si="2"/>
        <v>0</v>
      </c>
    </row>
    <row r="10" spans="1:27" x14ac:dyDescent="0.25">
      <c r="A10" s="8" t="s">
        <v>7</v>
      </c>
      <c r="B10" s="6">
        <v>0.09</v>
      </c>
      <c r="D10" s="10"/>
      <c r="E10" s="5"/>
      <c r="F10" s="3"/>
      <c r="G10" s="2"/>
      <c r="H10" s="2"/>
      <c r="I10" s="2"/>
      <c r="J10" s="10"/>
      <c r="K10" s="9" t="str">
        <f t="shared" si="0"/>
        <v/>
      </c>
      <c r="Y10" s="10">
        <f t="shared" si="1"/>
        <v>0</v>
      </c>
      <c r="Z10" s="5">
        <f t="shared" si="2"/>
        <v>0</v>
      </c>
    </row>
    <row r="11" spans="1:27" x14ac:dyDescent="0.25">
      <c r="A11" s="8" t="s">
        <v>60</v>
      </c>
      <c r="B11" s="5">
        <v>125</v>
      </c>
      <c r="D11" s="10"/>
      <c r="E11" s="5"/>
      <c r="F11" s="3"/>
      <c r="G11" s="2"/>
      <c r="H11" s="2"/>
      <c r="I11" s="2"/>
      <c r="J11" s="10"/>
      <c r="K11" s="9" t="str">
        <f t="shared" si="0"/>
        <v/>
      </c>
      <c r="Y11" s="10">
        <f t="shared" si="1"/>
        <v>0</v>
      </c>
      <c r="Z11" s="5">
        <f t="shared" si="2"/>
        <v>0</v>
      </c>
    </row>
    <row r="12" spans="1:27" x14ac:dyDescent="0.25">
      <c r="A12" s="8" t="s">
        <v>44</v>
      </c>
      <c r="B12" s="10">
        <v>46258</v>
      </c>
      <c r="D12" s="10"/>
      <c r="E12" s="5"/>
      <c r="F12" s="5"/>
      <c r="G12" s="5"/>
      <c r="H12" s="5"/>
      <c r="I12" s="5"/>
      <c r="J12" s="10"/>
      <c r="K12" s="9" t="str">
        <f t="shared" si="0"/>
        <v/>
      </c>
      <c r="Y12" s="10">
        <f t="shared" si="1"/>
        <v>0</v>
      </c>
      <c r="Z12" s="5">
        <f t="shared" si="2"/>
        <v>0</v>
      </c>
    </row>
    <row r="13" spans="1:27" x14ac:dyDescent="0.25">
      <c r="A13" s="8" t="s">
        <v>48</v>
      </c>
      <c r="B13" s="9">
        <f ca="1">IF(B11&lt;&gt;N3,(TODAY()-B12)*-1,"")</f>
        <v>-49</v>
      </c>
      <c r="D13" s="10"/>
      <c r="E13" s="5"/>
      <c r="F13" s="5"/>
      <c r="G13" s="5"/>
      <c r="H13" s="5"/>
      <c r="I13" s="5"/>
      <c r="J13" s="15"/>
      <c r="K13" s="9" t="str">
        <f t="shared" si="0"/>
        <v/>
      </c>
      <c r="Y13" s="10">
        <f t="shared" si="1"/>
        <v>0</v>
      </c>
      <c r="Z13" s="5">
        <f t="shared" si="2"/>
        <v>0</v>
      </c>
    </row>
    <row r="14" spans="1:27" x14ac:dyDescent="0.25">
      <c r="A14" s="8" t="s">
        <v>23</v>
      </c>
      <c r="B14" s="10"/>
      <c r="D14" s="7"/>
      <c r="E14" s="5"/>
      <c r="F14" s="5"/>
      <c r="G14" s="5"/>
      <c r="H14" s="5"/>
      <c r="I14" s="5"/>
      <c r="J14" s="3"/>
      <c r="K14" s="9" t="str">
        <f t="shared" si="0"/>
        <v/>
      </c>
      <c r="Y14" s="10">
        <f t="shared" si="1"/>
        <v>0</v>
      </c>
      <c r="Z14" s="5">
        <f t="shared" si="2"/>
        <v>0</v>
      </c>
    </row>
    <row r="15" spans="1:27" x14ac:dyDescent="0.25">
      <c r="A15" s="8" t="s">
        <v>61</v>
      </c>
      <c r="B15" s="3" t="str">
        <f>IF(M3=N3,B14-B12,"")</f>
        <v/>
      </c>
      <c r="D15" s="7"/>
      <c r="E15" s="5"/>
      <c r="F15" s="5"/>
      <c r="G15" s="5"/>
      <c r="H15" s="5"/>
      <c r="I15" s="5"/>
      <c r="J15" s="3"/>
      <c r="K15" s="9" t="str">
        <f t="shared" si="0"/>
        <v/>
      </c>
      <c r="Y15" s="10">
        <f t="shared" si="1"/>
        <v>0</v>
      </c>
      <c r="Z15" s="5">
        <f t="shared" si="2"/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9" t="str">
        <f t="shared" si="0"/>
        <v/>
      </c>
      <c r="Y16" s="10">
        <f t="shared" si="1"/>
        <v>0</v>
      </c>
      <c r="Z16" s="5">
        <f t="shared" si="2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9" t="str">
        <f t="shared" si="0"/>
        <v/>
      </c>
      <c r="Y17" s="10">
        <f t="shared" si="1"/>
        <v>0</v>
      </c>
      <c r="Z17" s="5">
        <f t="shared" si="2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9" t="str">
        <f t="shared" si="0"/>
        <v/>
      </c>
      <c r="Y18" s="10">
        <f t="shared" si="1"/>
        <v>0</v>
      </c>
      <c r="Z18" s="5">
        <f t="shared" si="2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9" t="str">
        <f t="shared" si="0"/>
        <v/>
      </c>
      <c r="Y19" s="10">
        <f t="shared" si="1"/>
        <v>0</v>
      </c>
      <c r="Z19" s="5">
        <f t="shared" si="2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9" t="str">
        <f t="shared" si="0"/>
        <v/>
      </c>
      <c r="Y20" s="10">
        <f t="shared" si="1"/>
        <v>0</v>
      </c>
      <c r="Z20" s="5">
        <f t="shared" si="2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9" t="str">
        <f t="shared" si="0"/>
        <v/>
      </c>
      <c r="Y21" s="10">
        <f t="shared" si="1"/>
        <v>0</v>
      </c>
      <c r="Z21" s="5">
        <f t="shared" si="2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9" t="str">
        <f t="shared" si="0"/>
        <v/>
      </c>
      <c r="Y22" s="10">
        <f t="shared" si="1"/>
        <v>0</v>
      </c>
      <c r="Z22" s="5">
        <f t="shared" si="2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9" t="str">
        <f t="shared" si="0"/>
        <v/>
      </c>
      <c r="Y23" s="10">
        <f t="shared" si="1"/>
        <v>0</v>
      </c>
      <c r="Z23" s="5">
        <f t="shared" si="2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9" t="str">
        <f t="shared" si="0"/>
        <v/>
      </c>
      <c r="Y24" s="10">
        <f t="shared" si="1"/>
        <v>0</v>
      </c>
      <c r="Z24" s="5">
        <f t="shared" si="2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9" t="str">
        <f t="shared" si="0"/>
        <v/>
      </c>
      <c r="Y25" s="10">
        <f t="shared" si="1"/>
        <v>0</v>
      </c>
      <c r="Z25" s="5">
        <f t="shared" si="2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9" t="str">
        <f t="shared" si="0"/>
        <v/>
      </c>
      <c r="Y26" s="10">
        <f t="shared" si="1"/>
        <v>0</v>
      </c>
      <c r="Z26" s="5">
        <f t="shared" si="2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9" t="str">
        <f t="shared" si="0"/>
        <v/>
      </c>
      <c r="Y27" s="10">
        <f t="shared" si="1"/>
        <v>0</v>
      </c>
      <c r="Z27" s="5">
        <f t="shared" si="2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9" t="str">
        <f t="shared" si="0"/>
        <v/>
      </c>
      <c r="Y28" s="10">
        <f t="shared" si="1"/>
        <v>0</v>
      </c>
      <c r="Z28" s="5">
        <f t="shared" si="2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9" t="str">
        <f t="shared" si="0"/>
        <v/>
      </c>
      <c r="Y29" s="10">
        <f t="shared" si="1"/>
        <v>0</v>
      </c>
      <c r="Z29" s="5">
        <f t="shared" si="2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9" t="str">
        <f t="shared" si="0"/>
        <v/>
      </c>
      <c r="Y30" s="10">
        <f t="shared" si="1"/>
        <v>0</v>
      </c>
      <c r="Z30" s="5">
        <f t="shared" si="2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9" t="str">
        <f t="shared" si="0"/>
        <v/>
      </c>
      <c r="Y31" s="10">
        <f t="shared" si="1"/>
        <v>0</v>
      </c>
      <c r="Z31" s="5">
        <f t="shared" si="2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9" t="str">
        <f t="shared" si="0"/>
        <v/>
      </c>
      <c r="Y32" s="10">
        <f t="shared" si="1"/>
        <v>0</v>
      </c>
      <c r="Z32" s="5">
        <f t="shared" si="2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9" t="str">
        <f t="shared" si="0"/>
        <v/>
      </c>
      <c r="Y33" s="10">
        <f t="shared" si="1"/>
        <v>0</v>
      </c>
      <c r="Z33" s="5">
        <f t="shared" si="2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9" t="str">
        <f t="shared" si="0"/>
        <v/>
      </c>
      <c r="Y34" s="10">
        <f t="shared" si="1"/>
        <v>0</v>
      </c>
      <c r="Z34" s="5">
        <f t="shared" si="2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9" t="str">
        <f t="shared" si="0"/>
        <v/>
      </c>
      <c r="Y35" s="10">
        <f t="shared" si="1"/>
        <v>0</v>
      </c>
      <c r="Z35" s="5">
        <f t="shared" si="2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9" t="str">
        <f t="shared" si="0"/>
        <v/>
      </c>
      <c r="Y36" s="10">
        <f t="shared" si="1"/>
        <v>0</v>
      </c>
      <c r="Z36" s="5">
        <f t="shared" si="2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9" t="str">
        <f t="shared" si="0"/>
        <v/>
      </c>
      <c r="Y37" s="10">
        <f t="shared" si="1"/>
        <v>0</v>
      </c>
      <c r="Z37" s="5">
        <f t="shared" si="2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9" t="str">
        <f t="shared" si="0"/>
        <v/>
      </c>
      <c r="Y38" s="10">
        <f t="shared" si="1"/>
        <v>0</v>
      </c>
      <c r="Z38" s="5">
        <f t="shared" si="2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9" t="str">
        <f t="shared" si="0"/>
        <v/>
      </c>
      <c r="Y39" s="10">
        <f t="shared" si="1"/>
        <v>0</v>
      </c>
      <c r="Z39" s="5">
        <f t="shared" si="2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9" t="str">
        <f t="shared" si="0"/>
        <v/>
      </c>
      <c r="Y40" s="10">
        <f t="shared" si="1"/>
        <v>0</v>
      </c>
      <c r="Z40" s="5">
        <f t="shared" si="2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9" t="str">
        <f t="shared" si="0"/>
        <v/>
      </c>
      <c r="Y41" s="10">
        <f t="shared" si="1"/>
        <v>0</v>
      </c>
      <c r="Z41" s="5">
        <f t="shared" si="2"/>
        <v>0</v>
      </c>
    </row>
    <row r="42" spans="4:26" x14ac:dyDescent="0.25">
      <c r="D42" s="7" t="s">
        <v>11</v>
      </c>
      <c r="E42" s="5">
        <f>SUM(E2:E41)</f>
        <v>125</v>
      </c>
      <c r="F42" s="5">
        <f t="shared" ref="F42:I42" si="3">SUM(F2:F41)</f>
        <v>8.36</v>
      </c>
      <c r="G42" s="5">
        <f t="shared" si="3"/>
        <v>0</v>
      </c>
      <c r="H42" s="5">
        <f t="shared" si="3"/>
        <v>2.9</v>
      </c>
      <c r="I42" s="5">
        <f t="shared" si="3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:B1">
    <cfRule type="expression" dxfId="11" priority="1">
      <formula>$AA$2="+"</formula>
    </cfRule>
    <cfRule type="expression" dxfId="10" priority="2">
      <formula>$M$3=$N$3</formula>
    </cfRule>
  </conditionalFormatting>
  <conditionalFormatting sqref="S3">
    <cfRule type="expression" dxfId="9" priority="11">
      <formula>$AA$2="+"</formula>
    </cfRule>
  </conditionalFormatting>
  <conditionalFormatting sqref="AA2">
    <cfRule type="expression" dxfId="8" priority="12">
      <formula>$AA$2="+"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15147-B736-4A0C-95EF-0F86A2EF4544}">
  <sheetPr>
    <tabColor rgb="FF92D050"/>
  </sheetPr>
  <dimension ref="A1:AA42"/>
  <sheetViews>
    <sheetView workbookViewId="0">
      <selection activeCell="I5" sqref="I5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30</v>
      </c>
      <c r="D1" s="7" t="s">
        <v>10</v>
      </c>
      <c r="E1" s="7" t="s">
        <v>0</v>
      </c>
      <c r="F1" s="7" t="s">
        <v>6</v>
      </c>
      <c r="G1" s="7" t="s">
        <v>0</v>
      </c>
      <c r="H1" s="7" t="s">
        <v>6</v>
      </c>
      <c r="I1" s="7" t="s">
        <v>36</v>
      </c>
      <c r="J1" s="11" t="s">
        <v>10</v>
      </c>
      <c r="K1" s="11" t="s">
        <v>22</v>
      </c>
      <c r="M1" s="26" t="s">
        <v>0</v>
      </c>
      <c r="N1" s="28"/>
      <c r="O1" s="26" t="s">
        <v>6</v>
      </c>
      <c r="P1" s="28"/>
      <c r="Q1" s="31" t="s">
        <v>37</v>
      </c>
      <c r="R1" s="31" t="s">
        <v>23</v>
      </c>
      <c r="S1" s="31" t="s">
        <v>47</v>
      </c>
      <c r="Y1" s="12" t="s">
        <v>10</v>
      </c>
      <c r="Z1" s="7" t="s">
        <v>38</v>
      </c>
      <c r="AA1" s="7" t="s">
        <v>47</v>
      </c>
    </row>
    <row r="2" spans="1:27" x14ac:dyDescent="0.25">
      <c r="A2" s="8" t="s">
        <v>1</v>
      </c>
      <c r="B2" s="3" t="s">
        <v>31</v>
      </c>
      <c r="D2" s="10">
        <v>46022</v>
      </c>
      <c r="E2" s="5">
        <v>0</v>
      </c>
      <c r="F2" s="3">
        <v>3.13</v>
      </c>
      <c r="G2" s="5">
        <v>0</v>
      </c>
      <c r="H2" s="5">
        <v>3.13</v>
      </c>
      <c r="I2" s="5">
        <v>0</v>
      </c>
      <c r="J2" s="10">
        <v>46022</v>
      </c>
      <c r="K2" s="9">
        <f>IF(J2&gt;0,J2-D2,"")</f>
        <v>0</v>
      </c>
      <c r="M2" s="13" t="s">
        <v>39</v>
      </c>
      <c r="N2" s="13" t="s">
        <v>23</v>
      </c>
      <c r="O2" s="7" t="s">
        <v>40</v>
      </c>
      <c r="P2" s="7" t="s">
        <v>41</v>
      </c>
      <c r="Q2" s="32"/>
      <c r="R2" s="32"/>
      <c r="S2" s="32"/>
      <c r="Y2" s="10">
        <f>B3</f>
        <v>45899</v>
      </c>
      <c r="Z2" s="3">
        <f>B11*-1</f>
        <v>-100</v>
      </c>
      <c r="AA2" s="3" t="str">
        <f ca="1">IF(COUNTIFS(D:D,"&lt;"&amp;TODAY(),J:J,"")&gt;0,"+","")</f>
        <v/>
      </c>
    </row>
    <row r="3" spans="1:27" x14ac:dyDescent="0.25">
      <c r="A3" s="8" t="s">
        <v>8</v>
      </c>
      <c r="B3" s="10">
        <v>45899</v>
      </c>
      <c r="D3" s="10">
        <v>46112</v>
      </c>
      <c r="E3" s="5">
        <v>0</v>
      </c>
      <c r="F3" s="3">
        <v>2.34</v>
      </c>
      <c r="G3" s="5">
        <v>0</v>
      </c>
      <c r="H3" s="5">
        <v>2.34</v>
      </c>
      <c r="I3" s="5">
        <v>0</v>
      </c>
      <c r="J3" s="10">
        <v>46113</v>
      </c>
      <c r="K3" s="9">
        <f t="shared" ref="K3:K41" si="0">IF(J3&gt;0,J3-D3,"")</f>
        <v>1</v>
      </c>
      <c r="M3" s="5">
        <f>B11</f>
        <v>100</v>
      </c>
      <c r="N3" s="5">
        <f>G42</f>
        <v>100</v>
      </c>
      <c r="O3" s="5">
        <f>F42</f>
        <v>9.4499999999999993</v>
      </c>
      <c r="P3" s="5">
        <f>H42+I42</f>
        <v>6.43</v>
      </c>
      <c r="Q3" s="14">
        <f>IF(M3=N3,XIRR(Z2:Z41,Y2:Y41),"")</f>
        <v>9.5190784335136405E-2</v>
      </c>
      <c r="R3" s="10">
        <f>IF(M3=N3,B14,"")</f>
        <v>46154</v>
      </c>
      <c r="S3" s="3" t="str">
        <f ca="1">IF(COUNTIFS(D:D,"&lt;"&amp;TODAY(),J:J,"")=0,"",TODAY()-_xlfn.MINIFS(D:D,D:D,"&lt;"&amp;TODAY(),J:J,""))</f>
        <v/>
      </c>
      <c r="Y3" s="10">
        <f>J2</f>
        <v>46022</v>
      </c>
      <c r="Z3" s="5">
        <f>G2+H2+I2</f>
        <v>3.13</v>
      </c>
    </row>
    <row r="4" spans="1:27" x14ac:dyDescent="0.25">
      <c r="A4" s="8" t="s">
        <v>12</v>
      </c>
      <c r="B4" s="10">
        <v>45902</v>
      </c>
      <c r="D4" s="10">
        <v>46203</v>
      </c>
      <c r="E4" s="5">
        <v>0</v>
      </c>
      <c r="F4" s="3">
        <v>2.37</v>
      </c>
      <c r="G4" s="5">
        <v>0</v>
      </c>
      <c r="H4" s="5">
        <v>0</v>
      </c>
      <c r="I4" s="5">
        <v>0</v>
      </c>
      <c r="J4" s="10">
        <v>46154</v>
      </c>
      <c r="K4" s="9">
        <f t="shared" si="0"/>
        <v>-49</v>
      </c>
      <c r="Y4" s="10">
        <f t="shared" ref="Y4:Y41" si="1">J3</f>
        <v>46113</v>
      </c>
      <c r="Z4" s="5">
        <f t="shared" ref="Z4:Z41" si="2">G3+H3+I3</f>
        <v>2.34</v>
      </c>
    </row>
    <row r="5" spans="1:27" x14ac:dyDescent="0.25">
      <c r="A5" s="8" t="s">
        <v>2</v>
      </c>
      <c r="B5" s="3" t="s">
        <v>32</v>
      </c>
      <c r="D5" s="10">
        <v>46265</v>
      </c>
      <c r="E5" s="5">
        <v>100</v>
      </c>
      <c r="F5" s="3">
        <v>1.61</v>
      </c>
      <c r="G5" s="5">
        <v>100</v>
      </c>
      <c r="H5" s="5">
        <v>0.96</v>
      </c>
      <c r="I5" s="5">
        <v>0</v>
      </c>
      <c r="J5" s="10">
        <v>46154</v>
      </c>
      <c r="K5" s="9">
        <f t="shared" si="0"/>
        <v>-111</v>
      </c>
      <c r="Y5" s="10">
        <f t="shared" si="1"/>
        <v>46154</v>
      </c>
      <c r="Z5" s="5">
        <f t="shared" si="2"/>
        <v>0</v>
      </c>
    </row>
    <row r="6" spans="1:27" x14ac:dyDescent="0.25">
      <c r="A6" s="8" t="s">
        <v>13</v>
      </c>
      <c r="B6" s="4">
        <v>0.56999999999999995</v>
      </c>
      <c r="D6" s="10"/>
      <c r="E6" s="5"/>
      <c r="F6" s="5"/>
      <c r="G6" s="5"/>
      <c r="H6" s="5"/>
      <c r="I6" s="3"/>
      <c r="J6" s="10"/>
      <c r="K6" s="9" t="str">
        <f t="shared" si="0"/>
        <v/>
      </c>
      <c r="Y6" s="10">
        <f t="shared" si="1"/>
        <v>46154</v>
      </c>
      <c r="Z6" s="5">
        <f t="shared" si="2"/>
        <v>100.96</v>
      </c>
    </row>
    <row r="7" spans="1:27" x14ac:dyDescent="0.25">
      <c r="A7" s="8" t="s">
        <v>14</v>
      </c>
      <c r="B7" s="4">
        <v>0.85</v>
      </c>
      <c r="D7" s="10"/>
      <c r="E7" s="5"/>
      <c r="F7" s="3"/>
      <c r="G7" s="5"/>
      <c r="H7" s="5"/>
      <c r="I7" s="3"/>
      <c r="J7" s="10"/>
      <c r="K7" s="9" t="str">
        <f t="shared" si="0"/>
        <v/>
      </c>
      <c r="Y7" s="10">
        <f t="shared" si="1"/>
        <v>0</v>
      </c>
      <c r="Z7" s="5">
        <f t="shared" si="2"/>
        <v>0</v>
      </c>
    </row>
    <row r="8" spans="1:27" x14ac:dyDescent="0.25">
      <c r="A8" s="8" t="s">
        <v>4</v>
      </c>
      <c r="B8" s="3">
        <v>12</v>
      </c>
      <c r="D8" s="10"/>
      <c r="E8" s="5"/>
      <c r="F8" s="3"/>
      <c r="G8" s="2"/>
      <c r="H8" s="2"/>
      <c r="I8" s="2"/>
      <c r="J8" s="10"/>
      <c r="K8" s="9" t="str">
        <f t="shared" si="0"/>
        <v/>
      </c>
      <c r="Y8" s="10">
        <f t="shared" si="1"/>
        <v>0</v>
      </c>
      <c r="Z8" s="5">
        <f t="shared" si="2"/>
        <v>0</v>
      </c>
    </row>
    <row r="9" spans="1:27" x14ac:dyDescent="0.25">
      <c r="A9" s="8" t="s">
        <v>5</v>
      </c>
      <c r="B9" s="3" t="s">
        <v>9</v>
      </c>
      <c r="D9" s="10"/>
      <c r="E9" s="5"/>
      <c r="F9" s="3"/>
      <c r="G9" s="2"/>
      <c r="H9" s="2"/>
      <c r="I9" s="2"/>
      <c r="J9" s="10"/>
      <c r="K9" s="9" t="str">
        <f t="shared" si="0"/>
        <v/>
      </c>
      <c r="Y9" s="10">
        <f t="shared" si="1"/>
        <v>0</v>
      </c>
      <c r="Z9" s="5">
        <f t="shared" si="2"/>
        <v>0</v>
      </c>
    </row>
    <row r="10" spans="1:27" x14ac:dyDescent="0.25">
      <c r="A10" s="8" t="s">
        <v>7</v>
      </c>
      <c r="B10" s="6">
        <v>9.5000000000000001E-2</v>
      </c>
      <c r="D10" s="10"/>
      <c r="E10" s="5"/>
      <c r="F10" s="3"/>
      <c r="G10" s="2"/>
      <c r="H10" s="2"/>
      <c r="I10" s="2"/>
      <c r="J10" s="10"/>
      <c r="K10" s="9" t="str">
        <f t="shared" si="0"/>
        <v/>
      </c>
      <c r="Y10" s="10">
        <f t="shared" si="1"/>
        <v>0</v>
      </c>
      <c r="Z10" s="5">
        <f t="shared" si="2"/>
        <v>0</v>
      </c>
    </row>
    <row r="11" spans="1:27" x14ac:dyDescent="0.25">
      <c r="A11" s="8" t="s">
        <v>60</v>
      </c>
      <c r="B11" s="5">
        <v>100</v>
      </c>
      <c r="D11" s="10"/>
      <c r="E11" s="5"/>
      <c r="F11" s="3"/>
      <c r="G11" s="2"/>
      <c r="H11" s="2"/>
      <c r="I11" s="2"/>
      <c r="J11" s="10"/>
      <c r="K11" s="9" t="str">
        <f t="shared" si="0"/>
        <v/>
      </c>
      <c r="Y11" s="10">
        <f t="shared" si="1"/>
        <v>0</v>
      </c>
      <c r="Z11" s="5">
        <f t="shared" si="2"/>
        <v>0</v>
      </c>
    </row>
    <row r="12" spans="1:27" x14ac:dyDescent="0.25">
      <c r="A12" s="8" t="s">
        <v>44</v>
      </c>
      <c r="B12" s="10">
        <v>46265</v>
      </c>
      <c r="D12" s="10"/>
      <c r="E12" s="5"/>
      <c r="F12" s="5"/>
      <c r="G12" s="5"/>
      <c r="H12" s="5"/>
      <c r="I12" s="5"/>
      <c r="J12" s="10"/>
      <c r="K12" s="9" t="str">
        <f t="shared" si="0"/>
        <v/>
      </c>
      <c r="Y12" s="10">
        <f t="shared" si="1"/>
        <v>0</v>
      </c>
      <c r="Z12" s="5">
        <f t="shared" si="2"/>
        <v>0</v>
      </c>
    </row>
    <row r="13" spans="1:27" x14ac:dyDescent="0.25">
      <c r="A13" s="8" t="s">
        <v>48</v>
      </c>
      <c r="B13" s="9" t="str">
        <f ca="1">IF(B11&lt;&gt;N3,(TODAY()-B12)*-1,"")</f>
        <v/>
      </c>
      <c r="D13" s="10"/>
      <c r="E13" s="5"/>
      <c r="F13" s="5"/>
      <c r="G13" s="5"/>
      <c r="H13" s="5"/>
      <c r="I13" s="5"/>
      <c r="J13" s="15"/>
      <c r="K13" s="9" t="str">
        <f t="shared" si="0"/>
        <v/>
      </c>
      <c r="Y13" s="10">
        <f t="shared" si="1"/>
        <v>0</v>
      </c>
      <c r="Z13" s="5">
        <f t="shared" si="2"/>
        <v>0</v>
      </c>
    </row>
    <row r="14" spans="1:27" x14ac:dyDescent="0.25">
      <c r="A14" s="8" t="s">
        <v>23</v>
      </c>
      <c r="B14" s="10">
        <v>46154</v>
      </c>
      <c r="D14" s="7"/>
      <c r="E14" s="5"/>
      <c r="F14" s="5"/>
      <c r="G14" s="5"/>
      <c r="H14" s="5"/>
      <c r="I14" s="5"/>
      <c r="J14" s="3"/>
      <c r="K14" s="9" t="str">
        <f t="shared" si="0"/>
        <v/>
      </c>
      <c r="Y14" s="10">
        <f t="shared" si="1"/>
        <v>0</v>
      </c>
      <c r="Z14" s="5">
        <f t="shared" si="2"/>
        <v>0</v>
      </c>
    </row>
    <row r="15" spans="1:27" x14ac:dyDescent="0.25">
      <c r="A15" s="8" t="s">
        <v>61</v>
      </c>
      <c r="B15" s="3">
        <f>IF(M3=N3,B14-B12,"")</f>
        <v>-111</v>
      </c>
      <c r="D15" s="7"/>
      <c r="E15" s="5"/>
      <c r="F15" s="5"/>
      <c r="G15" s="5"/>
      <c r="H15" s="5"/>
      <c r="I15" s="5"/>
      <c r="J15" s="3"/>
      <c r="K15" s="9" t="str">
        <f t="shared" si="0"/>
        <v/>
      </c>
      <c r="Y15" s="10">
        <f t="shared" si="1"/>
        <v>0</v>
      </c>
      <c r="Z15" s="5">
        <f t="shared" si="2"/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9" t="str">
        <f t="shared" si="0"/>
        <v/>
      </c>
      <c r="Y16" s="10">
        <f t="shared" si="1"/>
        <v>0</v>
      </c>
      <c r="Z16" s="5">
        <f t="shared" si="2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9" t="str">
        <f t="shared" si="0"/>
        <v/>
      </c>
      <c r="Y17" s="10">
        <f t="shared" si="1"/>
        <v>0</v>
      </c>
      <c r="Z17" s="5">
        <f t="shared" si="2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9" t="str">
        <f t="shared" si="0"/>
        <v/>
      </c>
      <c r="Y18" s="10">
        <f t="shared" si="1"/>
        <v>0</v>
      </c>
      <c r="Z18" s="5">
        <f t="shared" si="2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9" t="str">
        <f t="shared" si="0"/>
        <v/>
      </c>
      <c r="Y19" s="10">
        <f t="shared" si="1"/>
        <v>0</v>
      </c>
      <c r="Z19" s="5">
        <f t="shared" si="2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9" t="str">
        <f t="shared" si="0"/>
        <v/>
      </c>
      <c r="Y20" s="10">
        <f t="shared" si="1"/>
        <v>0</v>
      </c>
      <c r="Z20" s="5">
        <f t="shared" si="2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9" t="str">
        <f t="shared" si="0"/>
        <v/>
      </c>
      <c r="Y21" s="10">
        <f t="shared" si="1"/>
        <v>0</v>
      </c>
      <c r="Z21" s="5">
        <f t="shared" si="2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9" t="str">
        <f t="shared" si="0"/>
        <v/>
      </c>
      <c r="Y22" s="10">
        <f t="shared" si="1"/>
        <v>0</v>
      </c>
      <c r="Z22" s="5">
        <f t="shared" si="2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9" t="str">
        <f t="shared" si="0"/>
        <v/>
      </c>
      <c r="Y23" s="10">
        <f t="shared" si="1"/>
        <v>0</v>
      </c>
      <c r="Z23" s="5">
        <f t="shared" si="2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9" t="str">
        <f t="shared" si="0"/>
        <v/>
      </c>
      <c r="Y24" s="10">
        <f t="shared" si="1"/>
        <v>0</v>
      </c>
      <c r="Z24" s="5">
        <f t="shared" si="2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9" t="str">
        <f t="shared" si="0"/>
        <v/>
      </c>
      <c r="Y25" s="10">
        <f t="shared" si="1"/>
        <v>0</v>
      </c>
      <c r="Z25" s="5">
        <f t="shared" si="2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9" t="str">
        <f t="shared" si="0"/>
        <v/>
      </c>
      <c r="Y26" s="10">
        <f t="shared" si="1"/>
        <v>0</v>
      </c>
      <c r="Z26" s="5">
        <f t="shared" si="2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9" t="str">
        <f t="shared" si="0"/>
        <v/>
      </c>
      <c r="Y27" s="10">
        <f t="shared" si="1"/>
        <v>0</v>
      </c>
      <c r="Z27" s="5">
        <f t="shared" si="2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9" t="str">
        <f t="shared" si="0"/>
        <v/>
      </c>
      <c r="Y28" s="10">
        <f t="shared" si="1"/>
        <v>0</v>
      </c>
      <c r="Z28" s="5">
        <f t="shared" si="2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9" t="str">
        <f t="shared" si="0"/>
        <v/>
      </c>
      <c r="Y29" s="10">
        <f t="shared" si="1"/>
        <v>0</v>
      </c>
      <c r="Z29" s="5">
        <f t="shared" si="2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9" t="str">
        <f t="shared" si="0"/>
        <v/>
      </c>
      <c r="Y30" s="10">
        <f t="shared" si="1"/>
        <v>0</v>
      </c>
      <c r="Z30" s="5">
        <f t="shared" si="2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9" t="str">
        <f t="shared" si="0"/>
        <v/>
      </c>
      <c r="Y31" s="10">
        <f t="shared" si="1"/>
        <v>0</v>
      </c>
      <c r="Z31" s="5">
        <f t="shared" si="2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9" t="str">
        <f t="shared" si="0"/>
        <v/>
      </c>
      <c r="Y32" s="10">
        <f t="shared" si="1"/>
        <v>0</v>
      </c>
      <c r="Z32" s="5">
        <f t="shared" si="2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9" t="str">
        <f t="shared" si="0"/>
        <v/>
      </c>
      <c r="Y33" s="10">
        <f t="shared" si="1"/>
        <v>0</v>
      </c>
      <c r="Z33" s="5">
        <f t="shared" si="2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9" t="str">
        <f t="shared" si="0"/>
        <v/>
      </c>
      <c r="Y34" s="10">
        <f t="shared" si="1"/>
        <v>0</v>
      </c>
      <c r="Z34" s="5">
        <f t="shared" si="2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9" t="str">
        <f t="shared" si="0"/>
        <v/>
      </c>
      <c r="Y35" s="10">
        <f t="shared" si="1"/>
        <v>0</v>
      </c>
      <c r="Z35" s="5">
        <f t="shared" si="2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9" t="str">
        <f t="shared" si="0"/>
        <v/>
      </c>
      <c r="Y36" s="10">
        <f t="shared" si="1"/>
        <v>0</v>
      </c>
      <c r="Z36" s="5">
        <f t="shared" si="2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9" t="str">
        <f t="shared" si="0"/>
        <v/>
      </c>
      <c r="Y37" s="10">
        <f t="shared" si="1"/>
        <v>0</v>
      </c>
      <c r="Z37" s="5">
        <f t="shared" si="2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9" t="str">
        <f t="shared" si="0"/>
        <v/>
      </c>
      <c r="Y38" s="10">
        <f t="shared" si="1"/>
        <v>0</v>
      </c>
      <c r="Z38" s="5">
        <f t="shared" si="2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9" t="str">
        <f t="shared" si="0"/>
        <v/>
      </c>
      <c r="Y39" s="10">
        <f t="shared" si="1"/>
        <v>0</v>
      </c>
      <c r="Z39" s="5">
        <f t="shared" si="2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9" t="str">
        <f t="shared" si="0"/>
        <v/>
      </c>
      <c r="Y40" s="10">
        <f t="shared" si="1"/>
        <v>0</v>
      </c>
      <c r="Z40" s="5">
        <f t="shared" si="2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9" t="str">
        <f t="shared" si="0"/>
        <v/>
      </c>
      <c r="Y41" s="10">
        <f t="shared" si="1"/>
        <v>0</v>
      </c>
      <c r="Z41" s="5">
        <f t="shared" si="2"/>
        <v>0</v>
      </c>
    </row>
    <row r="42" spans="4:26" x14ac:dyDescent="0.25">
      <c r="D42" s="7" t="s">
        <v>11</v>
      </c>
      <c r="E42" s="5">
        <f>SUM(E2:E41)</f>
        <v>100</v>
      </c>
      <c r="F42" s="5">
        <f t="shared" ref="F42:I42" si="3">SUM(F2:F41)</f>
        <v>9.4499999999999993</v>
      </c>
      <c r="G42" s="5">
        <f t="shared" si="3"/>
        <v>100</v>
      </c>
      <c r="H42" s="5">
        <f t="shared" si="3"/>
        <v>6.43</v>
      </c>
      <c r="I42" s="5">
        <f t="shared" si="3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:B1">
    <cfRule type="expression" dxfId="7" priority="1">
      <formula>$AA$2="+"</formula>
    </cfRule>
    <cfRule type="expression" dxfId="6" priority="2">
      <formula>$M$3=$N$3</formula>
    </cfRule>
  </conditionalFormatting>
  <conditionalFormatting sqref="S3">
    <cfRule type="expression" dxfId="5" priority="9">
      <formula>$AA$2="+"</formula>
    </cfRule>
  </conditionalFormatting>
  <conditionalFormatting sqref="AA2">
    <cfRule type="expression" dxfId="4" priority="10">
      <formula>$AA$2="+"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D8F82-98DB-47B3-A2A6-B135C5884EA9}">
  <sheetPr>
    <tabColor rgb="FF92D050"/>
  </sheetPr>
  <dimension ref="A1:AA42"/>
  <sheetViews>
    <sheetView workbookViewId="0"/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8" t="s">
        <v>0</v>
      </c>
      <c r="B1" s="3" t="s">
        <v>28</v>
      </c>
      <c r="D1" s="7" t="s">
        <v>10</v>
      </c>
      <c r="E1" s="7" t="s">
        <v>0</v>
      </c>
      <c r="F1" s="7" t="s">
        <v>6</v>
      </c>
      <c r="G1" s="7" t="s">
        <v>0</v>
      </c>
      <c r="H1" s="7" t="s">
        <v>6</v>
      </c>
      <c r="I1" s="7" t="s">
        <v>36</v>
      </c>
      <c r="J1" s="11" t="s">
        <v>10</v>
      </c>
      <c r="K1" s="11" t="s">
        <v>22</v>
      </c>
      <c r="M1" s="26" t="s">
        <v>0</v>
      </c>
      <c r="N1" s="28"/>
      <c r="O1" s="26" t="s">
        <v>6</v>
      </c>
      <c r="P1" s="28"/>
      <c r="Q1" s="31" t="s">
        <v>37</v>
      </c>
      <c r="R1" s="31" t="s">
        <v>23</v>
      </c>
      <c r="S1" s="31" t="s">
        <v>47</v>
      </c>
      <c r="Y1" s="12" t="s">
        <v>10</v>
      </c>
      <c r="Z1" s="7" t="s">
        <v>38</v>
      </c>
      <c r="AA1" s="7" t="s">
        <v>47</v>
      </c>
    </row>
    <row r="2" spans="1:27" x14ac:dyDescent="0.25">
      <c r="A2" s="8" t="s">
        <v>1</v>
      </c>
      <c r="B2" s="3" t="s">
        <v>29</v>
      </c>
      <c r="D2" s="10">
        <v>46022</v>
      </c>
      <c r="E2" s="5">
        <v>0</v>
      </c>
      <c r="F2" s="5">
        <v>2.99</v>
      </c>
      <c r="G2" s="5">
        <v>0</v>
      </c>
      <c r="H2" s="5">
        <v>2.99</v>
      </c>
      <c r="I2" s="5">
        <v>0</v>
      </c>
      <c r="J2" s="10">
        <v>46022</v>
      </c>
      <c r="K2" s="9">
        <f>IF(J2&gt;0,J2-D2,"")</f>
        <v>0</v>
      </c>
      <c r="M2" s="13" t="s">
        <v>39</v>
      </c>
      <c r="N2" s="13" t="s">
        <v>23</v>
      </c>
      <c r="O2" s="7" t="s">
        <v>40</v>
      </c>
      <c r="P2" s="7" t="s">
        <v>41</v>
      </c>
      <c r="Q2" s="32"/>
      <c r="R2" s="32"/>
      <c r="S2" s="32"/>
      <c r="Y2" s="10">
        <f>B3</f>
        <v>45899</v>
      </c>
      <c r="Z2" s="3">
        <f>B11*-1</f>
        <v>-100</v>
      </c>
      <c r="AA2" s="3" t="str">
        <f ca="1">IF(COUNTIFS(D:D,"&lt;"&amp;TODAY(),J:J,"")&gt;0,"+","")</f>
        <v/>
      </c>
    </row>
    <row r="3" spans="1:27" x14ac:dyDescent="0.25">
      <c r="A3" s="8" t="s">
        <v>8</v>
      </c>
      <c r="B3" s="10">
        <v>45899</v>
      </c>
      <c r="D3" s="10">
        <v>46112</v>
      </c>
      <c r="E3" s="5">
        <v>0</v>
      </c>
      <c r="F3" s="5">
        <v>2.2200000000000002</v>
      </c>
      <c r="G3" s="5">
        <v>0</v>
      </c>
      <c r="H3" s="5">
        <v>2.2200000000000002</v>
      </c>
      <c r="I3" s="5">
        <v>0</v>
      </c>
      <c r="J3" s="10">
        <v>46112</v>
      </c>
      <c r="K3" s="9">
        <f t="shared" ref="K3:K41" si="0">IF(J3&gt;0,J3-D3,"")</f>
        <v>0</v>
      </c>
      <c r="M3" s="5">
        <f>B11</f>
        <v>100</v>
      </c>
      <c r="N3" s="5">
        <f>G42</f>
        <v>100</v>
      </c>
      <c r="O3" s="5">
        <f>F42</f>
        <v>8.9600000000000009</v>
      </c>
      <c r="P3" s="5">
        <f>H42+I42</f>
        <v>8.56</v>
      </c>
      <c r="Q3" s="14">
        <f>IF(M3=N3,XIRR(Z2:Z41,Y2:Y41),"")</f>
        <v>9.2495992779731764E-2</v>
      </c>
      <c r="R3" s="10">
        <f>IF(M3=N3,B14,"")</f>
        <v>46248</v>
      </c>
      <c r="S3" s="3" t="str">
        <f ca="1">IF(COUNTIFS(D:D,"&lt;"&amp;TODAY(),J:J,"")=0,"",TODAY()-_xlfn.MINIFS(D:D,D:D,"&lt;"&amp;TODAY(),J:J,""))</f>
        <v/>
      </c>
      <c r="Y3" s="10">
        <f>J2</f>
        <v>46022</v>
      </c>
      <c r="Z3" s="5">
        <f>G2+H2+I2</f>
        <v>2.99</v>
      </c>
    </row>
    <row r="4" spans="1:27" x14ac:dyDescent="0.25">
      <c r="A4" s="8" t="s">
        <v>12</v>
      </c>
      <c r="B4" s="10">
        <v>45901</v>
      </c>
      <c r="D4" s="10">
        <v>46203</v>
      </c>
      <c r="E4" s="5">
        <v>0</v>
      </c>
      <c r="F4" s="5">
        <v>2.2400000000000002</v>
      </c>
      <c r="G4" s="5">
        <v>0</v>
      </c>
      <c r="H4" s="5">
        <v>2.2400000000000002</v>
      </c>
      <c r="I4" s="5">
        <v>0</v>
      </c>
      <c r="J4" s="10">
        <v>46204</v>
      </c>
      <c r="K4" s="9">
        <f t="shared" si="0"/>
        <v>1</v>
      </c>
      <c r="Y4" s="10">
        <f t="shared" ref="Y4:Y41" si="1">J3</f>
        <v>46112</v>
      </c>
      <c r="Z4" s="5">
        <f t="shared" ref="Z4:Z41" si="2">G3+H3+I3</f>
        <v>2.2200000000000002</v>
      </c>
    </row>
    <row r="5" spans="1:27" x14ac:dyDescent="0.25">
      <c r="A5" s="8" t="s">
        <v>2</v>
      </c>
      <c r="B5" s="3" t="s">
        <v>3</v>
      </c>
      <c r="D5" s="10">
        <v>46264</v>
      </c>
      <c r="E5" s="5">
        <v>100</v>
      </c>
      <c r="F5" s="5">
        <v>1.51</v>
      </c>
      <c r="G5" s="3">
        <v>100</v>
      </c>
      <c r="H5" s="5">
        <v>1.1100000000000001</v>
      </c>
      <c r="I5" s="5">
        <v>0</v>
      </c>
      <c r="J5" s="10">
        <v>46248</v>
      </c>
      <c r="K5" s="9">
        <f t="shared" si="0"/>
        <v>-16</v>
      </c>
      <c r="Y5" s="10">
        <f t="shared" si="1"/>
        <v>46204</v>
      </c>
      <c r="Z5" s="5">
        <f t="shared" si="2"/>
        <v>2.2400000000000002</v>
      </c>
    </row>
    <row r="6" spans="1:27" x14ac:dyDescent="0.25">
      <c r="A6" s="8" t="s">
        <v>13</v>
      </c>
      <c r="B6" s="4">
        <v>0.59</v>
      </c>
      <c r="D6" s="10"/>
      <c r="E6" s="5"/>
      <c r="F6" s="5"/>
      <c r="G6" s="5"/>
      <c r="H6" s="5"/>
      <c r="I6" s="3"/>
      <c r="J6" s="10"/>
      <c r="K6" s="9" t="str">
        <f t="shared" si="0"/>
        <v/>
      </c>
      <c r="Y6" s="10">
        <f t="shared" si="1"/>
        <v>46248</v>
      </c>
      <c r="Z6" s="5">
        <f t="shared" si="2"/>
        <v>101.11</v>
      </c>
    </row>
    <row r="7" spans="1:27" x14ac:dyDescent="0.25">
      <c r="A7" s="8" t="s">
        <v>14</v>
      </c>
      <c r="B7" s="4">
        <v>0.8</v>
      </c>
      <c r="D7" s="10"/>
      <c r="E7" s="5"/>
      <c r="F7" s="3"/>
      <c r="G7" s="5"/>
      <c r="H7" s="5"/>
      <c r="I7" s="3"/>
      <c r="J7" s="10"/>
      <c r="K7" s="9" t="str">
        <f t="shared" si="0"/>
        <v/>
      </c>
      <c r="Y7" s="10">
        <f t="shared" si="1"/>
        <v>0</v>
      </c>
      <c r="Z7" s="5">
        <f t="shared" si="2"/>
        <v>0</v>
      </c>
    </row>
    <row r="8" spans="1:27" x14ac:dyDescent="0.25">
      <c r="A8" s="8" t="s">
        <v>4</v>
      </c>
      <c r="B8" s="3">
        <v>12</v>
      </c>
      <c r="D8" s="10"/>
      <c r="E8" s="5"/>
      <c r="F8" s="3"/>
      <c r="G8" s="2"/>
      <c r="H8" s="2"/>
      <c r="I8" s="2"/>
      <c r="J8" s="10"/>
      <c r="K8" s="9" t="str">
        <f t="shared" si="0"/>
        <v/>
      </c>
      <c r="Y8" s="10">
        <f t="shared" si="1"/>
        <v>0</v>
      </c>
      <c r="Z8" s="5">
        <f t="shared" si="2"/>
        <v>0</v>
      </c>
    </row>
    <row r="9" spans="1:27" x14ac:dyDescent="0.25">
      <c r="A9" s="8" t="s">
        <v>5</v>
      </c>
      <c r="B9" s="3" t="s">
        <v>9</v>
      </c>
      <c r="D9" s="10"/>
      <c r="E9" s="5"/>
      <c r="F9" s="3"/>
      <c r="G9" s="2"/>
      <c r="H9" s="2"/>
      <c r="I9" s="2"/>
      <c r="J9" s="10"/>
      <c r="K9" s="9" t="str">
        <f t="shared" si="0"/>
        <v/>
      </c>
      <c r="Y9" s="10">
        <f t="shared" si="1"/>
        <v>0</v>
      </c>
      <c r="Z9" s="5">
        <f t="shared" si="2"/>
        <v>0</v>
      </c>
    </row>
    <row r="10" spans="1:27" x14ac:dyDescent="0.25">
      <c r="A10" s="8" t="s">
        <v>7</v>
      </c>
      <c r="B10" s="6">
        <v>0.09</v>
      </c>
      <c r="D10" s="10"/>
      <c r="E10" s="5"/>
      <c r="F10" s="3"/>
      <c r="G10" s="2"/>
      <c r="H10" s="2"/>
      <c r="I10" s="2"/>
      <c r="J10" s="10"/>
      <c r="K10" s="9" t="str">
        <f t="shared" si="0"/>
        <v/>
      </c>
      <c r="Y10" s="10">
        <f t="shared" si="1"/>
        <v>0</v>
      </c>
      <c r="Z10" s="5">
        <f t="shared" si="2"/>
        <v>0</v>
      </c>
    </row>
    <row r="11" spans="1:27" x14ac:dyDescent="0.25">
      <c r="A11" s="8" t="s">
        <v>60</v>
      </c>
      <c r="B11" s="5">
        <v>100</v>
      </c>
      <c r="D11" s="10"/>
      <c r="E11" s="5"/>
      <c r="F11" s="3"/>
      <c r="G11" s="2"/>
      <c r="H11" s="2"/>
      <c r="I11" s="2"/>
      <c r="J11" s="10"/>
      <c r="K11" s="9" t="str">
        <f t="shared" si="0"/>
        <v/>
      </c>
      <c r="Y11" s="10">
        <f t="shared" si="1"/>
        <v>0</v>
      </c>
      <c r="Z11" s="5">
        <f t="shared" si="2"/>
        <v>0</v>
      </c>
    </row>
    <row r="12" spans="1:27" x14ac:dyDescent="0.25">
      <c r="A12" s="8" t="s">
        <v>44</v>
      </c>
      <c r="B12" s="10">
        <v>46264</v>
      </c>
      <c r="D12" s="10"/>
      <c r="E12" s="5"/>
      <c r="F12" s="5"/>
      <c r="G12" s="5"/>
      <c r="H12" s="5"/>
      <c r="I12" s="5"/>
      <c r="J12" s="10"/>
      <c r="K12" s="9" t="str">
        <f t="shared" si="0"/>
        <v/>
      </c>
      <c r="Y12" s="10">
        <f t="shared" si="1"/>
        <v>0</v>
      </c>
      <c r="Z12" s="5">
        <f t="shared" si="2"/>
        <v>0</v>
      </c>
    </row>
    <row r="13" spans="1:27" x14ac:dyDescent="0.25">
      <c r="A13" s="8" t="s">
        <v>48</v>
      </c>
      <c r="B13" s="9" t="str">
        <f ca="1">IF(B11&lt;&gt;N3,(TODAY()-B12)*-1,"")</f>
        <v/>
      </c>
      <c r="D13" s="10"/>
      <c r="E13" s="5"/>
      <c r="F13" s="5"/>
      <c r="G13" s="5"/>
      <c r="H13" s="5"/>
      <c r="I13" s="5"/>
      <c r="J13" s="15"/>
      <c r="K13" s="9" t="str">
        <f t="shared" si="0"/>
        <v/>
      </c>
      <c r="Y13" s="10">
        <f t="shared" si="1"/>
        <v>0</v>
      </c>
      <c r="Z13" s="5">
        <f t="shared" si="2"/>
        <v>0</v>
      </c>
    </row>
    <row r="14" spans="1:27" x14ac:dyDescent="0.25">
      <c r="A14" s="8" t="s">
        <v>23</v>
      </c>
      <c r="B14" s="10">
        <v>46248</v>
      </c>
      <c r="D14" s="7"/>
      <c r="E14" s="5"/>
      <c r="F14" s="5"/>
      <c r="G14" s="5"/>
      <c r="H14" s="5"/>
      <c r="I14" s="5"/>
      <c r="J14" s="3"/>
      <c r="K14" s="9" t="str">
        <f t="shared" si="0"/>
        <v/>
      </c>
      <c r="Y14" s="10">
        <f t="shared" si="1"/>
        <v>0</v>
      </c>
      <c r="Z14" s="5">
        <f t="shared" si="2"/>
        <v>0</v>
      </c>
    </row>
    <row r="15" spans="1:27" x14ac:dyDescent="0.25">
      <c r="A15" s="8" t="s">
        <v>61</v>
      </c>
      <c r="B15" s="3">
        <f>IF(M3=N3,B14-B12,"")</f>
        <v>-16</v>
      </c>
      <c r="D15" s="7"/>
      <c r="E15" s="5"/>
      <c r="F15" s="5"/>
      <c r="G15" s="5"/>
      <c r="H15" s="5"/>
      <c r="I15" s="5"/>
      <c r="J15" s="3"/>
      <c r="K15" s="9" t="str">
        <f t="shared" si="0"/>
        <v/>
      </c>
      <c r="Y15" s="10">
        <f t="shared" si="1"/>
        <v>0</v>
      </c>
      <c r="Z15" s="5">
        <f t="shared" si="2"/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9" t="str">
        <f t="shared" si="0"/>
        <v/>
      </c>
      <c r="Y16" s="10">
        <f t="shared" si="1"/>
        <v>0</v>
      </c>
      <c r="Z16" s="5">
        <f t="shared" si="2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9" t="str">
        <f t="shared" si="0"/>
        <v/>
      </c>
      <c r="Y17" s="10">
        <f t="shared" si="1"/>
        <v>0</v>
      </c>
      <c r="Z17" s="5">
        <f t="shared" si="2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9" t="str">
        <f t="shared" si="0"/>
        <v/>
      </c>
      <c r="Y18" s="10">
        <f t="shared" si="1"/>
        <v>0</v>
      </c>
      <c r="Z18" s="5">
        <f t="shared" si="2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9" t="str">
        <f t="shared" si="0"/>
        <v/>
      </c>
      <c r="Y19" s="10">
        <f t="shared" si="1"/>
        <v>0</v>
      </c>
      <c r="Z19" s="5">
        <f t="shared" si="2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9" t="str">
        <f t="shared" si="0"/>
        <v/>
      </c>
      <c r="Y20" s="10">
        <f t="shared" si="1"/>
        <v>0</v>
      </c>
      <c r="Z20" s="5">
        <f t="shared" si="2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9" t="str">
        <f t="shared" si="0"/>
        <v/>
      </c>
      <c r="Y21" s="10">
        <f t="shared" si="1"/>
        <v>0</v>
      </c>
      <c r="Z21" s="5">
        <f t="shared" si="2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9" t="str">
        <f t="shared" si="0"/>
        <v/>
      </c>
      <c r="Y22" s="10">
        <f t="shared" si="1"/>
        <v>0</v>
      </c>
      <c r="Z22" s="5">
        <f t="shared" si="2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9" t="str">
        <f t="shared" si="0"/>
        <v/>
      </c>
      <c r="Y23" s="10">
        <f t="shared" si="1"/>
        <v>0</v>
      </c>
      <c r="Z23" s="5">
        <f t="shared" si="2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9" t="str">
        <f t="shared" si="0"/>
        <v/>
      </c>
      <c r="Y24" s="10">
        <f t="shared" si="1"/>
        <v>0</v>
      </c>
      <c r="Z24" s="5">
        <f t="shared" si="2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9" t="str">
        <f t="shared" si="0"/>
        <v/>
      </c>
      <c r="Y25" s="10">
        <f t="shared" si="1"/>
        <v>0</v>
      </c>
      <c r="Z25" s="5">
        <f t="shared" si="2"/>
        <v>0</v>
      </c>
    </row>
    <row r="26" spans="4:26" x14ac:dyDescent="0.25">
      <c r="D26" s="7"/>
      <c r="E26" s="5"/>
      <c r="F26" s="5"/>
      <c r="G26" s="5"/>
      <c r="H26" s="5"/>
      <c r="I26" s="5"/>
      <c r="J26" s="3"/>
      <c r="K26" s="9" t="str">
        <f t="shared" si="0"/>
        <v/>
      </c>
      <c r="Y26" s="10">
        <f t="shared" si="1"/>
        <v>0</v>
      </c>
      <c r="Z26" s="5">
        <f t="shared" si="2"/>
        <v>0</v>
      </c>
    </row>
    <row r="27" spans="4:26" x14ac:dyDescent="0.25">
      <c r="D27" s="7"/>
      <c r="E27" s="5"/>
      <c r="F27" s="5"/>
      <c r="G27" s="5"/>
      <c r="H27" s="5"/>
      <c r="I27" s="5"/>
      <c r="J27" s="3"/>
      <c r="K27" s="9" t="str">
        <f t="shared" si="0"/>
        <v/>
      </c>
      <c r="Y27" s="10">
        <f t="shared" si="1"/>
        <v>0</v>
      </c>
      <c r="Z27" s="5">
        <f t="shared" si="2"/>
        <v>0</v>
      </c>
    </row>
    <row r="28" spans="4:26" x14ac:dyDescent="0.25">
      <c r="D28" s="7"/>
      <c r="E28" s="5"/>
      <c r="F28" s="5"/>
      <c r="G28" s="5"/>
      <c r="H28" s="5"/>
      <c r="I28" s="5"/>
      <c r="J28" s="3"/>
      <c r="K28" s="9" t="str">
        <f t="shared" si="0"/>
        <v/>
      </c>
      <c r="Y28" s="10">
        <f t="shared" si="1"/>
        <v>0</v>
      </c>
      <c r="Z28" s="5">
        <f t="shared" si="2"/>
        <v>0</v>
      </c>
    </row>
    <row r="29" spans="4:26" x14ac:dyDescent="0.25">
      <c r="D29" s="7"/>
      <c r="E29" s="5"/>
      <c r="F29" s="5"/>
      <c r="G29" s="5"/>
      <c r="H29" s="5"/>
      <c r="I29" s="5"/>
      <c r="J29" s="3"/>
      <c r="K29" s="9" t="str">
        <f t="shared" si="0"/>
        <v/>
      </c>
      <c r="Y29" s="10">
        <f t="shared" si="1"/>
        <v>0</v>
      </c>
      <c r="Z29" s="5">
        <f t="shared" si="2"/>
        <v>0</v>
      </c>
    </row>
    <row r="30" spans="4:26" x14ac:dyDescent="0.25">
      <c r="D30" s="7"/>
      <c r="E30" s="5"/>
      <c r="F30" s="5"/>
      <c r="G30" s="5"/>
      <c r="H30" s="5"/>
      <c r="I30" s="5"/>
      <c r="J30" s="3"/>
      <c r="K30" s="9" t="str">
        <f t="shared" si="0"/>
        <v/>
      </c>
      <c r="Y30" s="10">
        <f t="shared" si="1"/>
        <v>0</v>
      </c>
      <c r="Z30" s="5">
        <f t="shared" si="2"/>
        <v>0</v>
      </c>
    </row>
    <row r="31" spans="4:26" x14ac:dyDescent="0.25">
      <c r="D31" s="7"/>
      <c r="E31" s="5"/>
      <c r="F31" s="5"/>
      <c r="G31" s="5"/>
      <c r="H31" s="5"/>
      <c r="I31" s="5"/>
      <c r="J31" s="3"/>
      <c r="K31" s="9" t="str">
        <f t="shared" si="0"/>
        <v/>
      </c>
      <c r="Y31" s="10">
        <f t="shared" si="1"/>
        <v>0</v>
      </c>
      <c r="Z31" s="5">
        <f t="shared" si="2"/>
        <v>0</v>
      </c>
    </row>
    <row r="32" spans="4:26" x14ac:dyDescent="0.25">
      <c r="D32" s="7"/>
      <c r="E32" s="5"/>
      <c r="F32" s="5"/>
      <c r="G32" s="5"/>
      <c r="H32" s="5"/>
      <c r="I32" s="5"/>
      <c r="J32" s="3"/>
      <c r="K32" s="9" t="str">
        <f t="shared" si="0"/>
        <v/>
      </c>
      <c r="Y32" s="10">
        <f t="shared" si="1"/>
        <v>0</v>
      </c>
      <c r="Z32" s="5">
        <f t="shared" si="2"/>
        <v>0</v>
      </c>
    </row>
    <row r="33" spans="4:26" x14ac:dyDescent="0.25">
      <c r="D33" s="7"/>
      <c r="E33" s="5"/>
      <c r="F33" s="5"/>
      <c r="G33" s="5"/>
      <c r="H33" s="5"/>
      <c r="I33" s="5"/>
      <c r="J33" s="3"/>
      <c r="K33" s="9" t="str">
        <f t="shared" si="0"/>
        <v/>
      </c>
      <c r="Y33" s="10">
        <f t="shared" si="1"/>
        <v>0</v>
      </c>
      <c r="Z33" s="5">
        <f t="shared" si="2"/>
        <v>0</v>
      </c>
    </row>
    <row r="34" spans="4:26" x14ac:dyDescent="0.25">
      <c r="D34" s="7"/>
      <c r="E34" s="5"/>
      <c r="F34" s="5"/>
      <c r="G34" s="5"/>
      <c r="H34" s="5"/>
      <c r="I34" s="5"/>
      <c r="J34" s="3"/>
      <c r="K34" s="9" t="str">
        <f t="shared" si="0"/>
        <v/>
      </c>
      <c r="Y34" s="10">
        <f t="shared" si="1"/>
        <v>0</v>
      </c>
      <c r="Z34" s="5">
        <f t="shared" si="2"/>
        <v>0</v>
      </c>
    </row>
    <row r="35" spans="4:26" x14ac:dyDescent="0.25">
      <c r="D35" s="7"/>
      <c r="E35" s="5"/>
      <c r="F35" s="5"/>
      <c r="G35" s="5"/>
      <c r="H35" s="5"/>
      <c r="I35" s="5"/>
      <c r="J35" s="3"/>
      <c r="K35" s="9" t="str">
        <f t="shared" si="0"/>
        <v/>
      </c>
      <c r="Y35" s="10">
        <f t="shared" si="1"/>
        <v>0</v>
      </c>
      <c r="Z35" s="5">
        <f t="shared" si="2"/>
        <v>0</v>
      </c>
    </row>
    <row r="36" spans="4:26" x14ac:dyDescent="0.25">
      <c r="D36" s="7"/>
      <c r="E36" s="5"/>
      <c r="F36" s="5"/>
      <c r="G36" s="5"/>
      <c r="H36" s="5"/>
      <c r="I36" s="5"/>
      <c r="J36" s="3"/>
      <c r="K36" s="9" t="str">
        <f t="shared" si="0"/>
        <v/>
      </c>
      <c r="Y36" s="10">
        <f t="shared" si="1"/>
        <v>0</v>
      </c>
      <c r="Z36" s="5">
        <f t="shared" si="2"/>
        <v>0</v>
      </c>
    </row>
    <row r="37" spans="4:26" x14ac:dyDescent="0.25">
      <c r="D37" s="7"/>
      <c r="E37" s="5"/>
      <c r="F37" s="5"/>
      <c r="G37" s="5"/>
      <c r="H37" s="5"/>
      <c r="I37" s="5"/>
      <c r="J37" s="3"/>
      <c r="K37" s="9" t="str">
        <f t="shared" si="0"/>
        <v/>
      </c>
      <c r="Y37" s="10">
        <f t="shared" si="1"/>
        <v>0</v>
      </c>
      <c r="Z37" s="5">
        <f t="shared" si="2"/>
        <v>0</v>
      </c>
    </row>
    <row r="38" spans="4:26" x14ac:dyDescent="0.25">
      <c r="D38" s="7"/>
      <c r="E38" s="5"/>
      <c r="F38" s="5"/>
      <c r="G38" s="5"/>
      <c r="H38" s="5"/>
      <c r="I38" s="5"/>
      <c r="J38" s="3"/>
      <c r="K38" s="9" t="str">
        <f t="shared" si="0"/>
        <v/>
      </c>
      <c r="Y38" s="10">
        <f t="shared" si="1"/>
        <v>0</v>
      </c>
      <c r="Z38" s="5">
        <f t="shared" si="2"/>
        <v>0</v>
      </c>
    </row>
    <row r="39" spans="4:26" x14ac:dyDescent="0.25">
      <c r="D39" s="7"/>
      <c r="E39" s="5"/>
      <c r="F39" s="5"/>
      <c r="G39" s="5"/>
      <c r="H39" s="5"/>
      <c r="I39" s="5"/>
      <c r="J39" s="3"/>
      <c r="K39" s="9" t="str">
        <f t="shared" si="0"/>
        <v/>
      </c>
      <c r="Y39" s="10">
        <f t="shared" si="1"/>
        <v>0</v>
      </c>
      <c r="Z39" s="5">
        <f t="shared" si="2"/>
        <v>0</v>
      </c>
    </row>
    <row r="40" spans="4:26" x14ac:dyDescent="0.25">
      <c r="D40" s="7"/>
      <c r="E40" s="5"/>
      <c r="F40" s="5"/>
      <c r="G40" s="5"/>
      <c r="H40" s="5"/>
      <c r="I40" s="5"/>
      <c r="J40" s="3"/>
      <c r="K40" s="9" t="str">
        <f t="shared" si="0"/>
        <v/>
      </c>
      <c r="Y40" s="10">
        <f t="shared" si="1"/>
        <v>0</v>
      </c>
      <c r="Z40" s="5">
        <f t="shared" si="2"/>
        <v>0</v>
      </c>
    </row>
    <row r="41" spans="4:26" x14ac:dyDescent="0.25">
      <c r="D41" s="7"/>
      <c r="E41" s="5"/>
      <c r="F41" s="5"/>
      <c r="G41" s="5"/>
      <c r="H41" s="5"/>
      <c r="I41" s="5"/>
      <c r="J41" s="3"/>
      <c r="K41" s="9" t="str">
        <f t="shared" si="0"/>
        <v/>
      </c>
      <c r="Y41" s="10">
        <f t="shared" si="1"/>
        <v>0</v>
      </c>
      <c r="Z41" s="5">
        <f t="shared" si="2"/>
        <v>0</v>
      </c>
    </row>
    <row r="42" spans="4:26" x14ac:dyDescent="0.25">
      <c r="D42" s="7" t="s">
        <v>11</v>
      </c>
      <c r="E42" s="5">
        <f>SUM(E2:E41)</f>
        <v>100</v>
      </c>
      <c r="F42" s="5">
        <f t="shared" ref="F42:I42" si="3">SUM(F2:F41)</f>
        <v>8.9600000000000009</v>
      </c>
      <c r="G42" s="5">
        <f t="shared" si="3"/>
        <v>100</v>
      </c>
      <c r="H42" s="5">
        <f t="shared" si="3"/>
        <v>8.56</v>
      </c>
      <c r="I42" s="5">
        <f t="shared" si="3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:B1">
    <cfRule type="expression" dxfId="3" priority="1">
      <formula>$AA$2="+"</formula>
    </cfRule>
    <cfRule type="expression" dxfId="2" priority="2">
      <formula>$M$3=$N$3</formula>
    </cfRule>
  </conditionalFormatting>
  <conditionalFormatting sqref="S3">
    <cfRule type="expression" dxfId="1" priority="7">
      <formula>$AA$2="+"</formula>
    </cfRule>
  </conditionalFormatting>
  <conditionalFormatting sqref="AA2">
    <cfRule type="expression" dxfId="0" priority="8">
      <formula>$AA$2="+"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Pinigai</vt:lpstr>
      <vt:lpstr>Dvibutis prie Neries, Vilniaus </vt:lpstr>
      <vt:lpstr>Huberto Namai, Trakų r. VII</vt:lpstr>
      <vt:lpstr>Druskonio Perlai, Druskininkai </vt:lpstr>
      <vt:lpstr>Daugiabutis Druskininkuose V</vt:lpstr>
      <vt:lpstr>Butas Didlaukio g., Vilnius II</vt:lpstr>
      <vt:lpstr>Butai centrinėje Vilniaus dal.</vt:lpstr>
      <vt:lpstr>Sakurų Namai, Marijampolė III</vt:lpstr>
      <vt:lpstr>Senvagės loftai, Panevėžys 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dcterms:created xsi:type="dcterms:W3CDTF">2025-05-22T07:09:11Z</dcterms:created>
  <dcterms:modified xsi:type="dcterms:W3CDTF">2026-10-12T14:42:33Z</dcterms:modified>
</cp:coreProperties>
</file>