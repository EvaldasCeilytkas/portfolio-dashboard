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Scramble\"/>
    </mc:Choice>
  </mc:AlternateContent>
  <xr:revisionPtr revIDLastSave="0" documentId="13_ncr:1_{59C82863-FA3A-4776-A20C-F94DDF9E5AB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Pinigai" sheetId="15" r:id="rId2"/>
    <sheet name="August 2026" sheetId="39" r:id="rId3"/>
    <sheet name="July 2026" sheetId="38" r:id="rId4"/>
    <sheet name="June 2026" sheetId="36" r:id="rId5"/>
    <sheet name="May 2026" sheetId="35" r:id="rId6"/>
    <sheet name="April 2026" sheetId="34" r:id="rId7"/>
    <sheet name="March 2026" sheetId="33" r:id="rId8"/>
    <sheet name="February 2026" sheetId="32" r:id="rId9"/>
    <sheet name="January 2026" sheetId="31" r:id="rId10"/>
    <sheet name="December 2025" sheetId="30" r:id="rId11"/>
    <sheet name="November 2025" sheetId="29" r:id="rId12"/>
    <sheet name="October 2025" sheetId="28" r:id="rId13"/>
    <sheet name="September 2025" sheetId="27" r:id="rId14"/>
    <sheet name="August 2025" sheetId="26" r:id="rId15"/>
    <sheet name="July 2025" sheetId="25" r:id="rId16"/>
    <sheet name="June 2025" sheetId="14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5" l="1"/>
  <c r="G17" i="1"/>
  <c r="D17" i="1"/>
  <c r="E17" i="1"/>
  <c r="F17" i="1"/>
  <c r="O17" i="1"/>
  <c r="N17" i="1"/>
  <c r="M17" i="1"/>
  <c r="J17" i="1"/>
  <c r="I17" i="1"/>
  <c r="H17" i="1"/>
  <c r="C17" i="1"/>
  <c r="B17" i="1"/>
  <c r="I53" i="39"/>
  <c r="M3" i="39" s="1"/>
  <c r="H53" i="39"/>
  <c r="G53" i="39"/>
  <c r="Y52" i="39"/>
  <c r="X52" i="39"/>
  <c r="F52" i="39"/>
  <c r="Y51" i="39"/>
  <c r="X51" i="39"/>
  <c r="F51" i="39"/>
  <c r="Y50" i="39"/>
  <c r="X50" i="39"/>
  <c r="F50" i="39"/>
  <c r="Y49" i="39"/>
  <c r="X49" i="39"/>
  <c r="F49" i="39"/>
  <c r="Y48" i="39"/>
  <c r="X48" i="39"/>
  <c r="F48" i="39"/>
  <c r="Y47" i="39"/>
  <c r="X47" i="39"/>
  <c r="F47" i="39"/>
  <c r="Y46" i="39"/>
  <c r="X46" i="39"/>
  <c r="F46" i="39"/>
  <c r="Y45" i="39"/>
  <c r="X45" i="39"/>
  <c r="F45" i="39"/>
  <c r="Y44" i="39"/>
  <c r="X44" i="39"/>
  <c r="F44" i="39"/>
  <c r="Y43" i="39"/>
  <c r="X43" i="39"/>
  <c r="F43" i="39"/>
  <c r="Y42" i="39"/>
  <c r="X42" i="39"/>
  <c r="F42" i="39"/>
  <c r="Y41" i="39"/>
  <c r="X41" i="39"/>
  <c r="F41" i="39"/>
  <c r="Y40" i="39"/>
  <c r="X40" i="39"/>
  <c r="F40" i="39"/>
  <c r="Y39" i="39"/>
  <c r="X39" i="39"/>
  <c r="F39" i="39"/>
  <c r="Y38" i="39"/>
  <c r="X38" i="39"/>
  <c r="F38" i="39"/>
  <c r="Y37" i="39"/>
  <c r="X37" i="39"/>
  <c r="F37" i="39"/>
  <c r="Y36" i="39"/>
  <c r="X36" i="39"/>
  <c r="F36" i="39"/>
  <c r="Y35" i="39"/>
  <c r="X35" i="39"/>
  <c r="F35" i="39"/>
  <c r="Y34" i="39"/>
  <c r="X34" i="39"/>
  <c r="F34" i="39"/>
  <c r="Y33" i="39"/>
  <c r="X33" i="39"/>
  <c r="F33" i="39"/>
  <c r="Y32" i="39"/>
  <c r="X32" i="39"/>
  <c r="F32" i="39"/>
  <c r="Y31" i="39"/>
  <c r="X31" i="39"/>
  <c r="F31" i="39"/>
  <c r="Y30" i="39"/>
  <c r="X30" i="39"/>
  <c r="F30" i="39"/>
  <c r="Y29" i="39"/>
  <c r="X29" i="39"/>
  <c r="F29" i="39"/>
  <c r="Y28" i="39"/>
  <c r="X28" i="39"/>
  <c r="F28" i="39"/>
  <c r="Y27" i="39"/>
  <c r="X27" i="39"/>
  <c r="F27" i="39"/>
  <c r="Y26" i="39"/>
  <c r="X26" i="39"/>
  <c r="F26" i="39"/>
  <c r="Y25" i="39"/>
  <c r="X25" i="39"/>
  <c r="F25" i="39"/>
  <c r="Y24" i="39"/>
  <c r="X24" i="39"/>
  <c r="F24" i="39"/>
  <c r="Y23" i="39"/>
  <c r="X23" i="39"/>
  <c r="F23" i="39"/>
  <c r="Y22" i="39"/>
  <c r="X22" i="39"/>
  <c r="F22" i="39"/>
  <c r="Y21" i="39"/>
  <c r="X21" i="39"/>
  <c r="F21" i="39"/>
  <c r="Y20" i="39"/>
  <c r="X20" i="39"/>
  <c r="F20" i="39"/>
  <c r="Y19" i="39"/>
  <c r="X19" i="39"/>
  <c r="F19" i="39"/>
  <c r="Y18" i="39"/>
  <c r="X18" i="39"/>
  <c r="F18" i="39"/>
  <c r="Y17" i="39"/>
  <c r="X17" i="39"/>
  <c r="F17" i="39"/>
  <c r="Y16" i="39"/>
  <c r="X16" i="39"/>
  <c r="F16" i="39"/>
  <c r="Y15" i="39"/>
  <c r="X15" i="39"/>
  <c r="F15" i="39"/>
  <c r="Y14" i="39"/>
  <c r="X14" i="39"/>
  <c r="F14" i="39"/>
  <c r="Y13" i="39"/>
  <c r="X13" i="39"/>
  <c r="F13" i="39"/>
  <c r="Y12" i="39"/>
  <c r="X12" i="39"/>
  <c r="F12" i="39"/>
  <c r="Y11" i="39"/>
  <c r="X11" i="39"/>
  <c r="F11" i="39"/>
  <c r="Y10" i="39"/>
  <c r="X10" i="39"/>
  <c r="F10" i="39"/>
  <c r="Y9" i="39"/>
  <c r="X9" i="39"/>
  <c r="F9" i="39"/>
  <c r="Y8" i="39"/>
  <c r="X8" i="39"/>
  <c r="F8" i="39"/>
  <c r="B8" i="39"/>
  <c r="Y7" i="39"/>
  <c r="X7" i="39"/>
  <c r="F7" i="39"/>
  <c r="Y6" i="39"/>
  <c r="X6" i="39"/>
  <c r="F6" i="39"/>
  <c r="Y5" i="39"/>
  <c r="X5" i="39"/>
  <c r="F5" i="39"/>
  <c r="Y4" i="39"/>
  <c r="X4" i="39"/>
  <c r="F4" i="39"/>
  <c r="Y3" i="39"/>
  <c r="X3" i="39"/>
  <c r="Q3" i="39"/>
  <c r="L3" i="39"/>
  <c r="K3" i="39"/>
  <c r="Z3" i="39" s="1"/>
  <c r="P3" i="39" s="1"/>
  <c r="L17" i="1" s="1"/>
  <c r="F3" i="39"/>
  <c r="I16" i="1"/>
  <c r="H16" i="1"/>
  <c r="G16" i="1"/>
  <c r="F16" i="1"/>
  <c r="E16" i="1"/>
  <c r="D16" i="1"/>
  <c r="C16" i="1"/>
  <c r="B16" i="1"/>
  <c r="I53" i="38"/>
  <c r="H53" i="38"/>
  <c r="L3" i="38" s="1"/>
  <c r="N16" i="1" s="1"/>
  <c r="G53" i="38"/>
  <c r="K3" i="38" s="1"/>
  <c r="M16" i="1" s="1"/>
  <c r="Y52" i="38"/>
  <c r="X52" i="38"/>
  <c r="F52" i="38"/>
  <c r="Y51" i="38"/>
  <c r="X51" i="38"/>
  <c r="F51" i="38"/>
  <c r="Y50" i="38"/>
  <c r="X50" i="38"/>
  <c r="F50" i="38"/>
  <c r="Y49" i="38"/>
  <c r="X49" i="38"/>
  <c r="F49" i="38"/>
  <c r="Y48" i="38"/>
  <c r="X48" i="38"/>
  <c r="F48" i="38"/>
  <c r="Y47" i="38"/>
  <c r="X47" i="38"/>
  <c r="F47" i="38"/>
  <c r="Y46" i="38"/>
  <c r="X46" i="38"/>
  <c r="F46" i="38"/>
  <c r="Y45" i="38"/>
  <c r="X45" i="38"/>
  <c r="F45" i="38"/>
  <c r="Y44" i="38"/>
  <c r="X44" i="38"/>
  <c r="F44" i="38"/>
  <c r="Y43" i="38"/>
  <c r="X43" i="38"/>
  <c r="F43" i="38"/>
  <c r="Y42" i="38"/>
  <c r="X42" i="38"/>
  <c r="F42" i="38"/>
  <c r="Y41" i="38"/>
  <c r="X41" i="38"/>
  <c r="F41" i="38"/>
  <c r="Y40" i="38"/>
  <c r="X40" i="38"/>
  <c r="F40" i="38"/>
  <c r="Y39" i="38"/>
  <c r="X39" i="38"/>
  <c r="F39" i="38"/>
  <c r="Y38" i="38"/>
  <c r="X38" i="38"/>
  <c r="F38" i="38"/>
  <c r="Y37" i="38"/>
  <c r="X37" i="38"/>
  <c r="F37" i="38"/>
  <c r="Y36" i="38"/>
  <c r="X36" i="38"/>
  <c r="F36" i="38"/>
  <c r="Y35" i="38"/>
  <c r="X35" i="38"/>
  <c r="F35" i="38"/>
  <c r="Y34" i="38"/>
  <c r="X34" i="38"/>
  <c r="F34" i="38"/>
  <c r="Y33" i="38"/>
  <c r="X33" i="38"/>
  <c r="F33" i="38"/>
  <c r="Y32" i="38"/>
  <c r="X32" i="38"/>
  <c r="F32" i="38"/>
  <c r="Y31" i="38"/>
  <c r="X31" i="38"/>
  <c r="F31" i="38"/>
  <c r="Y30" i="38"/>
  <c r="X30" i="38"/>
  <c r="F30" i="38"/>
  <c r="Y29" i="38"/>
  <c r="X29" i="38"/>
  <c r="F29" i="38"/>
  <c r="Y28" i="38"/>
  <c r="X28" i="38"/>
  <c r="F28" i="38"/>
  <c r="Y27" i="38"/>
  <c r="X27" i="38"/>
  <c r="F27" i="38"/>
  <c r="Y26" i="38"/>
  <c r="X26" i="38"/>
  <c r="F26" i="38"/>
  <c r="Y25" i="38"/>
  <c r="X25" i="38"/>
  <c r="F25" i="38"/>
  <c r="Y24" i="38"/>
  <c r="X24" i="38"/>
  <c r="F24" i="38"/>
  <c r="Y23" i="38"/>
  <c r="X23" i="38"/>
  <c r="F23" i="38"/>
  <c r="Y22" i="38"/>
  <c r="X22" i="38"/>
  <c r="F22" i="38"/>
  <c r="Y21" i="38"/>
  <c r="X21" i="38"/>
  <c r="F21" i="38"/>
  <c r="Y20" i="38"/>
  <c r="X20" i="38"/>
  <c r="F20" i="38"/>
  <c r="Y19" i="38"/>
  <c r="X19" i="38"/>
  <c r="F19" i="38"/>
  <c r="Y18" i="38"/>
  <c r="X18" i="38"/>
  <c r="F18" i="38"/>
  <c r="Y17" i="38"/>
  <c r="X17" i="38"/>
  <c r="F17" i="38"/>
  <c r="Y16" i="38"/>
  <c r="X16" i="38"/>
  <c r="F16" i="38"/>
  <c r="Y15" i="38"/>
  <c r="X15" i="38"/>
  <c r="F15" i="38"/>
  <c r="Y14" i="38"/>
  <c r="X14" i="38"/>
  <c r="F14" i="38"/>
  <c r="Y13" i="38"/>
  <c r="X13" i="38"/>
  <c r="F13" i="38"/>
  <c r="Y12" i="38"/>
  <c r="X12" i="38"/>
  <c r="F12" i="38"/>
  <c r="Y11" i="38"/>
  <c r="X11" i="38"/>
  <c r="F11" i="38"/>
  <c r="Y10" i="38"/>
  <c r="X10" i="38"/>
  <c r="F10" i="38"/>
  <c r="Y9" i="38"/>
  <c r="X9" i="38"/>
  <c r="F9" i="38"/>
  <c r="Y8" i="38"/>
  <c r="X8" i="38"/>
  <c r="F8" i="38"/>
  <c r="B8" i="38"/>
  <c r="Y7" i="38"/>
  <c r="X7" i="38"/>
  <c r="F7" i="38"/>
  <c r="Y6" i="38"/>
  <c r="X6" i="38"/>
  <c r="F6" i="38"/>
  <c r="Y5" i="38"/>
  <c r="X5" i="38"/>
  <c r="F5" i="38"/>
  <c r="Y4" i="38"/>
  <c r="X4" i="38"/>
  <c r="F4" i="38"/>
  <c r="Y3" i="38"/>
  <c r="X3" i="38"/>
  <c r="M3" i="38"/>
  <c r="O16" i="1" s="1"/>
  <c r="F3" i="38"/>
  <c r="K16" i="15"/>
  <c r="K17" i="15"/>
  <c r="K18" i="15"/>
  <c r="K19" i="15"/>
  <c r="K20" i="15"/>
  <c r="K21" i="15"/>
  <c r="K22" i="15"/>
  <c r="K23" i="15"/>
  <c r="K24" i="15"/>
  <c r="K25" i="15"/>
  <c r="K26" i="15"/>
  <c r="K27" i="15"/>
  <c r="E15" i="1"/>
  <c r="E14" i="1"/>
  <c r="E13" i="1"/>
  <c r="E12" i="1"/>
  <c r="E11" i="1"/>
  <c r="E10" i="1"/>
  <c r="E9" i="1"/>
  <c r="E8" i="1"/>
  <c r="E7" i="1"/>
  <c r="E6" i="1"/>
  <c r="E5" i="1"/>
  <c r="E4" i="1"/>
  <c r="E3" i="1"/>
  <c r="AC17" i="1" l="1"/>
  <c r="N3" i="39"/>
  <c r="B12" i="39"/>
  <c r="K17" i="1" s="1"/>
  <c r="O3" i="39"/>
  <c r="O3" i="38"/>
  <c r="J16" i="1" s="1"/>
  <c r="Q3" i="38"/>
  <c r="B12" i="38"/>
  <c r="Z3" i="38"/>
  <c r="N3" i="38"/>
  <c r="F5" i="3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A200" i="15"/>
  <c r="I15" i="1"/>
  <c r="H15" i="1"/>
  <c r="G15" i="1"/>
  <c r="D15" i="1"/>
  <c r="C15" i="1"/>
  <c r="B15" i="1"/>
  <c r="I53" i="36"/>
  <c r="M3" i="36" s="1"/>
  <c r="O15" i="1" s="1"/>
  <c r="H53" i="36"/>
  <c r="L3" i="36" s="1"/>
  <c r="G53" i="36"/>
  <c r="K3" i="36" s="1"/>
  <c r="M15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F15" i="1" s="1"/>
  <c r="Y7" i="36"/>
  <c r="X7" i="36"/>
  <c r="F7" i="36"/>
  <c r="Y6" i="36"/>
  <c r="X6" i="36"/>
  <c r="F6" i="36"/>
  <c r="Y5" i="36"/>
  <c r="X5" i="36"/>
  <c r="F5" i="36"/>
  <c r="Y4" i="36"/>
  <c r="X4" i="36"/>
  <c r="F4" i="36"/>
  <c r="Y3" i="36"/>
  <c r="X3" i="36"/>
  <c r="F3" i="36"/>
  <c r="I14" i="1"/>
  <c r="H14" i="1"/>
  <c r="G14" i="1"/>
  <c r="D14" i="1"/>
  <c r="C14" i="1"/>
  <c r="B14" i="1"/>
  <c r="I53" i="35"/>
  <c r="M3" i="35" s="1"/>
  <c r="O14" i="1" s="1"/>
  <c r="H53" i="35"/>
  <c r="L3" i="35" s="1"/>
  <c r="G53" i="35"/>
  <c r="K3" i="35" s="1"/>
  <c r="M14" i="1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F14" i="1" s="1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D13" i="1"/>
  <c r="C13" i="1"/>
  <c r="B13" i="1"/>
  <c r="B12" i="1"/>
  <c r="I53" i="34"/>
  <c r="M3" i="34" s="1"/>
  <c r="O13" i="1" s="1"/>
  <c r="H53" i="34"/>
  <c r="L3" i="34" s="1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F13" i="1" s="1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H12" i="1"/>
  <c r="I12" i="1"/>
  <c r="G12" i="1"/>
  <c r="D12" i="1"/>
  <c r="C12" i="1"/>
  <c r="I53" i="33"/>
  <c r="M3" i="33" s="1"/>
  <c r="O12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2" i="1" s="1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D11" i="1"/>
  <c r="C11" i="1"/>
  <c r="B11" i="1"/>
  <c r="I53" i="32"/>
  <c r="M3" i="32" s="1"/>
  <c r="O11" i="1" s="1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11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D10" i="1"/>
  <c r="C10" i="1"/>
  <c r="B10" i="1"/>
  <c r="I53" i="31"/>
  <c r="M3" i="31" s="1"/>
  <c r="O10" i="1" s="1"/>
  <c r="H53" i="31"/>
  <c r="L3" i="31" s="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F10" i="1" s="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D9" i="1"/>
  <c r="C9" i="1"/>
  <c r="B9" i="1"/>
  <c r="F4" i="30"/>
  <c r="I53" i="30"/>
  <c r="M3" i="30" s="1"/>
  <c r="O9" i="1" s="1"/>
  <c r="H53" i="30"/>
  <c r="L3" i="30" s="1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F9" i="1" s="1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D8" i="1"/>
  <c r="C8" i="1"/>
  <c r="B8" i="1"/>
  <c r="I53" i="29"/>
  <c r="M3" i="29" s="1"/>
  <c r="O8" i="1" s="1"/>
  <c r="H53" i="29"/>
  <c r="L3" i="29" s="1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Y8" i="29"/>
  <c r="X8" i="29"/>
  <c r="F8" i="29"/>
  <c r="B8" i="29"/>
  <c r="F8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D7" i="1"/>
  <c r="C7" i="1"/>
  <c r="B7" i="1"/>
  <c r="I53" i="28"/>
  <c r="M3" i="28" s="1"/>
  <c r="O7" i="1" s="1"/>
  <c r="H53" i="28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Y10" i="28"/>
  <c r="X10" i="28"/>
  <c r="Y9" i="28"/>
  <c r="X9" i="28"/>
  <c r="Y8" i="28"/>
  <c r="X8" i="28"/>
  <c r="F8" i="28"/>
  <c r="B8" i="28"/>
  <c r="F7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K16" i="1" l="1"/>
  <c r="P3" i="38"/>
  <c r="L16" i="1" s="1"/>
  <c r="AC16" i="1"/>
  <c r="L3" i="28"/>
  <c r="N7" i="1" s="1"/>
  <c r="N15" i="1"/>
  <c r="N14" i="1"/>
  <c r="Z3" i="36"/>
  <c r="B12" i="36"/>
  <c r="O3" i="36"/>
  <c r="J15" i="1" s="1"/>
  <c r="N3" i="36"/>
  <c r="Q3" i="36"/>
  <c r="N13" i="1"/>
  <c r="N8" i="1"/>
  <c r="O3" i="35"/>
  <c r="J14" i="1" s="1"/>
  <c r="Z3" i="35"/>
  <c r="Q3" i="35"/>
  <c r="B12" i="35"/>
  <c r="K14" i="1" s="1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K15" i="1" l="1"/>
  <c r="P3" i="35"/>
  <c r="L14" i="1" s="1"/>
  <c r="AC14" i="1"/>
  <c r="P3" i="34"/>
  <c r="L13" i="1" s="1"/>
  <c r="AC13" i="1"/>
  <c r="P3" i="36"/>
  <c r="L15" i="1" s="1"/>
  <c r="AC15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2" i="27"/>
  <c r="F13" i="27"/>
  <c r="F14" i="27"/>
  <c r="F15" i="27"/>
  <c r="F16" i="27"/>
  <c r="F17" i="27"/>
  <c r="F18" i="27"/>
  <c r="I53" i="27"/>
  <c r="M3" i="27" s="1"/>
  <c r="O6" i="1" s="1"/>
  <c r="H53" i="27"/>
  <c r="L3" i="27" s="1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Y9" i="27"/>
  <c r="X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5" i="1"/>
  <c r="H5" i="1"/>
  <c r="G5" i="1"/>
  <c r="D5" i="1"/>
  <c r="C5" i="1"/>
  <c r="B5" i="1"/>
  <c r="I53" i="26"/>
  <c r="M3" i="26" s="1"/>
  <c r="O5" i="1" s="1"/>
  <c r="H53" i="26"/>
  <c r="L3" i="26" s="1"/>
  <c r="N5" i="1" s="1"/>
  <c r="G53" i="26"/>
  <c r="K3" i="26" s="1"/>
  <c r="M5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Y10" i="26"/>
  <c r="X10" i="26"/>
  <c r="Y9" i="26"/>
  <c r="X9" i="26"/>
  <c r="Y8" i="26"/>
  <c r="X8" i="26"/>
  <c r="F8" i="26"/>
  <c r="B8" i="26"/>
  <c r="F5" i="1" s="1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4" i="1"/>
  <c r="H4" i="1"/>
  <c r="G4" i="1"/>
  <c r="D4" i="1"/>
  <c r="C4" i="1"/>
  <c r="B4" i="1"/>
  <c r="I53" i="25"/>
  <c r="M3" i="25" s="1"/>
  <c r="O4" i="1" s="1"/>
  <c r="H53" i="25"/>
  <c r="L3" i="25" s="1"/>
  <c r="N4" i="1" s="1"/>
  <c r="G53" i="25"/>
  <c r="K3" i="25" s="1"/>
  <c r="M4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Y10" i="25"/>
  <c r="X10" i="25"/>
  <c r="Y9" i="25"/>
  <c r="X9" i="25"/>
  <c r="Y8" i="25"/>
  <c r="X8" i="25"/>
  <c r="F8" i="25"/>
  <c r="B8" i="25"/>
  <c r="F4" i="1" s="1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3" i="1"/>
  <c r="H3" i="1"/>
  <c r="G3" i="1"/>
  <c r="D3" i="1"/>
  <c r="C3" i="1"/>
  <c r="B3" i="1"/>
  <c r="F3" i="14"/>
  <c r="F4" i="14"/>
  <c r="F5" i="14"/>
  <c r="F6" i="14"/>
  <c r="F7" i="14"/>
  <c r="I53" i="14"/>
  <c r="M3" i="14" s="1"/>
  <c r="O3" i="1" s="1"/>
  <c r="H53" i="14"/>
  <c r="L3" i="14" s="1"/>
  <c r="N3" i="1" s="1"/>
  <c r="G53" i="14"/>
  <c r="K3" i="14" s="1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Y12" i="14"/>
  <c r="X12" i="14"/>
  <c r="Y11" i="14"/>
  <c r="X11" i="14"/>
  <c r="Y10" i="14"/>
  <c r="X10" i="14"/>
  <c r="Y9" i="14"/>
  <c r="X9" i="14"/>
  <c r="Y8" i="14"/>
  <c r="X8" i="14"/>
  <c r="F8" i="14"/>
  <c r="B8" i="14"/>
  <c r="F3" i="1" s="1"/>
  <c r="Y7" i="14"/>
  <c r="X7" i="14"/>
  <c r="Y6" i="14"/>
  <c r="X6" i="14"/>
  <c r="Y5" i="14"/>
  <c r="X5" i="14"/>
  <c r="Y4" i="14"/>
  <c r="X4" i="14"/>
  <c r="Y3" i="14"/>
  <c r="X3" i="14"/>
  <c r="AA3" i="1" l="1"/>
  <c r="O3" i="14"/>
  <c r="J3" i="1" s="1"/>
  <c r="M3" i="1"/>
  <c r="U3" i="1" s="1"/>
  <c r="R3" i="1" s="1"/>
  <c r="B12" i="27"/>
  <c r="K6" i="1" s="1"/>
  <c r="Q3" i="27"/>
  <c r="N6" i="1"/>
  <c r="O3" i="27"/>
  <c r="J6" i="1" s="1"/>
  <c r="Z3" i="27"/>
  <c r="AC6" i="1" s="1"/>
  <c r="N3" i="27"/>
  <c r="Q3" i="26"/>
  <c r="O3" i="26"/>
  <c r="J5" i="1" s="1"/>
  <c r="Z3" i="26"/>
  <c r="N3" i="26"/>
  <c r="B12" i="26"/>
  <c r="K5" i="1" s="1"/>
  <c r="O3" i="25"/>
  <c r="J4" i="1" s="1"/>
  <c r="Q3" i="25"/>
  <c r="Z3" i="25"/>
  <c r="B12" i="25"/>
  <c r="K4" i="1" s="1"/>
  <c r="N3" i="25"/>
  <c r="Q3" i="14"/>
  <c r="Z3" i="14"/>
  <c r="B12" i="14"/>
  <c r="K3" i="1" s="1"/>
  <c r="N3" i="14"/>
  <c r="V3" i="1" l="1"/>
  <c r="P3" i="26"/>
  <c r="L5" i="1" s="1"/>
  <c r="AC5" i="1"/>
  <c r="P3" i="27"/>
  <c r="L6" i="1" s="1"/>
  <c r="P3" i="14"/>
  <c r="L3" i="1" s="1"/>
  <c r="AC3" i="1"/>
  <c r="P3" i="25"/>
  <c r="L4" i="1" s="1"/>
  <c r="AC4" i="1"/>
  <c r="H2" i="15" l="1"/>
  <c r="S3" i="1" s="1"/>
  <c r="G2" i="15" l="1"/>
  <c r="F2" i="15"/>
  <c r="I2" i="15" l="1"/>
  <c r="Q3" i="1" s="1"/>
  <c r="W3" i="1" s="1"/>
  <c r="K200" i="15" l="1"/>
  <c r="Z3" i="1" s="1"/>
  <c r="T3" i="1"/>
  <c r="X3" i="1"/>
  <c r="Y3" i="1"/>
</calcChain>
</file>

<file path=xl/sharedStrings.xml><?xml version="1.0" encoding="utf-8"?>
<sst xmlns="http://schemas.openxmlformats.org/spreadsheetml/2006/main" count="583" uniqueCount="61">
  <si>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</si>
  <si>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</si>
  <si>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</si>
  <si>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</si>
  <si>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</si>
  <si>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</si>
  <si>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</si>
  <si>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</si>
  <si>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</si>
  <si>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</si>
  <si>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</si>
  <si>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</si>
  <si>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</si>
  <si>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</si>
  <si>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</si>
  <si>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</si>
  <si>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</si>
  <si>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</si>
  <si>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Mokestis</t>
  </si>
  <si>
    <t>Pinigai</t>
  </si>
  <si>
    <t>Grąžinta</t>
  </si>
  <si>
    <t>Viso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</si>
  <si>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</si>
  <si>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</si>
  <si>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</si>
  <si>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</si>
  <si>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</si>
  <si>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</si>
  <si>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</si>
  <si>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</si>
  <si>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</si>
  <si>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</si>
  <si>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</si>
  <si>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</si>
  <si>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</si>
  <si>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</si>
  <si>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Nr.</t>
  </si>
  <si>
    <t>Inv. data</t>
  </si>
  <si>
    <t>Liko</t>
  </si>
  <si>
    <t>Komapanija</t>
  </si>
  <si>
    <t xml:space="preserve">Premijos </t>
  </si>
  <si>
    <t>Eur.</t>
  </si>
  <si>
    <t>June 2025</t>
  </si>
  <si>
    <t>Scramble</t>
  </si>
  <si>
    <t>Estonia</t>
  </si>
  <si>
    <t>Busines loan</t>
  </si>
  <si>
    <t>9-12%</t>
  </si>
  <si>
    <t>July 2025</t>
  </si>
  <si>
    <t>August 2025</t>
  </si>
  <si>
    <t>September 2025</t>
  </si>
  <si>
    <t>October 2025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</si>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</sst>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651EFDC-CAEC-4C9E-9CA2-0AF5E34F1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5EDD83-A86F-4213-870A-BC6243100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ED2B6F-42A8-45C2-AF4C-D0E530F00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4" topLeftCell="G5" activePane="bottomRight" state="frozen"/>
      <selection pane="topRight" activeCell="D1" sqref="D1"/>
      <selection pane="bottomLeft" activeCell="A5" sqref="A5"/>
      <selection pane="bottomRight" activeCell="V9" sqref="V9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4" width="10.7109375" customWidth="1"/>
    <col min="5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5" width="10.7109375" customWidth="1"/>
    <col min="27" max="27" width="10.7109375" customWidth="1"/>
  </cols>
  <sheetData>
    <row r="1" spans="1:29" x14ac:dyDescent="0.25">
      <c r="A1" s="34" t="s">
        <v>0</v>
      </c>
      <c r="B1" s="35"/>
      <c r="C1" s="35"/>
      <c r="D1" s="35"/>
      <c r="E1" s="35"/>
      <c r="F1" s="35"/>
      <c r="G1" s="35"/>
      <c r="H1" s="36"/>
      <c r="I1" s="34" t="s">
        <v>8</v>
      </c>
      <c r="J1" s="35"/>
      <c r="K1" s="35"/>
      <c r="L1" s="36"/>
      <c r="M1" s="37" t="s">
        <v>20</v>
      </c>
      <c r="N1" s="37"/>
      <c r="O1" s="37"/>
      <c r="Q1" s="38" t="s">
        <v>19</v>
      </c>
      <c r="R1" s="39"/>
      <c r="S1" s="39"/>
      <c r="T1" s="40"/>
      <c r="U1" s="38" t="s">
        <v>20</v>
      </c>
      <c r="V1" s="40"/>
      <c r="W1" s="34" t="s">
        <v>4</v>
      </c>
      <c r="X1" s="35"/>
      <c r="Y1" s="35"/>
      <c r="Z1" s="36"/>
      <c r="AA1" s="4" t="s">
        <v>27</v>
      </c>
    </row>
    <row r="2" spans="1:29" x14ac:dyDescent="0.25">
      <c r="A2" s="11" t="s">
        <v>36</v>
      </c>
      <c r="B2" s="22" t="s">
        <v>37</v>
      </c>
      <c r="C2" s="12" t="s">
        <v>3</v>
      </c>
      <c r="D2" s="4" t="s">
        <v>16</v>
      </c>
      <c r="E2" s="4" t="s">
        <v>39</v>
      </c>
      <c r="F2" s="4" t="s">
        <v>17</v>
      </c>
      <c r="G2" s="4" t="s">
        <v>5</v>
      </c>
      <c r="H2" s="4" t="s">
        <v>9</v>
      </c>
      <c r="I2" s="4" t="s">
        <v>24</v>
      </c>
      <c r="J2" s="4" t="s">
        <v>25</v>
      </c>
      <c r="K2" s="4" t="s">
        <v>38</v>
      </c>
      <c r="L2" s="4" t="s">
        <v>30</v>
      </c>
      <c r="M2" s="4" t="s">
        <v>0</v>
      </c>
      <c r="N2" s="4" t="s">
        <v>1</v>
      </c>
      <c r="O2" s="4" t="s">
        <v>27</v>
      </c>
      <c r="P2" s="8"/>
      <c r="Q2" s="26" t="s">
        <v>10</v>
      </c>
      <c r="R2" s="26" t="s">
        <v>9</v>
      </c>
      <c r="S2" s="4" t="s">
        <v>40</v>
      </c>
      <c r="T2" s="4" t="s">
        <v>6</v>
      </c>
      <c r="U2" s="22" t="s">
        <v>0</v>
      </c>
      <c r="V2" s="22" t="s">
        <v>1</v>
      </c>
      <c r="W2" s="4" t="s">
        <v>21</v>
      </c>
      <c r="X2" s="4" t="s">
        <v>41</v>
      </c>
      <c r="Y2" s="4" t="s">
        <v>5</v>
      </c>
      <c r="Z2" s="4" t="s">
        <v>22</v>
      </c>
      <c r="AA2" s="4" t="s">
        <v>41</v>
      </c>
      <c r="AC2" s="11" t="s">
        <v>30</v>
      </c>
    </row>
    <row r="3" spans="1:29" x14ac:dyDescent="0.25">
      <c r="A3" s="2">
        <v>1</v>
      </c>
      <c r="B3" s="6">
        <f>'June 2025'!B9</f>
        <v>45813</v>
      </c>
      <c r="C3" s="23" t="str">
        <f>'June 2025'!B1</f>
        <v>June 2025</v>
      </c>
      <c r="D3" s="2" t="str">
        <f>'June 2025'!B2</f>
        <v>Estonia</v>
      </c>
      <c r="E3" s="2" t="str">
        <f>'June 2025'!B3</f>
        <v>Scramble</v>
      </c>
      <c r="F3" s="2" t="str">
        <f>'June 2025'!B8</f>
        <v>0 m. 6 mėn. 0 d.</v>
      </c>
      <c r="G3" s="7" t="str">
        <f>'June 2025'!B15</f>
        <v>9-12%</v>
      </c>
      <c r="H3" s="3">
        <f>'June 2025'!B16</f>
        <v>110</v>
      </c>
      <c r="I3" s="6">
        <f>'June 2025'!B11</f>
        <v>45996</v>
      </c>
      <c r="J3" s="6">
        <f>'June 2025'!O3</f>
        <v>45996</v>
      </c>
      <c r="K3" s="6" t="str">
        <f ca="1">'June 2025'!B12</f>
        <v/>
      </c>
      <c r="L3" s="6" t="str">
        <f ca="1">'June 2025'!P3</f>
        <v/>
      </c>
      <c r="M3" s="3">
        <f>'June 2025'!K3</f>
        <v>110</v>
      </c>
      <c r="N3" s="3">
        <f>'June 2025'!L3</f>
        <v>5.47</v>
      </c>
      <c r="O3" s="3">
        <f>'June 2025'!M3</f>
        <v>0</v>
      </c>
      <c r="P3" s="9"/>
      <c r="Q3" s="27">
        <f>Pinigai!I2</f>
        <v>950</v>
      </c>
      <c r="R3" s="28">
        <f>SUM(H3:H100)-U3</f>
        <v>1070.4499999999998</v>
      </c>
      <c r="S3" s="27">
        <f>Pinigai!H2</f>
        <v>53.459999999999994</v>
      </c>
      <c r="T3" s="27">
        <f>W3-R3</f>
        <v>-9.9999999997635314E-3</v>
      </c>
      <c r="U3" s="28">
        <f>SUM(M3:M100)</f>
        <v>1442</v>
      </c>
      <c r="V3" s="28">
        <f>SUM(N3:N100)-AA3</f>
        <v>66.98</v>
      </c>
      <c r="W3" s="27">
        <f>Q3+S3+V3</f>
        <v>1070.44</v>
      </c>
      <c r="X3" s="27">
        <f>W3-Q3</f>
        <v>120.44000000000005</v>
      </c>
      <c r="Y3" s="29">
        <f>(W3-Q3)/Q3</f>
        <v>0.1267789473684211</v>
      </c>
      <c r="Z3" s="30">
        <f ca="1">XIRR(Pinigai!K2:K200,Pinigai!A2:A200)</f>
        <v>0.16192122101783754</v>
      </c>
      <c r="AA3" s="27">
        <f>SUM(O3:O100)</f>
        <v>0</v>
      </c>
      <c r="AC3" s="3" t="str">
        <f ca="1">'June 2025'!Z3</f>
        <v/>
      </c>
    </row>
    <row r="4" spans="1:29" x14ac:dyDescent="0.25">
      <c r="A4" s="2">
        <v>2</v>
      </c>
      <c r="B4" s="6">
        <f>'July 2025'!B9</f>
        <v>45845</v>
      </c>
      <c r="C4" s="23" t="str">
        <f>'July 2025'!B1</f>
        <v>July 2025</v>
      </c>
      <c r="D4" s="2" t="str">
        <f>'July 2025'!B2</f>
        <v>Estonia</v>
      </c>
      <c r="E4" s="2" t="str">
        <f>'July 2025'!B3</f>
        <v>Scramble</v>
      </c>
      <c r="F4" s="2" t="str">
        <f>'July 2025'!B8</f>
        <v>0 m. 5 mėn. 29 d.</v>
      </c>
      <c r="G4" s="7" t="str">
        <f>'July 2025'!B15</f>
        <v>9-12%</v>
      </c>
      <c r="H4" s="3">
        <f>'July 2025'!B16</f>
        <v>110.78</v>
      </c>
      <c r="I4" s="6">
        <f>'July 2025'!B11</f>
        <v>46027</v>
      </c>
      <c r="J4" s="6">
        <f>'July 2025'!O3</f>
        <v>46027</v>
      </c>
      <c r="K4" s="6" t="str">
        <f ca="1">'July 2025'!B12</f>
        <v/>
      </c>
      <c r="L4" s="6" t="str">
        <f ca="1">'July 2025'!P3</f>
        <v/>
      </c>
      <c r="M4" s="3">
        <f>'July 2025'!K3</f>
        <v>110.78</v>
      </c>
      <c r="N4" s="3">
        <f>'July 2025'!L3</f>
        <v>5.64</v>
      </c>
      <c r="O4" s="3">
        <f>'July 2025'!M3</f>
        <v>0</v>
      </c>
      <c r="P4" s="9"/>
      <c r="Q4" s="9"/>
      <c r="R4" s="9"/>
      <c r="S4" s="9"/>
      <c r="T4" s="9"/>
      <c r="U4" s="9"/>
      <c r="V4" s="9"/>
      <c r="W4" s="9"/>
      <c r="X4" s="9"/>
      <c r="Y4" s="20"/>
      <c r="Z4" s="20"/>
      <c r="AC4" s="3" t="str">
        <f ca="1">'July 2025'!Z3</f>
        <v/>
      </c>
    </row>
    <row r="5" spans="1:29" x14ac:dyDescent="0.25">
      <c r="A5" s="2">
        <v>3</v>
      </c>
      <c r="B5" s="6">
        <f>'August 2025'!B9</f>
        <v>45874</v>
      </c>
      <c r="C5" s="23" t="str">
        <f>'August 2025'!B1</f>
        <v>August 2025</v>
      </c>
      <c r="D5" s="2" t="str">
        <f>'August 2025'!B2</f>
        <v>Estonia</v>
      </c>
      <c r="E5" s="2" t="str">
        <f>'August 2025'!B3</f>
        <v>Scramble</v>
      </c>
      <c r="F5" s="2" t="str">
        <f>'August 2025'!B8</f>
        <v>0 m. 6 mėn. 0 d.</v>
      </c>
      <c r="G5" s="7" t="str">
        <f>'August 2025'!B15</f>
        <v>9-12%</v>
      </c>
      <c r="H5" s="3">
        <f>'August 2025'!B16</f>
        <v>11.19</v>
      </c>
      <c r="I5" s="6">
        <f>'August 2025'!B11</f>
        <v>46058</v>
      </c>
      <c r="J5" s="6">
        <f>'August 2025'!O3</f>
        <v>46058</v>
      </c>
      <c r="K5" s="3" t="str">
        <f ca="1">'August 2025'!B12</f>
        <v/>
      </c>
      <c r="L5" s="3" t="str">
        <f ca="1">'August 2025'!P3</f>
        <v/>
      </c>
      <c r="M5" s="3">
        <f>'August 2025'!K3</f>
        <v>11.19</v>
      </c>
      <c r="N5" s="3">
        <f>'August 2025'!L3</f>
        <v>0.56000000000000005</v>
      </c>
      <c r="O5" s="3">
        <f>'August 2025'!M3</f>
        <v>0</v>
      </c>
      <c r="P5" s="9"/>
      <c r="AC5" s="3" t="str">
        <f ca="1">'August 2025'!Z3</f>
        <v/>
      </c>
    </row>
    <row r="6" spans="1:29" x14ac:dyDescent="0.25">
      <c r="A6" s="2">
        <v>4</v>
      </c>
      <c r="B6" s="6">
        <f>'September 2025'!B9</f>
        <v>45905</v>
      </c>
      <c r="C6" s="23" t="str">
        <f>'September 2025'!B1</f>
        <v>September 2025</v>
      </c>
      <c r="D6" s="2" t="str">
        <f>'September 2025'!B2</f>
        <v>Estonia</v>
      </c>
      <c r="E6" s="2" t="str">
        <f>'September 2025'!B3</f>
        <v>Scramble</v>
      </c>
      <c r="F6" s="2" t="str">
        <f>'September 2025'!B8</f>
        <v>0 m. 6 mėn. 0 d.</v>
      </c>
      <c r="G6" s="7" t="str">
        <f>'September 2025'!B15</f>
        <v>9-12%</v>
      </c>
      <c r="H6" s="3">
        <f>'September 2025'!B16</f>
        <v>111.81</v>
      </c>
      <c r="I6" s="6">
        <f>'September 2025'!B11</f>
        <v>46086</v>
      </c>
      <c r="J6" s="6">
        <f>'September 2025'!O3</f>
        <v>46086</v>
      </c>
      <c r="K6" s="18" t="str">
        <f ca="1">'September 2025'!B12</f>
        <v/>
      </c>
      <c r="L6" s="18" t="str">
        <f ca="1">'September 2025'!P3</f>
        <v/>
      </c>
      <c r="M6" s="3">
        <f>'September 2025'!K3</f>
        <v>111.81</v>
      </c>
      <c r="N6" s="3">
        <f>'September 2025'!L3</f>
        <v>6.06</v>
      </c>
      <c r="O6" s="3">
        <f>'September 2025'!M3</f>
        <v>0</v>
      </c>
      <c r="P6" s="9"/>
      <c r="AC6" s="3" t="str">
        <f ca="1">'September 2025'!Z3</f>
        <v/>
      </c>
    </row>
    <row r="7" spans="1:29" x14ac:dyDescent="0.25">
      <c r="A7" s="2">
        <v>5</v>
      </c>
      <c r="B7" s="6">
        <f>'October 2025'!B9</f>
        <v>45936</v>
      </c>
      <c r="C7" s="23" t="str">
        <f>'October 2025'!B1</f>
        <v>October 2025</v>
      </c>
      <c r="D7" s="2" t="str">
        <f>'October 2025'!B2</f>
        <v>Estonia</v>
      </c>
      <c r="E7" s="2" t="str">
        <f>'October 2025'!B3</f>
        <v>Scramble</v>
      </c>
      <c r="F7" s="2" t="str">
        <f>'October 2025'!B8</f>
        <v>0 m. 6 mėn. 0 d.</v>
      </c>
      <c r="G7" s="7" t="str">
        <f>'October 2025'!B15</f>
        <v>9-12%</v>
      </c>
      <c r="H7" s="3">
        <f>'October 2025'!B16</f>
        <v>118.75</v>
      </c>
      <c r="I7" s="6">
        <f>'October 2025'!B11</f>
        <v>46118</v>
      </c>
      <c r="J7" s="6">
        <f>'October 2025'!O3</f>
        <v>46118</v>
      </c>
      <c r="K7" s="18" t="str">
        <f ca="1">'October 2025'!B12</f>
        <v/>
      </c>
      <c r="L7" s="18" t="str">
        <f ca="1">'October 2025'!P3</f>
        <v/>
      </c>
      <c r="M7" s="3">
        <f>'October 2025'!K3</f>
        <v>118.75</v>
      </c>
      <c r="N7" s="3">
        <f>'October 2025'!L3</f>
        <v>6.4</v>
      </c>
      <c r="O7" s="3">
        <f>'October 2025'!M3</f>
        <v>0</v>
      </c>
      <c r="P7" s="9"/>
      <c r="AC7" s="3" t="str">
        <f ca="1">'October 2025'!Z3</f>
        <v/>
      </c>
    </row>
    <row r="8" spans="1:29" x14ac:dyDescent="0.25">
      <c r="A8" s="2">
        <v>6</v>
      </c>
      <c r="B8" s="6">
        <f>'November 2025'!B9</f>
        <v>45966</v>
      </c>
      <c r="C8" s="23" t="str">
        <f>'November 2025'!B1</f>
        <v>November 2025</v>
      </c>
      <c r="D8" s="2" t="str">
        <f>'November 2025'!B2</f>
        <v>Estonia</v>
      </c>
      <c r="E8" s="2" t="str">
        <f>'November 2025'!B3</f>
        <v>Scramble</v>
      </c>
      <c r="F8" s="2" t="str">
        <f>'November 2025'!B8</f>
        <v>0 m. 6 mėn. 0 d.</v>
      </c>
      <c r="G8" s="7" t="str">
        <f>'November 2025'!B15</f>
        <v>9-12%</v>
      </c>
      <c r="H8" s="3">
        <f>'November 2025'!B16</f>
        <v>145.91999999999999</v>
      </c>
      <c r="I8" s="6">
        <f>'November 2025'!B11</f>
        <v>46147</v>
      </c>
      <c r="J8" s="6">
        <f>'November 2025'!O3</f>
        <v>46147</v>
      </c>
      <c r="K8" s="18" t="str">
        <f ca="1">'November 2025'!B12</f>
        <v/>
      </c>
      <c r="L8" s="18" t="str">
        <f ca="1">'November 2025'!P3</f>
        <v/>
      </c>
      <c r="M8" s="3">
        <f>'November 2025'!K3</f>
        <v>145.92000000000002</v>
      </c>
      <c r="N8" s="3">
        <f>'November 2025'!L3</f>
        <v>7.77</v>
      </c>
      <c r="O8" s="3">
        <f>'November 2025'!M3</f>
        <v>0</v>
      </c>
      <c r="P8" s="9"/>
      <c r="AC8" s="3" t="str">
        <f ca="1">'November 2025'!Z3</f>
        <v/>
      </c>
    </row>
    <row r="9" spans="1:29" x14ac:dyDescent="0.25">
      <c r="A9" s="2">
        <v>7</v>
      </c>
      <c r="B9" s="6">
        <f>'December 2025'!B9</f>
        <v>45996</v>
      </c>
      <c r="C9" s="23" t="str">
        <f>'December 2025'!B1</f>
        <v>December 2025</v>
      </c>
      <c r="D9" s="2" t="str">
        <f>'December 2025'!B2</f>
        <v>Estonia</v>
      </c>
      <c r="E9" s="2" t="str">
        <f>'December 2025'!B3</f>
        <v>Scramble</v>
      </c>
      <c r="F9" s="2" t="str">
        <f>'December 2025'!B8</f>
        <v>0 m. 6 mėn. 0 d.</v>
      </c>
      <c r="G9" s="7" t="str">
        <f>'December 2025'!B15</f>
        <v>9-12%</v>
      </c>
      <c r="H9" s="3">
        <f>'December 2025'!B16</f>
        <v>312.73</v>
      </c>
      <c r="I9" s="6">
        <f>'December 2025'!B11</f>
        <v>46178</v>
      </c>
      <c r="J9" s="6">
        <f>'December 2025'!O3</f>
        <v>46178</v>
      </c>
      <c r="K9" s="18" t="str">
        <f ca="1">'December 2025'!B12</f>
        <v/>
      </c>
      <c r="L9" s="18" t="str">
        <f ca="1">'December 2025'!P3</f>
        <v/>
      </c>
      <c r="M9" s="3">
        <f>'December 2025'!K3</f>
        <v>312.73</v>
      </c>
      <c r="N9" s="3">
        <f>'December 2025'!L3</f>
        <v>16.22</v>
      </c>
      <c r="O9" s="3">
        <f>'December 2025'!M3</f>
        <v>0</v>
      </c>
      <c r="P9" s="9"/>
      <c r="AC9" s="3" t="str">
        <f ca="1">'December 2025'!Z3</f>
        <v/>
      </c>
    </row>
    <row r="10" spans="1:29" x14ac:dyDescent="0.25">
      <c r="A10" s="2">
        <v>8</v>
      </c>
      <c r="B10" s="6">
        <f>'January 2026'!B9</f>
        <v>46027</v>
      </c>
      <c r="C10" s="23" t="str">
        <f>'January 2026'!B1</f>
        <v>January 2026</v>
      </c>
      <c r="D10" s="2" t="str">
        <f>'January 2026'!B2</f>
        <v>Estonia</v>
      </c>
      <c r="E10" s="2" t="str">
        <f>'January 2026'!B3</f>
        <v>Scramble</v>
      </c>
      <c r="F10" s="2" t="str">
        <f>'January 2026'!B8</f>
        <v>0 m. 6 mėn. 1 d.</v>
      </c>
      <c r="G10" s="7" t="str">
        <f>'January 2026'!B15</f>
        <v>9-12%</v>
      </c>
      <c r="H10" s="3">
        <f>'January 2026'!B16</f>
        <v>230.21</v>
      </c>
      <c r="I10" s="6">
        <f>'January 2026'!B11</f>
        <v>46209</v>
      </c>
      <c r="J10" s="6">
        <f>'January 2026'!O3</f>
        <v>46209</v>
      </c>
      <c r="K10" s="18" t="str">
        <f ca="1">'January 2026'!B12</f>
        <v/>
      </c>
      <c r="L10" s="18" t="str">
        <f ca="1">'January 2026'!P3</f>
        <v/>
      </c>
      <c r="M10" s="3">
        <f>'January 2026'!K3</f>
        <v>230.20999999999998</v>
      </c>
      <c r="N10" s="3">
        <f>'January 2026'!L3</f>
        <v>11.33</v>
      </c>
      <c r="O10" s="3">
        <f>'January 2026'!M3</f>
        <v>0</v>
      </c>
      <c r="P10" s="9"/>
      <c r="AC10" s="3" t="str">
        <f ca="1">'January 2026'!Z3</f>
        <v/>
      </c>
    </row>
    <row r="11" spans="1:29" x14ac:dyDescent="0.25">
      <c r="A11" s="2">
        <v>9</v>
      </c>
      <c r="B11" s="6">
        <f>'February 2026'!B9</f>
        <v>46058</v>
      </c>
      <c r="C11" s="23" t="str">
        <f>'February 2026'!B1</f>
        <v>February 2026</v>
      </c>
      <c r="D11" s="2" t="str">
        <f>'February 2026'!B2</f>
        <v>Estonia</v>
      </c>
      <c r="E11" s="2" t="str">
        <f>'February 2026'!B3</f>
        <v>Scramble</v>
      </c>
      <c r="F11" s="2" t="str">
        <f>'February 2026'!B8</f>
        <v>0 m. 6 mėn. 0 d.</v>
      </c>
      <c r="G11" s="7" t="str">
        <f>'February 2026'!B15</f>
        <v>9-12%</v>
      </c>
      <c r="H11" s="3">
        <f>'February 2026'!B16</f>
        <v>158.38</v>
      </c>
      <c r="I11" s="6">
        <f>'February 2026'!B11</f>
        <v>46239</v>
      </c>
      <c r="J11" s="6">
        <f>'February 2026'!O3</f>
        <v>46239</v>
      </c>
      <c r="K11" s="18" t="str">
        <f ca="1">'February 2026'!B12</f>
        <v/>
      </c>
      <c r="L11" s="18" t="str">
        <f ca="1">'February 2026'!P3</f>
        <v/>
      </c>
      <c r="M11" s="3">
        <f>'February 2026'!K3</f>
        <v>158.38</v>
      </c>
      <c r="N11" s="3">
        <f>'February 2026'!L3</f>
        <v>7.53</v>
      </c>
      <c r="O11" s="3">
        <f>'February 2026'!M3</f>
        <v>0</v>
      </c>
      <c r="P11" s="9"/>
      <c r="AC11" s="3" t="str">
        <f ca="1">'February 2026'!Z3</f>
        <v/>
      </c>
    </row>
    <row r="12" spans="1:29" x14ac:dyDescent="0.25">
      <c r="A12" s="2">
        <v>10</v>
      </c>
      <c r="B12" s="6">
        <f>'March 2026'!B9</f>
        <v>46086</v>
      </c>
      <c r="C12" s="24" t="str">
        <f>'March 2026'!B1</f>
        <v>March 2026</v>
      </c>
      <c r="D12" s="2" t="str">
        <f>'March 2026'!B2</f>
        <v>Estonia</v>
      </c>
      <c r="E12" s="2" t="str">
        <f>'March 2026'!B3</f>
        <v>Scramble</v>
      </c>
      <c r="F12" s="2" t="str">
        <f>'March 2026'!B8</f>
        <v>0 m. 6 mėn. 0 d.</v>
      </c>
      <c r="G12" s="7" t="str">
        <f>'March 2026'!B15</f>
        <v>9-12%</v>
      </c>
      <c r="H12" s="3">
        <f>'March 2026'!B16</f>
        <v>142.80000000000001</v>
      </c>
      <c r="I12" s="6">
        <f>'March 2026'!B11</f>
        <v>46270</v>
      </c>
      <c r="J12" s="6" t="str">
        <f>'March 2026'!O3</f>
        <v/>
      </c>
      <c r="K12" s="18">
        <f ca="1">'March 2026'!B12</f>
        <v>27</v>
      </c>
      <c r="L12" s="18" t="str">
        <f ca="1">'March 2026'!P3</f>
        <v/>
      </c>
      <c r="M12" s="3">
        <f>'March 2026'!K3</f>
        <v>33.659999999999997</v>
      </c>
      <c r="N12" s="3">
        <f>'March 2026'!L3</f>
        <v>0</v>
      </c>
      <c r="O12" s="3">
        <f>'March 2026'!M3</f>
        <v>0</v>
      </c>
      <c r="AC12" s="3" t="str">
        <f ca="1">'March 2026'!Z3</f>
        <v/>
      </c>
    </row>
    <row r="13" spans="1:29" x14ac:dyDescent="0.25">
      <c r="A13" s="2">
        <v>11</v>
      </c>
      <c r="B13" s="6">
        <f>'April 2026'!B9</f>
        <v>46118</v>
      </c>
      <c r="C13" s="24" t="str">
        <f>'April 2026'!B1</f>
        <v>April 2026</v>
      </c>
      <c r="D13" s="2" t="str">
        <f>'April 2026'!B2</f>
        <v>Estonia</v>
      </c>
      <c r="E13" s="2" t="str">
        <f>'April 2026'!B3</f>
        <v>Scramble</v>
      </c>
      <c r="F13" s="2" t="str">
        <f>'April 2026'!B8</f>
        <v>0 m. 5 mėn. 29 d.</v>
      </c>
      <c r="G13" s="7" t="str">
        <f>'April 2026'!B15</f>
        <v>9-12%</v>
      </c>
      <c r="H13" s="3">
        <f>'April 2026'!B16</f>
        <v>146.66999999999999</v>
      </c>
      <c r="I13" s="6">
        <f>'April 2026'!B11</f>
        <v>46300</v>
      </c>
      <c r="J13" s="6" t="str">
        <f>'April 2026'!O3</f>
        <v/>
      </c>
      <c r="K13" s="18">
        <f ca="1">'April 2026'!B12</f>
        <v>57</v>
      </c>
      <c r="L13" s="18" t="str">
        <f ca="1">'April 2026'!P3</f>
        <v/>
      </c>
      <c r="M13" s="3">
        <f>'April 2026'!K3</f>
        <v>26.32</v>
      </c>
      <c r="N13" s="3">
        <f>'April 2026'!L3</f>
        <v>0</v>
      </c>
      <c r="O13" s="3">
        <f>'April 2026'!M3</f>
        <v>0</v>
      </c>
      <c r="AC13" s="3" t="str">
        <f ca="1">'April 2026'!Z3</f>
        <v/>
      </c>
    </row>
    <row r="14" spans="1:29" x14ac:dyDescent="0.25">
      <c r="A14" s="2">
        <v>12</v>
      </c>
      <c r="B14" s="6">
        <f>'May 2026'!B9</f>
        <v>46147</v>
      </c>
      <c r="C14" s="24" t="str">
        <f>'May 2026'!B1</f>
        <v>May 2026</v>
      </c>
      <c r="D14" s="2" t="str">
        <f>'May 2026'!B2</f>
        <v>Estonia</v>
      </c>
      <c r="E14" s="2" t="str">
        <f>'May 2026'!B3</f>
        <v>Scramble</v>
      </c>
      <c r="F14" s="2" t="str">
        <f>'May 2026'!B8</f>
        <v>0 m. 6 mėn. 0 d.</v>
      </c>
      <c r="G14" s="7" t="str">
        <f>'May 2026'!B15</f>
        <v>9-12%</v>
      </c>
      <c r="H14" s="3">
        <f>'May 2026'!B16</f>
        <v>219.61</v>
      </c>
      <c r="I14" s="6">
        <f>'May 2026'!B11</f>
        <v>46331</v>
      </c>
      <c r="J14" s="6" t="str">
        <f>'May 2026'!O3</f>
        <v/>
      </c>
      <c r="K14" s="18">
        <f ca="1">'May 2026'!B12</f>
        <v>88</v>
      </c>
      <c r="L14" s="18" t="str">
        <f ca="1">'May 2026'!P3</f>
        <v/>
      </c>
      <c r="M14" s="3">
        <f>'May 2026'!K3</f>
        <v>28.89</v>
      </c>
      <c r="N14" s="3">
        <f>'May 2026'!L3</f>
        <v>0</v>
      </c>
      <c r="O14" s="3">
        <f>'May 2026'!M3</f>
        <v>0</v>
      </c>
      <c r="AC14" s="3" t="str">
        <f ca="1">'May 2026'!Z3</f>
        <v/>
      </c>
    </row>
    <row r="15" spans="1:29" x14ac:dyDescent="0.25">
      <c r="A15" s="2">
        <v>13</v>
      </c>
      <c r="B15" s="6">
        <f>'June 2026'!B9</f>
        <v>46178</v>
      </c>
      <c r="C15" s="24" t="str">
        <f>'June 2026'!B1</f>
        <v>June 2026</v>
      </c>
      <c r="D15" s="2" t="str">
        <f>'June 2026'!B2</f>
        <v>Estonia</v>
      </c>
      <c r="E15" s="2" t="str">
        <f>'June 2026'!B3</f>
        <v>Scramble</v>
      </c>
      <c r="F15" s="2" t="str">
        <f>'June 2026'!B8</f>
        <v>0 m. 6 mėn. 2 d.</v>
      </c>
      <c r="G15" s="7" t="str">
        <f>'June 2026'!B15</f>
        <v>9-12%</v>
      </c>
      <c r="H15" s="3">
        <f>'June 2026'!B16</f>
        <v>294.26</v>
      </c>
      <c r="I15" s="6">
        <f>'June 2026'!B11</f>
        <v>46363</v>
      </c>
      <c r="J15" s="6" t="str">
        <f>'June 2026'!O3</f>
        <v/>
      </c>
      <c r="K15" s="18">
        <f ca="1">'June 2026'!B12</f>
        <v>120</v>
      </c>
      <c r="L15" s="18" t="str">
        <f ca="1">'June 2026'!P3</f>
        <v/>
      </c>
      <c r="M15" s="3">
        <f>'June 2026'!K3</f>
        <v>31.34</v>
      </c>
      <c r="N15" s="3">
        <f>'June 2026'!L3</f>
        <v>0</v>
      </c>
      <c r="O15" s="3">
        <f>'June 2026'!M3</f>
        <v>0</v>
      </c>
      <c r="AC15" s="3" t="str">
        <f ca="1">'June 2026'!Z3</f>
        <v/>
      </c>
    </row>
    <row r="16" spans="1:29" x14ac:dyDescent="0.25">
      <c r="A16" s="2">
        <v>14</v>
      </c>
      <c r="B16" s="6">
        <f>'July 2026'!B9</f>
        <v>46209</v>
      </c>
      <c r="C16" s="24" t="str">
        <f>'July 2026'!B1</f>
        <v>July 2026</v>
      </c>
      <c r="D16" s="2" t="str">
        <f>'July 2026'!B2</f>
        <v>Estonia</v>
      </c>
      <c r="E16" s="2" t="str">
        <f>'July 2026'!B3</f>
        <v>Scramble</v>
      </c>
      <c r="F16" s="2" t="str">
        <f>'July 2026'!B8</f>
        <v>0 m. 5 mėn. 30 d.</v>
      </c>
      <c r="G16" s="7" t="str">
        <f>'July 2026'!B15</f>
        <v>9-12%</v>
      </c>
      <c r="H16" s="3">
        <f>'July 2026'!B16</f>
        <v>223.86</v>
      </c>
      <c r="I16" s="6">
        <f>'July 2026'!B11</f>
        <v>46392</v>
      </c>
      <c r="J16" s="6" t="str">
        <f>'July 2026'!O3</f>
        <v/>
      </c>
      <c r="K16" s="18">
        <f ca="1">'July 2026'!B12</f>
        <v>149</v>
      </c>
      <c r="L16" s="18" t="str">
        <f ca="1">'July 2026'!P3</f>
        <v/>
      </c>
      <c r="M16" s="3">
        <f>'July 2026'!K3</f>
        <v>12.02</v>
      </c>
      <c r="N16" s="3">
        <f>'July 2026'!L3</f>
        <v>0</v>
      </c>
      <c r="O16" s="3">
        <f>'July 2026'!M3</f>
        <v>0</v>
      </c>
      <c r="AC16" s="3" t="str">
        <f ca="1">'July 2026'!Z3</f>
        <v/>
      </c>
    </row>
    <row r="17" spans="1:29" x14ac:dyDescent="0.25">
      <c r="A17" s="2">
        <v>15</v>
      </c>
      <c r="B17" s="6">
        <f>'August 2026'!B9</f>
        <v>46239</v>
      </c>
      <c r="C17" s="24" t="str">
        <f>'August 2026'!B1</f>
        <v>August 2026</v>
      </c>
      <c r="D17" s="2" t="str">
        <f>'August 2026'!B2</f>
        <v>Estonia</v>
      </c>
      <c r="E17" s="2" t="str">
        <f>'August 2026'!B3</f>
        <v>Scramble</v>
      </c>
      <c r="F17" s="2" t="str">
        <f>'August 2026'!B8</f>
        <v>0 m. 6 mėn. 0 d.</v>
      </c>
      <c r="G17" s="7" t="str">
        <f>'August 2026'!B15</f>
        <v>9-12%</v>
      </c>
      <c r="H17" s="3">
        <f>'August 2026'!B16</f>
        <v>175.48</v>
      </c>
      <c r="I17" s="6">
        <f>'August 2026'!B11</f>
        <v>46423</v>
      </c>
      <c r="J17" s="6" t="str">
        <f>'August 2026'!O3</f>
        <v/>
      </c>
      <c r="K17" s="18">
        <f ca="1">'August 2026'!B12</f>
        <v>180</v>
      </c>
      <c r="L17" s="18" t="str">
        <f ca="1">'August 2026'!P3</f>
        <v/>
      </c>
      <c r="M17" s="3">
        <f>'August 2026'!K3</f>
        <v>0</v>
      </c>
      <c r="N17" s="3">
        <f>'August 2026'!L3</f>
        <v>0</v>
      </c>
      <c r="O17" s="3">
        <f>'August 2026'!M3</f>
        <v>0</v>
      </c>
      <c r="AC17" s="3" t="str">
        <f ca="1">'August 2026'!Z3</f>
        <v/>
      </c>
    </row>
    <row r="18" spans="1:29" x14ac:dyDescent="0.25">
      <c r="A18" s="2"/>
      <c r="B18" s="6"/>
      <c r="C18" s="24"/>
      <c r="D18" s="2"/>
      <c r="E18" s="2"/>
      <c r="F18" s="2"/>
      <c r="G18" s="7"/>
      <c r="H18" s="3"/>
      <c r="I18" s="6"/>
      <c r="J18" s="6"/>
      <c r="K18" s="18"/>
      <c r="L18" s="18"/>
      <c r="M18" s="3"/>
      <c r="N18" s="3"/>
      <c r="O18" s="3"/>
      <c r="AC18" s="1"/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  <row r="26" spans="1:29" x14ac:dyDescent="0.25">
      <c r="A26" s="2"/>
      <c r="B26" s="6"/>
      <c r="C26" s="24"/>
      <c r="D26" s="2"/>
      <c r="E26" s="2"/>
      <c r="F26" s="2"/>
      <c r="G26" s="7"/>
      <c r="H26" s="3"/>
      <c r="I26" s="6"/>
      <c r="J26" s="6"/>
      <c r="K26" s="18"/>
      <c r="L26" s="18"/>
      <c r="M26" s="3"/>
      <c r="N26" s="3"/>
      <c r="O26" s="3"/>
      <c r="AC26" s="1"/>
    </row>
    <row r="27" spans="1:29" x14ac:dyDescent="0.25">
      <c r="A27" s="2"/>
      <c r="B27" s="6"/>
      <c r="C27" s="24"/>
      <c r="D27" s="2"/>
      <c r="E27" s="2"/>
      <c r="F27" s="2"/>
      <c r="G27" s="7"/>
      <c r="H27" s="3"/>
      <c r="I27" s="6"/>
      <c r="J27" s="6"/>
      <c r="K27" s="18"/>
      <c r="L27" s="18"/>
      <c r="M27" s="3"/>
      <c r="N27" s="3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63" priority="9">
      <formula>$AC3="+"</formula>
    </cfRule>
    <cfRule type="expression" dxfId="62" priority="13">
      <formula>AND($H3&gt;0,$H3=$M3)</formula>
    </cfRule>
  </conditionalFormatting>
  <conditionalFormatting sqref="AC3:AC27">
    <cfRule type="expression" dxfId="61" priority="2">
      <formula>AND($H3&gt;0,$H3=$M3)</formula>
    </cfRule>
  </conditionalFormatting>
  <conditionalFormatting sqref="AC6:AC17">
    <cfRule type="expression" dxfId="60" priority="1">
      <formula>$AC6="+"</formula>
    </cfRule>
  </conditionalFormatting>
  <hyperlinks>
    <hyperlink ref="C3" location="'June 2025'!A1" display="'June 2025'!A1" xr:uid="{B3F9066C-B2D9-4834-93BD-4CABB41F406E}"/>
    <hyperlink ref="C4" location="'July 2025'!A1" display="'July 2025'!A1" xr:uid="{0CEF1365-D47B-4187-BB87-7DB57ABEE334}"/>
    <hyperlink ref="C5" location="'August 2025'!A1" display="'August 2025'!A1" xr:uid="{E6469448-04FA-4E1A-9BD0-3D26BBD5D6EF}"/>
    <hyperlink ref="C6" location="'September 2025'!A1" display="'September 2025'!A1" xr:uid="{95EB2565-26E3-4087-8EF5-5AB8E508D4BA}"/>
    <hyperlink ref="C7" location="'October 2025'!A1" display="'October 2025'!A1" xr:uid="{AF74ED1D-0C44-4147-BB71-548719931AA2}"/>
    <hyperlink ref="C8" location="'November 2025'!A1" display="'November 2025'!A1" xr:uid="{FE46076B-E5C3-460F-ADB3-EB72E3831F54}"/>
    <hyperlink ref="C9" location="'December 2025'!A1" display="'December 2025'!A1" xr:uid="{D82C4B58-2076-4A93-8FD9-3BCDFC9C426E}"/>
    <hyperlink ref="C10" location="'January 2026'!A1" display="'January 2026'!A1" xr:uid="{7E1D5C03-0459-49D3-88C1-BDE22816B4A2}"/>
    <hyperlink ref="C11" location="'February 2026'!A1" display="'February 2026'!A1" xr:uid="{B3145920-5382-49D6-8149-9D439B789D12}"/>
    <hyperlink ref="C12" location="'March 2026'!A1" display="'March 2026'!A1" xr:uid="{245E7DBA-D947-40F8-8F15-9915FFE1DD5E}"/>
    <hyperlink ref="C13" location="'April 2026'!A1" display="'April 2026'!A1" xr:uid="{D41A3630-A56F-4916-B1AA-C5C3695F19A8}"/>
    <hyperlink ref="C14" location="'May 2026'!A1" display="'May 2026'!A1" xr:uid="{8B58AC79-8F19-4849-BA55-1D38985B2EEB}"/>
    <hyperlink ref="C15" location="'June 2026'!A1" display="'June 2026'!A1" xr:uid="{F1C40DAB-27D9-44D4-8895-8D55B6EA57EA}"/>
    <hyperlink ref="C16" location="'July 2026'!A1" display="'July 2026'!A1" xr:uid="{7D5E87E6-238B-4A7E-89F7-EBB2FDF1E71C}"/>
    <hyperlink ref="C17" location="'August 2026'!A1" display="'August 2026'!A1" xr:uid="{33F4DBC0-0E97-41DA-A26F-AD257724C82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0"/>
  <sheetViews>
    <sheetView tabSelected="1" workbookViewId="0">
      <selection activeCell="B4" sqref="B4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  <col min="14" max="14" width="36.85546875" customWidth="1"/>
  </cols>
  <sheetData>
    <row r="1" spans="1:14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22</v>
      </c>
    </row>
    <row r="2" spans="1:14" x14ac:dyDescent="0.25">
      <c r="A2" s="6">
        <v>45811</v>
      </c>
      <c r="B2" s="3">
        <v>100</v>
      </c>
      <c r="C2" s="3">
        <v>0</v>
      </c>
      <c r="D2" s="3">
        <v>0</v>
      </c>
      <c r="F2" s="3">
        <f>SUM(B2:B35)</f>
        <v>950</v>
      </c>
      <c r="G2" s="3">
        <f>SUM(C2:C35)</f>
        <v>0</v>
      </c>
      <c r="H2" s="3">
        <f>SUM(D2:D35)</f>
        <v>53.459999999999994</v>
      </c>
      <c r="I2" s="3">
        <f>F2-G2</f>
        <v>950</v>
      </c>
      <c r="K2" s="3">
        <f>B2*-1</f>
        <v>-100</v>
      </c>
    </row>
    <row r="3" spans="1:14" x14ac:dyDescent="0.25">
      <c r="A3" s="6">
        <v>45812</v>
      </c>
      <c r="B3" s="3">
        <v>0</v>
      </c>
      <c r="C3" s="3">
        <v>0</v>
      </c>
      <c r="D3" s="3">
        <v>10</v>
      </c>
      <c r="K3" s="3">
        <f t="shared" ref="K3:K27" si="0">B3*-1</f>
        <v>0</v>
      </c>
    </row>
    <row r="4" spans="1:14" x14ac:dyDescent="0.25">
      <c r="A4" s="6">
        <v>45825</v>
      </c>
      <c r="B4" s="3">
        <v>0</v>
      </c>
      <c r="C4" s="3">
        <v>0</v>
      </c>
      <c r="D4" s="3">
        <v>5</v>
      </c>
      <c r="K4" s="3">
        <f t="shared" si="0"/>
        <v>0</v>
      </c>
    </row>
    <row r="5" spans="1:14" x14ac:dyDescent="0.25">
      <c r="A5" s="6">
        <v>45840</v>
      </c>
      <c r="B5" s="3">
        <v>100</v>
      </c>
      <c r="C5" s="3">
        <v>0</v>
      </c>
      <c r="D5" s="3">
        <v>0</v>
      </c>
      <c r="K5" s="3">
        <f t="shared" si="0"/>
        <v>-100</v>
      </c>
    </row>
    <row r="6" spans="1:14" x14ac:dyDescent="0.25">
      <c r="A6" s="6">
        <v>45898</v>
      </c>
      <c r="B6" s="3">
        <v>100</v>
      </c>
      <c r="C6" s="3">
        <v>0</v>
      </c>
      <c r="D6" s="3">
        <v>0</v>
      </c>
      <c r="K6" s="3">
        <f t="shared" si="0"/>
        <v>-100</v>
      </c>
    </row>
    <row r="7" spans="1:14" x14ac:dyDescent="0.25">
      <c r="A7" s="6">
        <v>45917</v>
      </c>
      <c r="B7" s="3">
        <v>0</v>
      </c>
      <c r="C7" s="3">
        <v>0</v>
      </c>
      <c r="D7" s="3">
        <v>1</v>
      </c>
      <c r="K7" s="3">
        <f t="shared" si="0"/>
        <v>0</v>
      </c>
    </row>
    <row r="8" spans="1:14" x14ac:dyDescent="0.25">
      <c r="A8" s="6">
        <v>45926</v>
      </c>
      <c r="B8" s="3">
        <v>100</v>
      </c>
      <c r="C8" s="3">
        <v>0</v>
      </c>
      <c r="D8" s="3">
        <v>0</v>
      </c>
      <c r="K8" s="3">
        <f t="shared" si="0"/>
        <v>-100</v>
      </c>
    </row>
    <row r="9" spans="1:14" x14ac:dyDescent="0.25">
      <c r="A9" s="6">
        <v>45947</v>
      </c>
      <c r="B9" s="3">
        <v>0</v>
      </c>
      <c r="C9" s="3">
        <v>0</v>
      </c>
      <c r="D9" s="3">
        <v>22.11</v>
      </c>
      <c r="K9" s="3">
        <f t="shared" si="0"/>
        <v>0</v>
      </c>
    </row>
    <row r="10" spans="1:14" x14ac:dyDescent="0.25">
      <c r="A10" s="6">
        <v>45957</v>
      </c>
      <c r="B10" s="3">
        <v>100</v>
      </c>
      <c r="C10" s="3">
        <v>0</v>
      </c>
      <c r="D10" s="3">
        <v>0</v>
      </c>
      <c r="K10" s="3">
        <f t="shared" si="0"/>
        <v>-100</v>
      </c>
    </row>
    <row r="11" spans="1:14" x14ac:dyDescent="0.25">
      <c r="A11" s="6">
        <v>45978</v>
      </c>
      <c r="B11" s="3">
        <v>0</v>
      </c>
      <c r="C11" s="3">
        <v>0</v>
      </c>
      <c r="D11" s="3">
        <v>1</v>
      </c>
      <c r="K11" s="3">
        <f t="shared" si="0"/>
        <v>0</v>
      </c>
    </row>
    <row r="12" spans="1:14" x14ac:dyDescent="0.25">
      <c r="A12" s="6">
        <v>45985</v>
      </c>
      <c r="B12" s="3">
        <v>100</v>
      </c>
      <c r="C12" s="3">
        <v>0</v>
      </c>
      <c r="D12" s="3">
        <v>0</v>
      </c>
      <c r="K12" s="3">
        <f t="shared" si="0"/>
        <v>-100</v>
      </c>
    </row>
    <row r="13" spans="1:14" x14ac:dyDescent="0.25">
      <c r="A13" s="6">
        <v>46006</v>
      </c>
      <c r="B13" s="3">
        <v>100</v>
      </c>
      <c r="C13" s="3">
        <v>0</v>
      </c>
      <c r="D13" s="3">
        <v>0</v>
      </c>
      <c r="K13" s="3">
        <f t="shared" si="0"/>
        <v>-100</v>
      </c>
    </row>
    <row r="14" spans="1:14" x14ac:dyDescent="0.25">
      <c r="A14" s="6">
        <v>46008</v>
      </c>
      <c r="B14" s="3">
        <v>0</v>
      </c>
      <c r="C14" s="3">
        <v>0</v>
      </c>
      <c r="D14" s="3">
        <v>5.0199999999999996</v>
      </c>
      <c r="K14" s="3">
        <f t="shared" si="0"/>
        <v>0</v>
      </c>
    </row>
    <row r="15" spans="1:14" x14ac:dyDescent="0.25">
      <c r="A15" s="6">
        <v>46020</v>
      </c>
      <c r="B15" s="3">
        <v>100</v>
      </c>
      <c r="C15" s="3">
        <v>0</v>
      </c>
      <c r="D15" s="3">
        <v>0</v>
      </c>
      <c r="K15" s="3">
        <f t="shared" si="0"/>
        <v>-100</v>
      </c>
    </row>
    <row r="16" spans="1:14" x14ac:dyDescent="0.25">
      <c r="A16" s="6">
        <v>46027</v>
      </c>
      <c r="B16" s="3">
        <v>0</v>
      </c>
      <c r="C16" s="3">
        <v>0</v>
      </c>
      <c r="D16" s="3">
        <v>0.08</v>
      </c>
      <c r="K16" s="3">
        <f t="shared" si="0"/>
        <v>0</v>
      </c>
      <c r="N16" s="33"/>
    </row>
    <row r="17" spans="1:11" x14ac:dyDescent="0.25">
      <c r="A17" s="6">
        <v>46043</v>
      </c>
      <c r="B17" s="3">
        <v>0</v>
      </c>
      <c r="C17" s="3">
        <v>0</v>
      </c>
      <c r="D17" s="3">
        <v>1.5</v>
      </c>
      <c r="K17" s="3">
        <f t="shared" si="0"/>
        <v>0</v>
      </c>
    </row>
    <row r="18" spans="1:11" x14ac:dyDescent="0.25">
      <c r="A18" s="6">
        <v>46052</v>
      </c>
      <c r="B18" s="3">
        <v>100</v>
      </c>
      <c r="C18" s="3">
        <v>0</v>
      </c>
      <c r="D18" s="3">
        <v>0</v>
      </c>
      <c r="K18" s="3">
        <f t="shared" si="0"/>
        <v>-100</v>
      </c>
    </row>
    <row r="19" spans="1:11" x14ac:dyDescent="0.25">
      <c r="A19" s="6">
        <v>46070</v>
      </c>
      <c r="B19" s="3">
        <v>0</v>
      </c>
      <c r="C19" s="3">
        <v>0</v>
      </c>
      <c r="D19" s="3">
        <v>3.9</v>
      </c>
      <c r="K19" s="3">
        <f t="shared" si="0"/>
        <v>0</v>
      </c>
    </row>
    <row r="20" spans="1:11" x14ac:dyDescent="0.25">
      <c r="A20" s="6">
        <v>46098</v>
      </c>
      <c r="B20" s="3">
        <v>0</v>
      </c>
      <c r="C20" s="3">
        <v>0</v>
      </c>
      <c r="D20" s="3">
        <v>0.5</v>
      </c>
      <c r="K20" s="3">
        <f t="shared" si="0"/>
        <v>0</v>
      </c>
    </row>
    <row r="21" spans="1:11" x14ac:dyDescent="0.25">
      <c r="A21" s="6">
        <v>46129</v>
      </c>
      <c r="B21" s="3">
        <v>0</v>
      </c>
      <c r="C21" s="3">
        <v>0</v>
      </c>
      <c r="D21" s="3">
        <v>0.5</v>
      </c>
      <c r="K21" s="3">
        <f t="shared" si="0"/>
        <v>0</v>
      </c>
    </row>
    <row r="22" spans="1:11" x14ac:dyDescent="0.25">
      <c r="A22" s="6">
        <v>46141</v>
      </c>
      <c r="B22" s="3">
        <v>50</v>
      </c>
      <c r="C22" s="3">
        <v>0</v>
      </c>
      <c r="D22" s="3">
        <v>0</v>
      </c>
      <c r="K22" s="3">
        <f t="shared" si="0"/>
        <v>-50</v>
      </c>
    </row>
    <row r="23" spans="1:11" x14ac:dyDescent="0.25">
      <c r="A23" s="6">
        <v>46160</v>
      </c>
      <c r="B23" s="3">
        <v>0</v>
      </c>
      <c r="C23" s="3">
        <v>0</v>
      </c>
      <c r="D23" s="2">
        <v>1.35</v>
      </c>
      <c r="K23" s="3">
        <f t="shared" si="0"/>
        <v>0</v>
      </c>
    </row>
    <row r="24" spans="1:11" x14ac:dyDescent="0.25">
      <c r="A24" s="6">
        <v>46190</v>
      </c>
      <c r="B24" s="3">
        <v>0</v>
      </c>
      <c r="C24" s="3">
        <v>0</v>
      </c>
      <c r="D24" s="3">
        <v>0.5</v>
      </c>
      <c r="K24" s="3">
        <f t="shared" si="0"/>
        <v>0</v>
      </c>
    </row>
    <row r="25" spans="1:11" x14ac:dyDescent="0.25">
      <c r="A25" s="6">
        <v>46220</v>
      </c>
      <c r="B25" s="3">
        <v>0</v>
      </c>
      <c r="C25" s="3">
        <v>0</v>
      </c>
      <c r="D25" s="3">
        <v>1</v>
      </c>
      <c r="K25" s="3">
        <f t="shared" si="0"/>
        <v>0</v>
      </c>
    </row>
    <row r="26" spans="1:11" x14ac:dyDescent="0.25">
      <c r="A26" s="6"/>
      <c r="B26" s="1"/>
      <c r="C26" s="1"/>
      <c r="D26" s="1"/>
      <c r="K26" s="3">
        <f t="shared" si="0"/>
        <v>0</v>
      </c>
    </row>
    <row r="27" spans="1:11" x14ac:dyDescent="0.25">
      <c r="A27" s="6"/>
      <c r="B27" s="1"/>
      <c r="C27" s="1"/>
      <c r="D27" s="1"/>
      <c r="K27" s="3">
        <f t="shared" si="0"/>
        <v>0</v>
      </c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46243</v>
      </c>
      <c r="B200" s="1"/>
      <c r="C200" s="1"/>
      <c r="D200" s="1"/>
      <c r="K200" s="25">
        <f>Overview!W3</f>
        <v>1070.44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3274-3D24-494D-87A0-8D3396507F37}">
  <dimension ref="A1:Z53"/>
  <sheetViews>
    <sheetView topLeftCell="B1" zoomScaleNormal="100" workbookViewId="0">
      <selection activeCell="G3" sqref="G3: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60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32" t="s">
        <v>24</v>
      </c>
      <c r="E2" s="32" t="s">
        <v>25</v>
      </c>
      <c r="F2" s="31" t="s">
        <v>29</v>
      </c>
      <c r="G2" s="32" t="s">
        <v>13</v>
      </c>
      <c r="H2" s="32" t="s">
        <v>14</v>
      </c>
      <c r="I2" s="32" t="s">
        <v>18</v>
      </c>
      <c r="J2" s="9"/>
      <c r="K2" s="32" t="s">
        <v>0</v>
      </c>
      <c r="L2" s="32" t="s">
        <v>1</v>
      </c>
      <c r="M2" s="32" t="s">
        <v>27</v>
      </c>
      <c r="N2" s="32" t="s">
        <v>22</v>
      </c>
      <c r="O2" s="32" t="s">
        <v>2</v>
      </c>
      <c r="P2" s="32" t="s">
        <v>30</v>
      </c>
      <c r="Q2" s="32" t="s">
        <v>29</v>
      </c>
      <c r="X2" s="32" t="s">
        <v>2</v>
      </c>
      <c r="Y2" s="32" t="s">
        <v>23</v>
      </c>
      <c r="Z2" s="32" t="s">
        <v>30</v>
      </c>
    </row>
    <row r="3" spans="1:26" x14ac:dyDescent="0.25">
      <c r="A3" s="5" t="s">
        <v>31</v>
      </c>
      <c r="B3" s="6" t="s">
        <v>43</v>
      </c>
      <c r="D3" s="6">
        <v>46270</v>
      </c>
      <c r="E3" s="6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46239</v>
      </c>
      <c r="Y3" s="3">
        <f>B16*-1</f>
        <v>-175.48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46300</v>
      </c>
      <c r="E4" s="6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6">
        <v>46331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46361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46392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10">
        <v>46423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46239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46251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180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175.48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3">
      <formula>$Z$3="+"</formula>
    </cfRule>
  </conditionalFormatting>
  <conditionalFormatting sqref="Z3">
    <cfRule type="expression" dxfId="5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DCFBE-ED6A-4B73-80D9-41035DBB0C36}">
  <dimension ref="A1:Z53"/>
  <sheetViews>
    <sheetView zoomScaleNormal="100"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59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46239</v>
      </c>
      <c r="E3" s="6">
        <v>46239</v>
      </c>
      <c r="F3" s="18">
        <f t="shared" ref="F3:F52" si="0">IF(E3&gt;0,E3-D3,"")</f>
        <v>0</v>
      </c>
      <c r="G3" s="3">
        <v>12.02</v>
      </c>
      <c r="H3" s="3">
        <v>0</v>
      </c>
      <c r="I3" s="3">
        <v>0</v>
      </c>
      <c r="J3" s="13"/>
      <c r="K3" s="3">
        <f>G53</f>
        <v>12.02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46209</v>
      </c>
      <c r="Y3" s="3">
        <f>B16*-1</f>
        <v>-223.86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46270</v>
      </c>
      <c r="E4" s="6"/>
      <c r="F4" s="18" t="str">
        <f t="shared" si="0"/>
        <v/>
      </c>
      <c r="G4" s="3"/>
      <c r="H4" s="3"/>
      <c r="I4" s="3"/>
      <c r="J4" s="9"/>
      <c r="X4" s="6">
        <f>E3</f>
        <v>46239</v>
      </c>
      <c r="Y4" s="3">
        <f>G3+H3-I3</f>
        <v>12.02</v>
      </c>
    </row>
    <row r="5" spans="1:26" x14ac:dyDescent="0.25">
      <c r="A5" s="5"/>
      <c r="B5" s="6"/>
      <c r="D5" s="6">
        <v>46300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46331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46361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30 d.</v>
      </c>
      <c r="D8" s="6">
        <v>46392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46220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46392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149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223.86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12.02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5">
      <formula>$Z$3="+"</formula>
    </cfRule>
  </conditionalFormatting>
  <conditionalFormatting sqref="Z3">
    <cfRule type="expression" dxfId="52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E6C87-D2E9-45C3-AA9C-63A3C4369065}">
  <dimension ref="A1:Z53"/>
  <sheetViews>
    <sheetView zoomScaleNormal="100" workbookViewId="0">
      <selection activeCell="K11" sqref="K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58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46209</v>
      </c>
      <c r="E3" s="6">
        <v>46209</v>
      </c>
      <c r="F3" s="18">
        <f t="shared" ref="F3:F52" si="0">IF(E3&gt;0,E3-D3,"")</f>
        <v>0</v>
      </c>
      <c r="G3" s="3">
        <v>15.67</v>
      </c>
      <c r="H3" s="3">
        <v>0</v>
      </c>
      <c r="I3" s="3">
        <v>0</v>
      </c>
      <c r="J3" s="13"/>
      <c r="K3" s="3">
        <f>G53</f>
        <v>31.34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46178</v>
      </c>
      <c r="Y3" s="3">
        <f>B16*-1</f>
        <v>-294.26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46239</v>
      </c>
      <c r="E4" s="6">
        <v>46239</v>
      </c>
      <c r="F4" s="18">
        <f t="shared" si="0"/>
        <v>0</v>
      </c>
      <c r="G4" s="3">
        <v>15.67</v>
      </c>
      <c r="H4" s="3">
        <v>0</v>
      </c>
      <c r="I4" s="3">
        <v>0</v>
      </c>
      <c r="J4" s="9"/>
      <c r="X4" s="6">
        <f>E3</f>
        <v>46209</v>
      </c>
      <c r="Y4" s="3">
        <f>G3+H3-I3</f>
        <v>15.67</v>
      </c>
    </row>
    <row r="5" spans="1:26" x14ac:dyDescent="0.25">
      <c r="A5" s="5"/>
      <c r="B5" s="6"/>
      <c r="D5" s="6">
        <v>46270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46239</v>
      </c>
      <c r="Y5" s="3">
        <f t="shared" ref="Y5:Y52" si="2">G4+H4-I4</f>
        <v>15.67</v>
      </c>
    </row>
    <row r="6" spans="1:26" x14ac:dyDescent="0.25">
      <c r="A6" s="5"/>
      <c r="B6" s="6"/>
      <c r="D6" s="6">
        <v>46300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46331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2 d.</v>
      </c>
      <c r="D8" s="6">
        <v>46363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46178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46190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46363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120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294.26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31.34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5">
      <formula>$Z$3="+"</formula>
    </cfRule>
  </conditionalFormatting>
  <conditionalFormatting sqref="Z3">
    <cfRule type="expression" dxfId="4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>
      <selection activeCell="H4" sqref="H4: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57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46178</v>
      </c>
      <c r="E3" s="6">
        <v>46178</v>
      </c>
      <c r="F3" s="18">
        <f t="shared" ref="F3:F52" si="0">IF(E3&gt;0,E3-D3,"")</f>
        <v>0</v>
      </c>
      <c r="G3" s="3">
        <v>9.6300000000000008</v>
      </c>
      <c r="H3" s="3">
        <v>0</v>
      </c>
      <c r="I3" s="3">
        <v>0</v>
      </c>
      <c r="J3" s="13"/>
      <c r="K3" s="3">
        <f>G53</f>
        <v>28.89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46147</v>
      </c>
      <c r="Y3" s="3">
        <f>B16*-1</f>
        <v>-219.61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46209</v>
      </c>
      <c r="E4" s="6">
        <v>46209</v>
      </c>
      <c r="F4" s="18">
        <f t="shared" si="0"/>
        <v>0</v>
      </c>
      <c r="G4" s="3">
        <v>9.6300000000000008</v>
      </c>
      <c r="H4" s="3">
        <v>0</v>
      </c>
      <c r="I4" s="3">
        <v>0</v>
      </c>
      <c r="J4" s="9"/>
      <c r="X4" s="6">
        <f>E3</f>
        <v>46178</v>
      </c>
      <c r="Y4" s="3">
        <f>G3+H3-I3</f>
        <v>9.6300000000000008</v>
      </c>
    </row>
    <row r="5" spans="1:26" x14ac:dyDescent="0.25">
      <c r="A5" s="5"/>
      <c r="B5" s="6"/>
      <c r="D5" s="6">
        <v>46239</v>
      </c>
      <c r="E5" s="6">
        <v>46239</v>
      </c>
      <c r="F5" s="18">
        <f t="shared" si="0"/>
        <v>0</v>
      </c>
      <c r="G5" s="3">
        <v>9.6300000000000008</v>
      </c>
      <c r="H5" s="3">
        <v>0</v>
      </c>
      <c r="I5" s="3">
        <v>0</v>
      </c>
      <c r="J5" s="9"/>
      <c r="X5" s="6">
        <f t="shared" ref="X5:X52" si="1">E4</f>
        <v>46209</v>
      </c>
      <c r="Y5" s="3">
        <f t="shared" ref="Y5:Y52" si="2">G4+H4-I4</f>
        <v>9.6300000000000008</v>
      </c>
    </row>
    <row r="6" spans="1:26" x14ac:dyDescent="0.25">
      <c r="A6" s="5"/>
      <c r="B6" s="6"/>
      <c r="D6" s="6">
        <v>46270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46239</v>
      </c>
      <c r="Y6" s="3">
        <f t="shared" si="2"/>
        <v>9.6300000000000008</v>
      </c>
    </row>
    <row r="7" spans="1:26" x14ac:dyDescent="0.25">
      <c r="A7" s="5"/>
      <c r="B7" s="6"/>
      <c r="D7" s="6">
        <v>46300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46331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46159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46331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88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219.61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28.89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5">
      <formula>$Z$3="+"</formula>
    </cfRule>
  </conditionalFormatting>
  <conditionalFormatting sqref="Z3">
    <cfRule type="expression" dxfId="4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56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46147</v>
      </c>
      <c r="E3" s="6">
        <v>46147</v>
      </c>
      <c r="F3" s="18">
        <f t="shared" ref="F3:F52" si="0">IF(E3&gt;0,E3-D3,"")</f>
        <v>0</v>
      </c>
      <c r="G3" s="3">
        <v>6.58</v>
      </c>
      <c r="H3" s="3">
        <v>0</v>
      </c>
      <c r="I3" s="3">
        <v>0</v>
      </c>
      <c r="J3" s="13"/>
      <c r="K3" s="3">
        <f>G53</f>
        <v>26.32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46118</v>
      </c>
      <c r="Y3" s="3">
        <f>B16*-1</f>
        <v>-146.66999999999999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46178</v>
      </c>
      <c r="E4" s="6">
        <v>46178</v>
      </c>
      <c r="F4" s="18">
        <f t="shared" si="0"/>
        <v>0</v>
      </c>
      <c r="G4" s="3">
        <v>6.58</v>
      </c>
      <c r="H4" s="3">
        <v>0</v>
      </c>
      <c r="I4" s="3">
        <v>0</v>
      </c>
      <c r="J4" s="9"/>
      <c r="X4" s="6">
        <f>E3</f>
        <v>46147</v>
      </c>
      <c r="Y4" s="3">
        <f>G3+H3-I3</f>
        <v>6.58</v>
      </c>
    </row>
    <row r="5" spans="1:26" x14ac:dyDescent="0.25">
      <c r="A5" s="5"/>
      <c r="B5" s="6"/>
      <c r="D5" s="6">
        <v>46209</v>
      </c>
      <c r="E5" s="6">
        <v>46209</v>
      </c>
      <c r="F5" s="18">
        <f t="shared" si="0"/>
        <v>0</v>
      </c>
      <c r="G5" s="3">
        <v>6.58</v>
      </c>
      <c r="H5" s="3">
        <v>0</v>
      </c>
      <c r="I5" s="3">
        <v>0</v>
      </c>
      <c r="J5" s="9"/>
      <c r="X5" s="6">
        <f t="shared" ref="X5:X52" si="1">E4</f>
        <v>46178</v>
      </c>
      <c r="Y5" s="3">
        <f t="shared" ref="Y5:Y52" si="2">G4+H4-I4</f>
        <v>6.58</v>
      </c>
    </row>
    <row r="6" spans="1:26" x14ac:dyDescent="0.25">
      <c r="A6" s="5"/>
      <c r="B6" s="6"/>
      <c r="D6" s="6">
        <v>46239</v>
      </c>
      <c r="E6" s="6">
        <v>46239</v>
      </c>
      <c r="F6" s="18">
        <f t="shared" si="0"/>
        <v>0</v>
      </c>
      <c r="G6" s="2">
        <v>6.58</v>
      </c>
      <c r="H6" s="3">
        <v>0</v>
      </c>
      <c r="I6" s="3">
        <v>0</v>
      </c>
      <c r="J6" s="9"/>
      <c r="X6" s="6">
        <f t="shared" si="1"/>
        <v>46209</v>
      </c>
      <c r="Y6" s="3">
        <f t="shared" si="2"/>
        <v>6.58</v>
      </c>
    </row>
    <row r="7" spans="1:26" x14ac:dyDescent="0.25">
      <c r="A7" s="5"/>
      <c r="B7" s="6"/>
      <c r="D7" s="6">
        <v>46270</v>
      </c>
      <c r="E7" s="6"/>
      <c r="F7" s="18" t="str">
        <f>IF(E7&gt;0,E7-D7,"")</f>
        <v/>
      </c>
      <c r="G7" s="3"/>
      <c r="H7" s="2"/>
      <c r="I7" s="2"/>
      <c r="J7" s="13"/>
      <c r="X7" s="6">
        <f t="shared" si="1"/>
        <v>46239</v>
      </c>
      <c r="Y7" s="3">
        <f t="shared" si="2"/>
        <v>6.58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46300</v>
      </c>
      <c r="E8" s="6"/>
      <c r="F8" s="18" t="str">
        <f>IF(E8&gt;0,E8-D8,"")</f>
        <v/>
      </c>
      <c r="G8" s="2"/>
      <c r="H8" s="3"/>
      <c r="I8" s="3"/>
      <c r="J8" s="9"/>
      <c r="X8" s="6">
        <f>E7</f>
        <v>0</v>
      </c>
      <c r="Y8" s="3">
        <f t="shared" si="2"/>
        <v>0</v>
      </c>
    </row>
    <row r="9" spans="1:26" x14ac:dyDescent="0.25">
      <c r="A9" s="5" t="s">
        <v>9</v>
      </c>
      <c r="B9" s="6">
        <v>46118</v>
      </c>
      <c r="D9" s="10"/>
      <c r="E9" s="10"/>
      <c r="F9" s="18" t="str">
        <f>IF(E9&gt;0,E9-D9,"")</f>
        <v/>
      </c>
      <c r="G9" s="2"/>
      <c r="H9" s="3"/>
      <c r="I9" s="3"/>
      <c r="J9" s="13"/>
      <c r="X9" s="6">
        <f>E8</f>
        <v>0</v>
      </c>
      <c r="Y9" s="3">
        <f t="shared" si="2"/>
        <v>0</v>
      </c>
    </row>
    <row r="10" spans="1:26" x14ac:dyDescent="0.25">
      <c r="A10" s="5" t="s">
        <v>33</v>
      </c>
      <c r="B10" s="6">
        <v>46129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>E9</f>
        <v>0</v>
      </c>
      <c r="Y10" s="3">
        <f t="shared" si="2"/>
        <v>0</v>
      </c>
    </row>
    <row r="11" spans="1:26" x14ac:dyDescent="0.25">
      <c r="A11" s="5" t="s">
        <v>8</v>
      </c>
      <c r="B11" s="6">
        <v>46300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57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146.66999999999999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26.32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5">
      <formula>$Z$3="+"</formula>
    </cfRule>
  </conditionalFormatting>
  <conditionalFormatting sqref="Z3">
    <cfRule type="expression" dxfId="4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>
      <selection activeCell="H7" sqref="H7: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55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46118</v>
      </c>
      <c r="E3" s="6">
        <v>46118</v>
      </c>
      <c r="F3" s="18">
        <f t="shared" ref="F3:F52" si="0">IF(E3&gt;0,E3-D3,"")</f>
        <v>0</v>
      </c>
      <c r="G3" s="3">
        <v>6.77</v>
      </c>
      <c r="H3" s="3">
        <v>0</v>
      </c>
      <c r="I3" s="3">
        <v>0</v>
      </c>
      <c r="J3" s="13"/>
      <c r="K3" s="3">
        <f>G53</f>
        <v>33.659999999999997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46086</v>
      </c>
      <c r="Y3" s="3">
        <f>B16*-1</f>
        <v>-142.80000000000001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46147</v>
      </c>
      <c r="E4" s="6">
        <v>46147</v>
      </c>
      <c r="F4" s="18">
        <f t="shared" si="0"/>
        <v>0</v>
      </c>
      <c r="G4" s="3">
        <v>6.77</v>
      </c>
      <c r="H4" s="3">
        <v>0</v>
      </c>
      <c r="I4" s="3">
        <v>0</v>
      </c>
      <c r="J4" s="9"/>
      <c r="X4" s="6">
        <f>E3</f>
        <v>46118</v>
      </c>
      <c r="Y4" s="3">
        <f>G3+H3-I3</f>
        <v>6.77</v>
      </c>
    </row>
    <row r="5" spans="1:26" x14ac:dyDescent="0.25">
      <c r="A5" s="5"/>
      <c r="B5" s="6"/>
      <c r="D5" s="6">
        <v>46178</v>
      </c>
      <c r="E5" s="6">
        <v>46178</v>
      </c>
      <c r="F5" s="18">
        <f t="shared" si="0"/>
        <v>0</v>
      </c>
      <c r="G5" s="3">
        <v>6.77</v>
      </c>
      <c r="H5" s="3">
        <v>0</v>
      </c>
      <c r="I5" s="3">
        <v>0</v>
      </c>
      <c r="J5" s="9"/>
      <c r="X5" s="6">
        <f t="shared" ref="X5:X52" si="1">E4</f>
        <v>46147</v>
      </c>
      <c r="Y5" s="3">
        <f t="shared" ref="Y5:Y52" si="2">G4+H4-I4</f>
        <v>6.77</v>
      </c>
    </row>
    <row r="6" spans="1:26" x14ac:dyDescent="0.25">
      <c r="A6" s="5"/>
      <c r="B6" s="6"/>
      <c r="D6" s="6">
        <v>46209</v>
      </c>
      <c r="E6" s="6">
        <v>46209</v>
      </c>
      <c r="F6" s="18">
        <f t="shared" si="0"/>
        <v>0</v>
      </c>
      <c r="G6" s="2">
        <v>6.77</v>
      </c>
      <c r="H6" s="3">
        <v>0</v>
      </c>
      <c r="I6" s="3">
        <v>0</v>
      </c>
      <c r="J6" s="9"/>
      <c r="X6" s="6">
        <f t="shared" si="1"/>
        <v>46178</v>
      </c>
      <c r="Y6" s="3">
        <f t="shared" si="2"/>
        <v>6.77</v>
      </c>
    </row>
    <row r="7" spans="1:26" x14ac:dyDescent="0.25">
      <c r="A7" s="5"/>
      <c r="B7" s="6"/>
      <c r="D7" s="6">
        <v>46239</v>
      </c>
      <c r="E7" s="6">
        <v>46239</v>
      </c>
      <c r="F7" s="18">
        <f t="shared" si="0"/>
        <v>0</v>
      </c>
      <c r="G7" s="3">
        <v>6.58</v>
      </c>
      <c r="H7" s="3">
        <v>0</v>
      </c>
      <c r="I7" s="3">
        <v>0</v>
      </c>
      <c r="J7" s="13"/>
      <c r="X7" s="6">
        <f t="shared" si="1"/>
        <v>46209</v>
      </c>
      <c r="Y7" s="3">
        <f t="shared" si="2"/>
        <v>6.77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46272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46239</v>
      </c>
      <c r="Y8" s="3">
        <f t="shared" si="2"/>
        <v>6.58</v>
      </c>
    </row>
    <row r="9" spans="1:26" x14ac:dyDescent="0.25">
      <c r="A9" s="5" t="s">
        <v>9</v>
      </c>
      <c r="B9" s="6">
        <v>46086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46098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27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142.80000000000001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33.659999999999997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5">
      <formula>$Z$3="+"</formula>
    </cfRule>
  </conditionalFormatting>
  <conditionalFormatting sqref="Z3">
    <cfRule type="expression" dxfId="36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54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46086</v>
      </c>
      <c r="E3" s="6">
        <v>46086</v>
      </c>
      <c r="F3" s="18">
        <f t="shared" ref="F3:F52" si="0">IF(E3&gt;0,E3-D3,"")</f>
        <v>0</v>
      </c>
      <c r="G3" s="3">
        <v>8.42</v>
      </c>
      <c r="H3" s="3">
        <v>0</v>
      </c>
      <c r="I3" s="3">
        <v>0</v>
      </c>
      <c r="J3" s="13"/>
      <c r="K3" s="3">
        <f>G53</f>
        <v>158.38</v>
      </c>
      <c r="L3" s="3">
        <f>H53</f>
        <v>7.53</v>
      </c>
      <c r="M3" s="3">
        <f>I53</f>
        <v>0</v>
      </c>
      <c r="N3" s="7">
        <f>IF(B16=K3,XIRR(Y3:Y52,X3:X52),"")</f>
        <v>0.11359809041023256</v>
      </c>
      <c r="O3" s="6">
        <f>IF(B16=K3,MAX(E:E),"")</f>
        <v>46239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46058</v>
      </c>
      <c r="Y3" s="3">
        <f>B16*-1</f>
        <v>-158.38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46118</v>
      </c>
      <c r="E4" s="6">
        <v>46118</v>
      </c>
      <c r="F4" s="18">
        <f t="shared" si="0"/>
        <v>0</v>
      </c>
      <c r="G4" s="3">
        <v>8.33</v>
      </c>
      <c r="H4" s="3">
        <v>0</v>
      </c>
      <c r="I4" s="3">
        <v>0</v>
      </c>
      <c r="J4" s="9"/>
      <c r="X4" s="6">
        <f>E3</f>
        <v>46086</v>
      </c>
      <c r="Y4" s="3">
        <f>G3+H3-I3</f>
        <v>8.42</v>
      </c>
    </row>
    <row r="5" spans="1:26" x14ac:dyDescent="0.25">
      <c r="A5" s="5"/>
      <c r="B5" s="6"/>
      <c r="D5" s="6">
        <v>46147</v>
      </c>
      <c r="E5" s="6">
        <v>46147</v>
      </c>
      <c r="F5" s="18">
        <f t="shared" si="0"/>
        <v>0</v>
      </c>
      <c r="G5" s="3">
        <v>8.51</v>
      </c>
      <c r="H5" s="3">
        <v>0</v>
      </c>
      <c r="I5" s="3">
        <v>0</v>
      </c>
      <c r="J5" s="9"/>
      <c r="X5" s="6">
        <f t="shared" ref="X5:X52" si="1">E4</f>
        <v>46118</v>
      </c>
      <c r="Y5" s="3">
        <f t="shared" ref="Y5:Y52" si="2">G4+H4-I4</f>
        <v>8.33</v>
      </c>
    </row>
    <row r="6" spans="1:26" x14ac:dyDescent="0.25">
      <c r="A6" s="5"/>
      <c r="B6" s="6"/>
      <c r="D6" s="6">
        <v>46178</v>
      </c>
      <c r="E6" s="6">
        <v>46178</v>
      </c>
      <c r="F6" s="18">
        <f t="shared" si="0"/>
        <v>0</v>
      </c>
      <c r="G6" s="3">
        <v>8.33</v>
      </c>
      <c r="H6" s="3">
        <v>0</v>
      </c>
      <c r="I6" s="3">
        <v>0</v>
      </c>
      <c r="J6" s="9"/>
      <c r="X6" s="6">
        <f t="shared" si="1"/>
        <v>46147</v>
      </c>
      <c r="Y6" s="3">
        <f t="shared" si="2"/>
        <v>8.51</v>
      </c>
    </row>
    <row r="7" spans="1:26" x14ac:dyDescent="0.25">
      <c r="A7" s="5"/>
      <c r="B7" s="6"/>
      <c r="D7" s="6">
        <v>46209</v>
      </c>
      <c r="E7" s="6">
        <v>46209</v>
      </c>
      <c r="F7" s="18">
        <f t="shared" si="0"/>
        <v>0</v>
      </c>
      <c r="G7" s="3">
        <v>8.33</v>
      </c>
      <c r="H7" s="3">
        <v>0</v>
      </c>
      <c r="I7" s="3">
        <v>0</v>
      </c>
      <c r="J7" s="13"/>
      <c r="X7" s="6">
        <f t="shared" si="1"/>
        <v>46178</v>
      </c>
      <c r="Y7" s="3">
        <f t="shared" si="2"/>
        <v>8.33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46239</v>
      </c>
      <c r="E8" s="6">
        <v>46239</v>
      </c>
      <c r="F8" s="18">
        <f t="shared" si="0"/>
        <v>0</v>
      </c>
      <c r="G8" s="2">
        <v>116.46</v>
      </c>
      <c r="H8" s="3">
        <v>7.53</v>
      </c>
      <c r="I8" s="3">
        <v>0</v>
      </c>
      <c r="J8" s="9"/>
      <c r="X8" s="6">
        <f t="shared" si="1"/>
        <v>46209</v>
      </c>
      <c r="Y8" s="3">
        <f t="shared" si="2"/>
        <v>8.33</v>
      </c>
    </row>
    <row r="9" spans="1:26" x14ac:dyDescent="0.25">
      <c r="A9" s="5" t="s">
        <v>9</v>
      </c>
      <c r="B9" s="6">
        <v>46058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46239</v>
      </c>
      <c r="Y9" s="3">
        <f t="shared" si="2"/>
        <v>123.99</v>
      </c>
    </row>
    <row r="10" spans="1:26" x14ac:dyDescent="0.25">
      <c r="A10" s="5" t="s">
        <v>33</v>
      </c>
      <c r="B10" s="6">
        <v>46070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46239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158.38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158.38</v>
      </c>
      <c r="H53" s="3">
        <f t="shared" ref="H53:I53" si="3">SUM(H3:H52)</f>
        <v>7.53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5">
      <formula>$Z$3="+"</formula>
    </cfRule>
  </conditionalFormatting>
  <conditionalFormatting sqref="Z3">
    <cfRule type="expression" dxfId="32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sheetPr>
    <tabColor rgb="FF92D050"/>
  </sheetPr>
  <dimension ref="A1:Z53"/>
  <sheetViews>
    <sheetView zoomScaleNormal="100" workbookViewId="0">
      <selection activeCell="B1" sqref="B1:B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53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46058</v>
      </c>
      <c r="E3" s="6">
        <v>46058</v>
      </c>
      <c r="F3" s="18">
        <f t="shared" ref="F3:F52" si="0">IF(E3&gt;0,E3-D3,"")</f>
        <v>0</v>
      </c>
      <c r="G3" s="3">
        <v>13.03</v>
      </c>
      <c r="H3" s="3">
        <v>0</v>
      </c>
      <c r="I3" s="3">
        <v>0</v>
      </c>
      <c r="J3" s="13"/>
      <c r="K3" s="3">
        <f>G53</f>
        <v>230.20999999999998</v>
      </c>
      <c r="L3" s="3">
        <f>H53</f>
        <v>11.33</v>
      </c>
      <c r="M3" s="3">
        <f>I53</f>
        <v>0</v>
      </c>
      <c r="N3" s="7">
        <f>IF(B16=K3,XIRR(Y3:Y52,X3:X52),"")</f>
        <v>0.11819896101951599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46027</v>
      </c>
      <c r="Y3" s="3">
        <f>B16*-1</f>
        <v>-230.21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46086</v>
      </c>
      <c r="E4" s="6">
        <v>46086</v>
      </c>
      <c r="F4" s="18">
        <f t="shared" si="0"/>
        <v>0</v>
      </c>
      <c r="G4" s="3">
        <v>13.03</v>
      </c>
      <c r="H4" s="3">
        <v>0</v>
      </c>
      <c r="I4" s="3">
        <v>0</v>
      </c>
      <c r="J4" s="9"/>
      <c r="X4" s="6">
        <f>E3</f>
        <v>46058</v>
      </c>
      <c r="Y4" s="3">
        <f>G3+H3-I3</f>
        <v>13.03</v>
      </c>
    </row>
    <row r="5" spans="1:26" x14ac:dyDescent="0.25">
      <c r="A5" s="5"/>
      <c r="B5" s="6"/>
      <c r="D5" s="6">
        <v>46118</v>
      </c>
      <c r="E5" s="6">
        <v>46118</v>
      </c>
      <c r="F5" s="18">
        <f t="shared" si="0"/>
        <v>0</v>
      </c>
      <c r="G5" s="3">
        <v>13.03</v>
      </c>
      <c r="H5" s="3">
        <v>0</v>
      </c>
      <c r="I5" s="3">
        <v>0</v>
      </c>
      <c r="J5" s="9"/>
      <c r="X5" s="6">
        <f t="shared" ref="X5:X52" si="1">E4</f>
        <v>46086</v>
      </c>
      <c r="Y5" s="3">
        <f t="shared" ref="Y5:Y52" si="2">G4+H4-I4</f>
        <v>13.03</v>
      </c>
    </row>
    <row r="6" spans="1:26" x14ac:dyDescent="0.25">
      <c r="A6" s="5"/>
      <c r="B6" s="6"/>
      <c r="D6" s="6">
        <v>46147</v>
      </c>
      <c r="E6" s="6">
        <v>46147</v>
      </c>
      <c r="F6" s="18">
        <f t="shared" si="0"/>
        <v>0</v>
      </c>
      <c r="G6" s="2">
        <v>13.03</v>
      </c>
      <c r="H6" s="3">
        <v>0</v>
      </c>
      <c r="I6" s="3">
        <v>0</v>
      </c>
      <c r="J6" s="9"/>
      <c r="X6" s="6">
        <f t="shared" si="1"/>
        <v>46118</v>
      </c>
      <c r="Y6" s="3">
        <f t="shared" si="2"/>
        <v>13.03</v>
      </c>
    </row>
    <row r="7" spans="1:26" x14ac:dyDescent="0.25">
      <c r="A7" s="5"/>
      <c r="B7" s="6"/>
      <c r="D7" s="6">
        <v>46178</v>
      </c>
      <c r="E7" s="6">
        <v>46178</v>
      </c>
      <c r="F7" s="18">
        <f t="shared" si="0"/>
        <v>0</v>
      </c>
      <c r="G7" s="3">
        <v>13.03</v>
      </c>
      <c r="H7" s="3">
        <v>0</v>
      </c>
      <c r="I7" s="3">
        <v>0</v>
      </c>
      <c r="J7" s="13"/>
      <c r="X7" s="6">
        <f t="shared" si="1"/>
        <v>46147</v>
      </c>
      <c r="Y7" s="3">
        <f t="shared" si="2"/>
        <v>13.03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1 d.</v>
      </c>
      <c r="D8" s="6">
        <v>46209</v>
      </c>
      <c r="E8" s="6">
        <v>46209</v>
      </c>
      <c r="F8" s="18">
        <f t="shared" si="0"/>
        <v>0</v>
      </c>
      <c r="G8" s="2">
        <v>165.06</v>
      </c>
      <c r="H8" s="3">
        <v>11.33</v>
      </c>
      <c r="I8" s="3">
        <v>0</v>
      </c>
      <c r="J8" s="9"/>
      <c r="X8" s="6">
        <f t="shared" si="1"/>
        <v>46178</v>
      </c>
      <c r="Y8" s="3">
        <f t="shared" si="2"/>
        <v>13.03</v>
      </c>
    </row>
    <row r="9" spans="1:26" x14ac:dyDescent="0.25">
      <c r="A9" s="5" t="s">
        <v>9</v>
      </c>
      <c r="B9" s="6">
        <v>46027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46209</v>
      </c>
      <c r="Y9" s="3">
        <f t="shared" si="2"/>
        <v>176.39000000000001</v>
      </c>
    </row>
    <row r="10" spans="1:26" x14ac:dyDescent="0.25">
      <c r="A10" s="5" t="s">
        <v>33</v>
      </c>
      <c r="B10" s="6">
        <v>46039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230.21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230.20999999999998</v>
      </c>
      <c r="H53" s="3">
        <f t="shared" ref="H53:I53" si="3">SUM(H3:H52)</f>
        <v>11.33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5">
      <formula>$Z$3="+"</formula>
    </cfRule>
  </conditionalFormatting>
  <conditionalFormatting sqref="Z3">
    <cfRule type="expression" dxfId="2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52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46027</v>
      </c>
      <c r="E3" s="6">
        <v>46027</v>
      </c>
      <c r="F3" s="18">
        <f t="shared" ref="F3:F52" si="0">IF(E3&gt;0,E3-D3,"")</f>
        <v>0</v>
      </c>
      <c r="G3" s="3">
        <v>16.079999999999998</v>
      </c>
      <c r="H3" s="3">
        <v>0</v>
      </c>
      <c r="I3" s="3">
        <v>0</v>
      </c>
      <c r="J3" s="13"/>
      <c r="K3" s="3">
        <f>G53</f>
        <v>312.73</v>
      </c>
      <c r="L3" s="3">
        <f>H53</f>
        <v>16.22</v>
      </c>
      <c r="M3" s="3">
        <f>I53</f>
        <v>0</v>
      </c>
      <c r="N3" s="7">
        <f>IF(B16=K3,XIRR(Y3:Y52,X3:X52),"")</f>
        <v>0.12268047928810119</v>
      </c>
      <c r="O3" s="6">
        <f>IF(B16=K3,MAX(E:E),"")</f>
        <v>46178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45996</v>
      </c>
      <c r="Y3" s="3">
        <f>B16*-1</f>
        <v>-312.73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46058</v>
      </c>
      <c r="E4" s="6">
        <v>46058</v>
      </c>
      <c r="F4" s="18">
        <f t="shared" si="0"/>
        <v>0</v>
      </c>
      <c r="G4" s="3">
        <v>16.079999999999998</v>
      </c>
      <c r="H4" s="3">
        <v>0</v>
      </c>
      <c r="I4" s="3">
        <v>0</v>
      </c>
      <c r="J4" s="9"/>
      <c r="X4" s="6">
        <f>E3</f>
        <v>46027</v>
      </c>
      <c r="Y4" s="3">
        <f>G3+H3-I3</f>
        <v>16.079999999999998</v>
      </c>
    </row>
    <row r="5" spans="1:26" x14ac:dyDescent="0.25">
      <c r="A5" s="5"/>
      <c r="B5" s="6"/>
      <c r="D5" s="6">
        <v>46086</v>
      </c>
      <c r="E5" s="6">
        <v>46086</v>
      </c>
      <c r="F5" s="18">
        <v>0</v>
      </c>
      <c r="G5" s="3">
        <v>16.079999999999998</v>
      </c>
      <c r="H5" s="3">
        <v>0</v>
      </c>
      <c r="I5" s="3">
        <v>0</v>
      </c>
      <c r="J5" s="9"/>
      <c r="X5" s="6">
        <f t="shared" ref="X5:X52" si="1">E4</f>
        <v>46058</v>
      </c>
      <c r="Y5" s="3">
        <f t="shared" ref="Y5:Y52" si="2">G4+H4-I4</f>
        <v>16.079999999999998</v>
      </c>
    </row>
    <row r="6" spans="1:26" x14ac:dyDescent="0.25">
      <c r="A6" s="5"/>
      <c r="B6" s="6"/>
      <c r="D6" s="6">
        <v>46118</v>
      </c>
      <c r="E6" s="6">
        <v>46118</v>
      </c>
      <c r="F6" s="18">
        <f t="shared" si="0"/>
        <v>0</v>
      </c>
      <c r="G6" s="3">
        <v>16.079999999999998</v>
      </c>
      <c r="H6" s="3">
        <v>0</v>
      </c>
      <c r="I6" s="3">
        <v>0</v>
      </c>
      <c r="J6" s="9"/>
      <c r="X6" s="6">
        <f t="shared" si="1"/>
        <v>46086</v>
      </c>
      <c r="Y6" s="3">
        <f t="shared" si="2"/>
        <v>16.079999999999998</v>
      </c>
    </row>
    <row r="7" spans="1:26" x14ac:dyDescent="0.25">
      <c r="A7" s="5"/>
      <c r="B7" s="6"/>
      <c r="D7" s="6">
        <v>46147</v>
      </c>
      <c r="E7" s="6">
        <v>46147</v>
      </c>
      <c r="F7" s="18">
        <f t="shared" si="0"/>
        <v>0</v>
      </c>
      <c r="G7" s="3">
        <v>16.079999999999998</v>
      </c>
      <c r="H7" s="3">
        <v>0</v>
      </c>
      <c r="I7" s="3">
        <v>0</v>
      </c>
      <c r="J7" s="13"/>
      <c r="X7" s="6">
        <f t="shared" si="1"/>
        <v>46118</v>
      </c>
      <c r="Y7" s="3">
        <f t="shared" si="2"/>
        <v>16.079999999999998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46178</v>
      </c>
      <c r="E8" s="6">
        <v>46178</v>
      </c>
      <c r="F8" s="18">
        <f t="shared" si="0"/>
        <v>0</v>
      </c>
      <c r="G8" s="2">
        <v>232.33</v>
      </c>
      <c r="H8" s="3">
        <v>16.22</v>
      </c>
      <c r="I8" s="3">
        <v>0</v>
      </c>
      <c r="J8" s="9"/>
      <c r="X8" s="6">
        <f t="shared" si="1"/>
        <v>46147</v>
      </c>
      <c r="Y8" s="3">
        <f t="shared" si="2"/>
        <v>16.079999999999998</v>
      </c>
    </row>
    <row r="9" spans="1:26" x14ac:dyDescent="0.25">
      <c r="A9" s="5" t="s">
        <v>9</v>
      </c>
      <c r="B9" s="6">
        <v>45996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46178</v>
      </c>
      <c r="Y9" s="3">
        <f t="shared" si="2"/>
        <v>248.55</v>
      </c>
    </row>
    <row r="10" spans="1:26" x14ac:dyDescent="0.25">
      <c r="A10" s="5" t="s">
        <v>33</v>
      </c>
      <c r="B10" s="6">
        <v>46008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46178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312.73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312.73</v>
      </c>
      <c r="H53" s="3">
        <f t="shared" ref="H53:I53" si="3">SUM(H3:H52)</f>
        <v>16.22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7">
      <formula>$Z$3="+"</formula>
    </cfRule>
  </conditionalFormatting>
  <conditionalFormatting sqref="Z3">
    <cfRule type="expression" dxfId="2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51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45996</v>
      </c>
      <c r="E3" s="6">
        <v>45996</v>
      </c>
      <c r="F3" s="18">
        <f t="shared" ref="F3:F52" si="0">IF(E3&gt;0,E3-D3,"")</f>
        <v>0</v>
      </c>
      <c r="G3" s="3">
        <v>7.11</v>
      </c>
      <c r="H3" s="3">
        <v>0</v>
      </c>
      <c r="I3" s="3">
        <v>0</v>
      </c>
      <c r="J3" s="13"/>
      <c r="K3" s="3">
        <f>G53</f>
        <v>145.92000000000002</v>
      </c>
      <c r="L3" s="3">
        <f>H53</f>
        <v>7.77</v>
      </c>
      <c r="M3" s="3">
        <f>I53</f>
        <v>0</v>
      </c>
      <c r="N3" s="7">
        <f>IF(B16=K3,XIRR(Y3:Y52,X3:X52),"")</f>
        <v>0.12573973536491395</v>
      </c>
      <c r="O3" s="6">
        <f>IF(B16=K3,MAX(E:E),"")</f>
        <v>46147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45966</v>
      </c>
      <c r="Y3" s="3">
        <f>B16*-1</f>
        <v>-145.91999999999999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46027</v>
      </c>
      <c r="E4" s="6">
        <v>46027</v>
      </c>
      <c r="F4" s="18">
        <f t="shared" si="0"/>
        <v>0</v>
      </c>
      <c r="G4" s="3">
        <v>7.11</v>
      </c>
      <c r="H4" s="3">
        <v>0</v>
      </c>
      <c r="I4" s="3">
        <v>0</v>
      </c>
      <c r="J4" s="9"/>
      <c r="X4" s="6">
        <f>E3</f>
        <v>45996</v>
      </c>
      <c r="Y4" s="3">
        <f>G3+H3-I3</f>
        <v>7.11</v>
      </c>
    </row>
    <row r="5" spans="1:26" x14ac:dyDescent="0.25">
      <c r="A5" s="5"/>
      <c r="B5" s="6"/>
      <c r="D5" s="6">
        <v>46058</v>
      </c>
      <c r="E5" s="6">
        <v>46058</v>
      </c>
      <c r="F5" s="18">
        <f t="shared" si="0"/>
        <v>0</v>
      </c>
      <c r="G5" s="3">
        <v>7.11</v>
      </c>
      <c r="H5" s="3">
        <v>0</v>
      </c>
      <c r="I5" s="3">
        <v>0</v>
      </c>
      <c r="J5" s="9"/>
      <c r="X5" s="6">
        <f t="shared" ref="X5:X52" si="1">E4</f>
        <v>46027</v>
      </c>
      <c r="Y5" s="3">
        <f t="shared" ref="Y5:Y52" si="2">G4+H4-I4</f>
        <v>7.11</v>
      </c>
    </row>
    <row r="6" spans="1:26" x14ac:dyDescent="0.25">
      <c r="A6" s="5"/>
      <c r="B6" s="6"/>
      <c r="D6" s="6">
        <v>46086</v>
      </c>
      <c r="E6" s="6">
        <v>46086</v>
      </c>
      <c r="F6" s="18">
        <f t="shared" si="0"/>
        <v>0</v>
      </c>
      <c r="G6" s="3">
        <v>7.11</v>
      </c>
      <c r="H6" s="3">
        <v>0</v>
      </c>
      <c r="I6" s="3">
        <v>0</v>
      </c>
      <c r="J6" s="9"/>
      <c r="X6" s="6">
        <f t="shared" si="1"/>
        <v>46058</v>
      </c>
      <c r="Y6" s="3">
        <f t="shared" si="2"/>
        <v>7.11</v>
      </c>
    </row>
    <row r="7" spans="1:26" x14ac:dyDescent="0.25">
      <c r="A7" s="5"/>
      <c r="B7" s="6"/>
      <c r="D7" s="6">
        <v>46118</v>
      </c>
      <c r="E7" s="6">
        <v>46118</v>
      </c>
      <c r="F7" s="18">
        <f t="shared" si="0"/>
        <v>0</v>
      </c>
      <c r="G7" s="3">
        <v>7.11</v>
      </c>
      <c r="H7" s="3">
        <v>0</v>
      </c>
      <c r="I7" s="3">
        <v>0</v>
      </c>
      <c r="J7" s="13"/>
      <c r="X7" s="6">
        <f t="shared" si="1"/>
        <v>46086</v>
      </c>
      <c r="Y7" s="3">
        <f t="shared" si="2"/>
        <v>7.11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46147</v>
      </c>
      <c r="E8" s="6">
        <v>46147</v>
      </c>
      <c r="F8" s="18">
        <f t="shared" si="0"/>
        <v>0</v>
      </c>
      <c r="G8" s="2">
        <v>110.37</v>
      </c>
      <c r="H8" s="3">
        <v>7.77</v>
      </c>
      <c r="I8" s="3">
        <v>0</v>
      </c>
      <c r="J8" s="9"/>
      <c r="X8" s="6">
        <f t="shared" si="1"/>
        <v>46118</v>
      </c>
      <c r="Y8" s="3">
        <f t="shared" si="2"/>
        <v>7.11</v>
      </c>
    </row>
    <row r="9" spans="1:26" x14ac:dyDescent="0.25">
      <c r="A9" s="5" t="s">
        <v>9</v>
      </c>
      <c r="B9" s="6">
        <v>45966</v>
      </c>
      <c r="D9" s="10"/>
      <c r="E9" s="10"/>
      <c r="F9" s="18"/>
      <c r="G9" s="3"/>
      <c r="H9" s="3"/>
      <c r="I9" s="3"/>
      <c r="J9" s="13"/>
      <c r="X9" s="6">
        <f t="shared" si="1"/>
        <v>46147</v>
      </c>
      <c r="Y9" s="3">
        <f t="shared" si="2"/>
        <v>118.14</v>
      </c>
    </row>
    <row r="10" spans="1:26" x14ac:dyDescent="0.25">
      <c r="A10" s="5" t="s">
        <v>33</v>
      </c>
      <c r="B10" s="6">
        <v>45978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46147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145.91999999999999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145.92000000000002</v>
      </c>
      <c r="H53" s="3">
        <f t="shared" ref="H53:I53" si="3">SUM(H3:H52)</f>
        <v>7.77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5">
      <formula>$Z$3="+"</formula>
    </cfRule>
  </conditionalFormatting>
  <conditionalFormatting sqref="Z3">
    <cfRule type="expression" dxfId="2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50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45966</v>
      </c>
      <c r="E3" s="6">
        <v>45966</v>
      </c>
      <c r="F3" s="18">
        <f t="shared" ref="F3:F52" si="0">IF(E3&gt;0,E3-D3,"")</f>
        <v>0</v>
      </c>
      <c r="G3" s="3">
        <v>6.06</v>
      </c>
      <c r="H3" s="3">
        <v>0</v>
      </c>
      <c r="I3" s="3">
        <v>0</v>
      </c>
      <c r="J3" s="13"/>
      <c r="K3" s="3">
        <f>G53</f>
        <v>118.75</v>
      </c>
      <c r="L3" s="3">
        <f>H53</f>
        <v>6.4</v>
      </c>
      <c r="M3" s="3">
        <f>I53</f>
        <v>0</v>
      </c>
      <c r="N3" s="7">
        <f>IF(B16=K3,XIRR(Y3:Y52,X3:X52),"")</f>
        <v>0.12759993672370906</v>
      </c>
      <c r="O3" s="6">
        <f>IF(B16=K3,MAX(E:E),"")</f>
        <v>46118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45936</v>
      </c>
      <c r="Y3" s="3">
        <f>B16*-1</f>
        <v>-118.75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45996</v>
      </c>
      <c r="E4" s="6">
        <v>45996</v>
      </c>
      <c r="F4" s="18">
        <f t="shared" si="0"/>
        <v>0</v>
      </c>
      <c r="G4" s="3">
        <v>6.06</v>
      </c>
      <c r="H4" s="3">
        <v>0</v>
      </c>
      <c r="I4" s="3">
        <v>0</v>
      </c>
      <c r="J4" s="9"/>
      <c r="X4" s="6">
        <f>E3</f>
        <v>45966</v>
      </c>
      <c r="Y4" s="3">
        <f>G3+H3-I3</f>
        <v>6.06</v>
      </c>
    </row>
    <row r="5" spans="1:26" x14ac:dyDescent="0.25">
      <c r="A5" s="5"/>
      <c r="B5" s="6"/>
      <c r="D5" s="6">
        <v>46027</v>
      </c>
      <c r="E5" s="6">
        <v>46027</v>
      </c>
      <c r="F5" s="18">
        <f t="shared" si="0"/>
        <v>0</v>
      </c>
      <c r="G5" s="3">
        <v>6.06</v>
      </c>
      <c r="H5" s="3">
        <v>0</v>
      </c>
      <c r="I5" s="3">
        <v>0</v>
      </c>
      <c r="J5" s="9"/>
      <c r="X5" s="6">
        <f t="shared" ref="X5:X52" si="1">E4</f>
        <v>45996</v>
      </c>
      <c r="Y5" s="3">
        <f t="shared" ref="Y5:Y52" si="2">G4+H4-I4</f>
        <v>6.06</v>
      </c>
    </row>
    <row r="6" spans="1:26" x14ac:dyDescent="0.25">
      <c r="A6" s="5"/>
      <c r="B6" s="6"/>
      <c r="D6" s="6">
        <v>46058</v>
      </c>
      <c r="E6" s="6">
        <v>46058</v>
      </c>
      <c r="F6" s="18">
        <f t="shared" si="0"/>
        <v>0</v>
      </c>
      <c r="G6" s="2">
        <v>6.06</v>
      </c>
      <c r="H6" s="3">
        <v>0</v>
      </c>
      <c r="I6" s="3">
        <v>0</v>
      </c>
      <c r="J6" s="9"/>
      <c r="X6" s="6">
        <f t="shared" si="1"/>
        <v>46027</v>
      </c>
      <c r="Y6" s="3">
        <f t="shared" si="2"/>
        <v>6.06</v>
      </c>
    </row>
    <row r="7" spans="1:26" x14ac:dyDescent="0.25">
      <c r="A7" s="5"/>
      <c r="B7" s="6"/>
      <c r="D7" s="6">
        <v>46086</v>
      </c>
      <c r="E7" s="6">
        <v>46086</v>
      </c>
      <c r="F7" s="18">
        <f t="shared" si="0"/>
        <v>0</v>
      </c>
      <c r="G7" s="3">
        <v>6.06</v>
      </c>
      <c r="H7" s="3">
        <v>0</v>
      </c>
      <c r="I7" s="3">
        <v>0</v>
      </c>
      <c r="J7" s="13"/>
      <c r="X7" s="6">
        <f t="shared" si="1"/>
        <v>46058</v>
      </c>
      <c r="Y7" s="3">
        <f t="shared" si="2"/>
        <v>6.06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46118</v>
      </c>
      <c r="E8" s="6">
        <v>46118</v>
      </c>
      <c r="F8" s="18">
        <f t="shared" si="0"/>
        <v>0</v>
      </c>
      <c r="G8" s="2">
        <v>88.45</v>
      </c>
      <c r="H8" s="3">
        <v>6.4</v>
      </c>
      <c r="I8" s="3">
        <v>0</v>
      </c>
      <c r="J8" s="9"/>
      <c r="X8" s="6">
        <f t="shared" si="1"/>
        <v>46086</v>
      </c>
      <c r="Y8" s="3">
        <f t="shared" si="2"/>
        <v>6.06</v>
      </c>
    </row>
    <row r="9" spans="1:26" x14ac:dyDescent="0.25">
      <c r="A9" s="5" t="s">
        <v>9</v>
      </c>
      <c r="B9" s="6">
        <v>45936</v>
      </c>
      <c r="D9" s="10"/>
      <c r="E9" s="10"/>
      <c r="F9" s="18"/>
      <c r="G9" s="3"/>
      <c r="H9" s="3"/>
      <c r="I9" s="3"/>
      <c r="J9" s="13"/>
      <c r="X9" s="6">
        <f t="shared" si="1"/>
        <v>46118</v>
      </c>
      <c r="Y9" s="3">
        <f t="shared" si="2"/>
        <v>94.850000000000009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46118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118.75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118.75</v>
      </c>
      <c r="H53" s="3">
        <f t="shared" ref="H53:I53" si="3">SUM(H3:H52)</f>
        <v>6.4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49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45936</v>
      </c>
      <c r="E3" s="6">
        <v>45936</v>
      </c>
      <c r="F3" s="18">
        <f t="shared" ref="F3:F52" si="0">IF(E3&gt;0,E3-D3,"")</f>
        <v>0</v>
      </c>
      <c r="G3" s="3">
        <v>5.94</v>
      </c>
      <c r="H3" s="3">
        <v>0</v>
      </c>
      <c r="I3" s="3">
        <v>0</v>
      </c>
      <c r="J3" s="13"/>
      <c r="K3" s="3">
        <f>G53</f>
        <v>111.81</v>
      </c>
      <c r="L3" s="3">
        <f>H53</f>
        <v>6.06</v>
      </c>
      <c r="M3" s="3">
        <f>I53</f>
        <v>0</v>
      </c>
      <c r="N3" s="7">
        <f>IF(B16=K3,XIRR(Y3:Y52,X3:X52),"")</f>
        <v>0.12955390810966491</v>
      </c>
      <c r="O3" s="6">
        <f>IF(B16=K3,MAX(E:E),"")</f>
        <v>46086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45905</v>
      </c>
      <c r="Y3" s="3">
        <f>B16*-1</f>
        <v>-111.81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45966</v>
      </c>
      <c r="E4" s="6">
        <v>45966</v>
      </c>
      <c r="F4" s="18">
        <f t="shared" si="0"/>
        <v>0</v>
      </c>
      <c r="G4" s="3">
        <v>5.94</v>
      </c>
      <c r="H4" s="3">
        <v>0</v>
      </c>
      <c r="I4" s="3">
        <v>0</v>
      </c>
      <c r="J4" s="9"/>
      <c r="X4" s="6">
        <f>E3</f>
        <v>45936</v>
      </c>
      <c r="Y4" s="3">
        <f>G3+H3-I3</f>
        <v>5.94</v>
      </c>
    </row>
    <row r="5" spans="1:26" x14ac:dyDescent="0.25">
      <c r="A5" s="5"/>
      <c r="B5" s="6"/>
      <c r="D5" s="6">
        <v>45996</v>
      </c>
      <c r="E5" s="6">
        <v>45996</v>
      </c>
      <c r="F5" s="18">
        <f t="shared" si="0"/>
        <v>0</v>
      </c>
      <c r="G5" s="3">
        <v>5.94</v>
      </c>
      <c r="H5" s="3">
        <v>0</v>
      </c>
      <c r="I5" s="3">
        <v>0</v>
      </c>
      <c r="J5" s="9"/>
      <c r="X5" s="6">
        <f t="shared" ref="X5:X52" si="1">E4</f>
        <v>45966</v>
      </c>
      <c r="Y5" s="3">
        <f t="shared" ref="Y5:Y52" si="2">G4+H4-I4</f>
        <v>5.94</v>
      </c>
    </row>
    <row r="6" spans="1:26" x14ac:dyDescent="0.25">
      <c r="A6" s="5"/>
      <c r="B6" s="6"/>
      <c r="D6" s="6">
        <v>46027</v>
      </c>
      <c r="E6" s="6">
        <v>46027</v>
      </c>
      <c r="F6" s="18">
        <f t="shared" si="0"/>
        <v>0</v>
      </c>
      <c r="G6" s="3">
        <v>5.94</v>
      </c>
      <c r="H6" s="3">
        <v>0</v>
      </c>
      <c r="I6" s="3">
        <v>0</v>
      </c>
      <c r="J6" s="9"/>
      <c r="X6" s="6">
        <f t="shared" si="1"/>
        <v>45996</v>
      </c>
      <c r="Y6" s="3">
        <f t="shared" si="2"/>
        <v>5.94</v>
      </c>
    </row>
    <row r="7" spans="1:26" x14ac:dyDescent="0.25">
      <c r="A7" s="5"/>
      <c r="B7" s="6"/>
      <c r="D7" s="6">
        <v>46058</v>
      </c>
      <c r="E7" s="6">
        <v>46058</v>
      </c>
      <c r="F7" s="18">
        <f t="shared" si="0"/>
        <v>0</v>
      </c>
      <c r="G7" s="2">
        <v>5.94</v>
      </c>
      <c r="H7" s="3">
        <v>0</v>
      </c>
      <c r="I7" s="3">
        <v>0</v>
      </c>
      <c r="J7" s="13"/>
      <c r="X7" s="6">
        <f t="shared" si="1"/>
        <v>46027</v>
      </c>
      <c r="Y7" s="3">
        <f t="shared" si="2"/>
        <v>5.94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46086</v>
      </c>
      <c r="E8" s="6">
        <v>46086</v>
      </c>
      <c r="F8" s="18">
        <f t="shared" si="0"/>
        <v>0</v>
      </c>
      <c r="G8" s="3">
        <v>82.11</v>
      </c>
      <c r="H8" s="3">
        <v>6.06</v>
      </c>
      <c r="I8" s="3">
        <v>0</v>
      </c>
      <c r="J8" s="9"/>
      <c r="X8" s="6">
        <f t="shared" si="1"/>
        <v>46058</v>
      </c>
      <c r="Y8" s="3">
        <f t="shared" si="2"/>
        <v>5.94</v>
      </c>
    </row>
    <row r="9" spans="1:26" x14ac:dyDescent="0.25">
      <c r="A9" s="5" t="s">
        <v>9</v>
      </c>
      <c r="B9" s="6">
        <v>45905</v>
      </c>
      <c r="D9" s="10"/>
      <c r="E9" s="10"/>
      <c r="F9" s="18"/>
      <c r="G9" s="2"/>
      <c r="H9" s="3"/>
      <c r="I9" s="3"/>
      <c r="J9" s="13"/>
      <c r="X9" s="6">
        <f t="shared" si="1"/>
        <v>46086</v>
      </c>
      <c r="Y9" s="3">
        <f t="shared" si="2"/>
        <v>88.17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46086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111.81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111.81</v>
      </c>
      <c r="H53" s="3">
        <f t="shared" ref="H53:I53" si="3">SUM(H3:H52)</f>
        <v>6.06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48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45905</v>
      </c>
      <c r="E3" s="6">
        <v>45905</v>
      </c>
      <c r="F3" s="18">
        <f t="shared" ref="F3:F52" si="0">IF(E3&gt;0,E3-D3,"")</f>
        <v>0</v>
      </c>
      <c r="G3" s="3">
        <v>0.62</v>
      </c>
      <c r="H3" s="3">
        <v>0</v>
      </c>
      <c r="I3" s="3">
        <v>0</v>
      </c>
      <c r="J3" s="13"/>
      <c r="K3" s="3">
        <f>G53</f>
        <v>11.19</v>
      </c>
      <c r="L3" s="3">
        <f>H53</f>
        <v>0.56000000000000005</v>
      </c>
      <c r="M3" s="3">
        <f>I53</f>
        <v>0</v>
      </c>
      <c r="N3" s="7">
        <f>IF(B16=K3,XIRR(Y3:Y52,X3:X52),"")</f>
        <v>0.11831157803535461</v>
      </c>
      <c r="O3" s="6">
        <f>IF(B16=K3,MAX(E:E),"")</f>
        <v>46058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45874</v>
      </c>
      <c r="Y3" s="3">
        <f>B16*-1</f>
        <v>-11.19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45936</v>
      </c>
      <c r="E4" s="6">
        <v>45936</v>
      </c>
      <c r="F4" s="18">
        <f t="shared" si="0"/>
        <v>0</v>
      </c>
      <c r="G4" s="3">
        <v>0.62</v>
      </c>
      <c r="H4" s="3">
        <v>0</v>
      </c>
      <c r="I4" s="3">
        <v>0</v>
      </c>
      <c r="J4" s="9"/>
      <c r="X4" s="6">
        <f>E3</f>
        <v>45905</v>
      </c>
      <c r="Y4" s="3">
        <f>G3+H3-I3</f>
        <v>0.62</v>
      </c>
    </row>
    <row r="5" spans="1:26" x14ac:dyDescent="0.25">
      <c r="A5" s="5"/>
      <c r="B5" s="6"/>
      <c r="D5" s="6">
        <v>45966</v>
      </c>
      <c r="E5" s="6">
        <v>45966</v>
      </c>
      <c r="F5" s="18">
        <f t="shared" si="0"/>
        <v>0</v>
      </c>
      <c r="G5" s="2">
        <v>0.62</v>
      </c>
      <c r="H5" s="3">
        <v>0</v>
      </c>
      <c r="I5" s="3">
        <v>0</v>
      </c>
      <c r="J5" s="9"/>
      <c r="X5" s="6">
        <f t="shared" ref="X5:X52" si="1">E4</f>
        <v>45936</v>
      </c>
      <c r="Y5" s="3">
        <f t="shared" ref="Y5:Y52" si="2">G4+H4-I4</f>
        <v>0.62</v>
      </c>
    </row>
    <row r="6" spans="1:26" x14ac:dyDescent="0.25">
      <c r="A6" s="5"/>
      <c r="B6" s="6"/>
      <c r="D6" s="6">
        <v>45996</v>
      </c>
      <c r="E6" s="6">
        <v>45996</v>
      </c>
      <c r="F6" s="18">
        <f t="shared" si="0"/>
        <v>0</v>
      </c>
      <c r="G6" s="3">
        <v>0.62</v>
      </c>
      <c r="H6" s="3">
        <v>0</v>
      </c>
      <c r="I6" s="3">
        <v>0</v>
      </c>
      <c r="J6" s="9"/>
      <c r="X6" s="6">
        <f t="shared" si="1"/>
        <v>45966</v>
      </c>
      <c r="Y6" s="3">
        <f t="shared" si="2"/>
        <v>0.62</v>
      </c>
    </row>
    <row r="7" spans="1:26" x14ac:dyDescent="0.25">
      <c r="A7" s="5"/>
      <c r="B7" s="6"/>
      <c r="D7" s="6">
        <v>46027</v>
      </c>
      <c r="E7" s="6">
        <v>46027</v>
      </c>
      <c r="F7" s="18">
        <f t="shared" si="0"/>
        <v>0</v>
      </c>
      <c r="G7" s="2">
        <v>0.62</v>
      </c>
      <c r="H7" s="3">
        <v>0</v>
      </c>
      <c r="I7" s="3">
        <v>0</v>
      </c>
      <c r="J7" s="13"/>
      <c r="X7" s="6">
        <f t="shared" si="1"/>
        <v>45996</v>
      </c>
      <c r="Y7" s="3">
        <f t="shared" si="2"/>
        <v>0.62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46058</v>
      </c>
      <c r="E8" s="6">
        <v>46058</v>
      </c>
      <c r="F8" s="18">
        <f t="shared" si="0"/>
        <v>0</v>
      </c>
      <c r="G8" s="2">
        <v>8.09</v>
      </c>
      <c r="H8" s="2">
        <v>0.56000000000000005</v>
      </c>
      <c r="I8" s="3">
        <v>0</v>
      </c>
      <c r="J8" s="9"/>
      <c r="X8" s="6">
        <f t="shared" si="1"/>
        <v>46027</v>
      </c>
      <c r="Y8" s="3">
        <f t="shared" si="2"/>
        <v>0.62</v>
      </c>
    </row>
    <row r="9" spans="1:26" x14ac:dyDescent="0.25">
      <c r="A9" s="5" t="s">
        <v>9</v>
      </c>
      <c r="B9" s="6">
        <v>45874</v>
      </c>
      <c r="D9" s="10"/>
      <c r="E9" s="10"/>
      <c r="F9" s="18"/>
      <c r="G9" s="3"/>
      <c r="H9" s="3"/>
      <c r="I9" s="2"/>
      <c r="J9" s="13"/>
      <c r="X9" s="6">
        <f t="shared" si="1"/>
        <v>46058</v>
      </c>
      <c r="Y9" s="3">
        <f t="shared" si="2"/>
        <v>8.65</v>
      </c>
    </row>
    <row r="10" spans="1:26" x14ac:dyDescent="0.25">
      <c r="A10" s="5" t="s">
        <v>33</v>
      </c>
      <c r="B10" s="6">
        <v>45886</v>
      </c>
      <c r="D10" s="10"/>
      <c r="E10" s="10"/>
      <c r="F10" s="18"/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46058</v>
      </c>
      <c r="D11" s="10"/>
      <c r="E11" s="10"/>
      <c r="F11" s="18"/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11.19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11.19</v>
      </c>
      <c r="H53" s="3">
        <f t="shared" ref="H53:I53" si="3">SUM(H3:H52)</f>
        <v>0.56000000000000005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8">
      <formula>$Z$3="+"</formula>
    </cfRule>
  </conditionalFormatting>
  <conditionalFormatting sqref="Z3">
    <cfRule type="expression" dxfId="8" priority="9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47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45874</v>
      </c>
      <c r="E3" s="6">
        <v>45874</v>
      </c>
      <c r="F3" s="18">
        <f t="shared" ref="F3:F52" si="0">IF(E3&gt;0,E3-D3,"")</f>
        <v>0</v>
      </c>
      <c r="G3" s="3">
        <v>5.41</v>
      </c>
      <c r="H3" s="3">
        <v>0</v>
      </c>
      <c r="I3" s="3">
        <v>0</v>
      </c>
      <c r="J3" s="13"/>
      <c r="K3" s="3">
        <f>G53</f>
        <v>110.78</v>
      </c>
      <c r="L3" s="3">
        <f>H53</f>
        <v>5.64</v>
      </c>
      <c r="M3" s="3">
        <f>I53</f>
        <v>0</v>
      </c>
      <c r="N3" s="7">
        <f>IF(B16=K3,XIRR(Y3:Y52,X3:X52),"")</f>
        <v>0.11961957812309265</v>
      </c>
      <c r="O3" s="6">
        <f>IF(B16=K3,MAX(E:E),"")</f>
        <v>46027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45845</v>
      </c>
      <c r="Y3" s="3">
        <f>B16*-1</f>
        <v>-110.78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45905</v>
      </c>
      <c r="E4" s="6">
        <v>45905</v>
      </c>
      <c r="F4" s="18">
        <f t="shared" si="0"/>
        <v>0</v>
      </c>
      <c r="G4" s="3">
        <v>5.41</v>
      </c>
      <c r="H4" s="3">
        <v>0</v>
      </c>
      <c r="I4" s="3">
        <v>0</v>
      </c>
      <c r="J4" s="9"/>
      <c r="X4" s="6">
        <f>E3</f>
        <v>45874</v>
      </c>
      <c r="Y4" s="3">
        <f>G3+H3-I3</f>
        <v>5.41</v>
      </c>
    </row>
    <row r="5" spans="1:26" x14ac:dyDescent="0.25">
      <c r="A5" s="5"/>
      <c r="B5" s="6"/>
      <c r="D5" s="6">
        <v>45936</v>
      </c>
      <c r="E5" s="6">
        <v>45936</v>
      </c>
      <c r="F5" s="18">
        <f t="shared" si="0"/>
        <v>0</v>
      </c>
      <c r="G5" s="2">
        <v>5.41</v>
      </c>
      <c r="H5" s="3">
        <v>0</v>
      </c>
      <c r="I5" s="3">
        <v>0</v>
      </c>
      <c r="J5" s="9"/>
      <c r="X5" s="6">
        <f t="shared" ref="X5:X52" si="1">E4</f>
        <v>45905</v>
      </c>
      <c r="Y5" s="3">
        <f t="shared" ref="Y5:Y52" si="2">G4+H4-I4</f>
        <v>5.41</v>
      </c>
    </row>
    <row r="6" spans="1:26" x14ac:dyDescent="0.25">
      <c r="A6" s="5"/>
      <c r="B6" s="6"/>
      <c r="D6" s="6">
        <v>45966</v>
      </c>
      <c r="E6" s="6">
        <v>45966</v>
      </c>
      <c r="F6" s="18">
        <f t="shared" si="0"/>
        <v>0</v>
      </c>
      <c r="G6" s="3">
        <v>5.41</v>
      </c>
      <c r="H6" s="3">
        <v>0</v>
      </c>
      <c r="I6" s="3">
        <v>0</v>
      </c>
      <c r="J6" s="9"/>
      <c r="X6" s="6">
        <f t="shared" si="1"/>
        <v>45936</v>
      </c>
      <c r="Y6" s="3">
        <f t="shared" si="2"/>
        <v>5.41</v>
      </c>
    </row>
    <row r="7" spans="1:26" x14ac:dyDescent="0.25">
      <c r="A7" s="5"/>
      <c r="B7" s="6"/>
      <c r="D7" s="6">
        <v>45996</v>
      </c>
      <c r="E7" s="6">
        <v>45996</v>
      </c>
      <c r="F7" s="18">
        <f t="shared" si="0"/>
        <v>0</v>
      </c>
      <c r="G7" s="3">
        <v>5.41</v>
      </c>
      <c r="H7" s="3">
        <v>0</v>
      </c>
      <c r="I7" s="3">
        <v>0</v>
      </c>
      <c r="J7" s="13"/>
      <c r="X7" s="6">
        <f t="shared" si="1"/>
        <v>45966</v>
      </c>
      <c r="Y7" s="3">
        <f t="shared" si="2"/>
        <v>5.41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46027</v>
      </c>
      <c r="E8" s="6">
        <v>46027</v>
      </c>
      <c r="F8" s="18">
        <f t="shared" si="0"/>
        <v>0</v>
      </c>
      <c r="G8" s="2">
        <v>83.73</v>
      </c>
      <c r="H8" s="3">
        <v>5.64</v>
      </c>
      <c r="I8" s="3">
        <v>0</v>
      </c>
      <c r="J8" s="9"/>
      <c r="X8" s="6">
        <f t="shared" si="1"/>
        <v>45996</v>
      </c>
      <c r="Y8" s="3">
        <f t="shared" si="2"/>
        <v>5.41</v>
      </c>
    </row>
    <row r="9" spans="1:26" x14ac:dyDescent="0.25">
      <c r="A9" s="5" t="s">
        <v>9</v>
      </c>
      <c r="B9" s="6">
        <v>45845</v>
      </c>
      <c r="D9" s="10"/>
      <c r="E9" s="10"/>
      <c r="F9" s="18"/>
      <c r="G9" s="3"/>
      <c r="H9" s="2"/>
      <c r="I9" s="3"/>
      <c r="J9" s="13"/>
      <c r="X9" s="6">
        <f t="shared" si="1"/>
        <v>46027</v>
      </c>
      <c r="Y9" s="3">
        <f t="shared" si="2"/>
        <v>89.37</v>
      </c>
    </row>
    <row r="10" spans="1:26" x14ac:dyDescent="0.25">
      <c r="A10" s="5" t="s">
        <v>33</v>
      </c>
      <c r="B10" s="6">
        <v>45855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46027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110.78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110.78</v>
      </c>
      <c r="H53" s="3">
        <f t="shared" ref="H53:I53" si="3">SUM(H3:H52)</f>
        <v>5.64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42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45845</v>
      </c>
      <c r="E3" s="6">
        <v>45845</v>
      </c>
      <c r="F3" s="18">
        <f t="shared" ref="F3:F52" si="0">IF(E3&gt;0,E3-D3,"")</f>
        <v>0</v>
      </c>
      <c r="G3" s="3">
        <v>5.78</v>
      </c>
      <c r="H3" s="3">
        <v>0</v>
      </c>
      <c r="I3" s="3">
        <v>0</v>
      </c>
      <c r="J3" s="13"/>
      <c r="K3" s="3">
        <f>G53</f>
        <v>110</v>
      </c>
      <c r="L3" s="3">
        <f>H53</f>
        <v>5.47</v>
      </c>
      <c r="M3" s="3">
        <f>I53</f>
        <v>0</v>
      </c>
      <c r="N3" s="7">
        <f>IF(B16=K3,XIRR(Y3:Y52,X3:X52),"")</f>
        <v>0.11709632277488707</v>
      </c>
      <c r="O3" s="6">
        <f>IF(B16=K3,MAX(E:E),"")</f>
        <v>45996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45813</v>
      </c>
      <c r="Y3" s="3">
        <f>B16*-1</f>
        <v>-110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45874</v>
      </c>
      <c r="E4" s="6">
        <v>45874</v>
      </c>
      <c r="F4" s="18">
        <f t="shared" si="0"/>
        <v>0</v>
      </c>
      <c r="G4" s="3">
        <v>5.78</v>
      </c>
      <c r="H4" s="3">
        <v>0</v>
      </c>
      <c r="I4" s="3">
        <v>0</v>
      </c>
      <c r="J4" s="9"/>
      <c r="X4" s="6">
        <f>E3</f>
        <v>45845</v>
      </c>
      <c r="Y4" s="3">
        <f>G3+H3-I3</f>
        <v>5.78</v>
      </c>
    </row>
    <row r="5" spans="1:26" x14ac:dyDescent="0.25">
      <c r="A5" s="5"/>
      <c r="B5" s="6"/>
      <c r="D5" s="6">
        <v>45905</v>
      </c>
      <c r="E5" s="6">
        <v>45905</v>
      </c>
      <c r="F5" s="18">
        <f t="shared" si="0"/>
        <v>0</v>
      </c>
      <c r="G5" s="2">
        <v>5.78</v>
      </c>
      <c r="H5" s="3">
        <v>0</v>
      </c>
      <c r="I5" s="3">
        <v>0</v>
      </c>
      <c r="J5" s="9"/>
      <c r="X5" s="6">
        <f t="shared" ref="X5:X52" si="1">E4</f>
        <v>45874</v>
      </c>
      <c r="Y5" s="3">
        <f t="shared" ref="Y5:Y52" si="2">G4+H4-I4</f>
        <v>5.78</v>
      </c>
    </row>
    <row r="6" spans="1:26" x14ac:dyDescent="0.25">
      <c r="A6" s="5"/>
      <c r="B6" s="6"/>
      <c r="D6" s="6">
        <v>45936</v>
      </c>
      <c r="E6" s="6">
        <v>45936</v>
      </c>
      <c r="F6" s="18">
        <f t="shared" si="0"/>
        <v>0</v>
      </c>
      <c r="G6" s="3">
        <v>5.78</v>
      </c>
      <c r="H6" s="3">
        <v>0</v>
      </c>
      <c r="I6" s="3">
        <v>0</v>
      </c>
      <c r="J6" s="9"/>
      <c r="X6" s="6">
        <f t="shared" si="1"/>
        <v>45905</v>
      </c>
      <c r="Y6" s="3">
        <f t="shared" si="2"/>
        <v>5.78</v>
      </c>
    </row>
    <row r="7" spans="1:26" x14ac:dyDescent="0.25">
      <c r="A7" s="5"/>
      <c r="B7" s="6"/>
      <c r="D7" s="6">
        <v>45966</v>
      </c>
      <c r="E7" s="6">
        <v>45966</v>
      </c>
      <c r="F7" s="18">
        <f t="shared" si="0"/>
        <v>0</v>
      </c>
      <c r="G7" s="3">
        <v>5.78</v>
      </c>
      <c r="H7" s="3">
        <v>0</v>
      </c>
      <c r="I7" s="3">
        <v>0</v>
      </c>
      <c r="J7" s="13"/>
      <c r="X7" s="6">
        <f t="shared" si="1"/>
        <v>45936</v>
      </c>
      <c r="Y7" s="3">
        <f t="shared" si="2"/>
        <v>5.78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45996</v>
      </c>
      <c r="E8" s="6">
        <v>45996</v>
      </c>
      <c r="F8" s="18">
        <f t="shared" si="0"/>
        <v>0</v>
      </c>
      <c r="G8" s="3">
        <v>81.099999999999994</v>
      </c>
      <c r="H8" s="2">
        <v>5.47</v>
      </c>
      <c r="I8" s="3">
        <v>0</v>
      </c>
      <c r="J8" s="9"/>
      <c r="X8" s="6">
        <f t="shared" si="1"/>
        <v>45966</v>
      </c>
      <c r="Y8" s="3">
        <f t="shared" si="2"/>
        <v>5.78</v>
      </c>
    </row>
    <row r="9" spans="1:26" x14ac:dyDescent="0.25">
      <c r="A9" s="5" t="s">
        <v>9</v>
      </c>
      <c r="B9" s="6">
        <v>45813</v>
      </c>
      <c r="D9" s="10"/>
      <c r="E9" s="10"/>
      <c r="F9" s="18"/>
      <c r="G9" s="2"/>
      <c r="H9" s="3"/>
      <c r="I9" s="3"/>
      <c r="J9" s="13"/>
      <c r="X9" s="6">
        <f t="shared" si="1"/>
        <v>45996</v>
      </c>
      <c r="Y9" s="3">
        <f t="shared" si="2"/>
        <v>86.57</v>
      </c>
    </row>
    <row r="10" spans="1:26" x14ac:dyDescent="0.25">
      <c r="A10" s="5" t="s">
        <v>33</v>
      </c>
      <c r="B10" s="6">
        <v>45825</v>
      </c>
      <c r="D10" s="10"/>
      <c r="E10" s="10"/>
      <c r="F10" s="18"/>
      <c r="G10" s="3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45996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110</v>
      </c>
      <c r="H53" s="3">
        <f t="shared" ref="H53:I53" si="3">SUM(H3:H52)</f>
        <v>5.47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Overview</vt:lpstr>
      <vt:lpstr>Pinigai</vt:lpstr>
      <vt:lpstr>August 2026</vt:lpstr>
      <vt:lpstr>July 2026</vt:lpstr>
      <vt:lpstr>June 2026</vt:lpstr>
      <vt:lpstr>May 2026</vt:lpstr>
      <vt:lpstr>April 2026</vt:lpstr>
      <vt:lpstr>March 2026</vt:lpstr>
      <vt:lpstr>February 2026</vt:lpstr>
      <vt:lpstr>January 2026</vt:lpstr>
      <vt:lpstr>December 2025</vt:lpstr>
      <vt:lpstr>November 2025</vt:lpstr>
      <vt:lpstr>October 2025</vt:lpstr>
      <vt:lpstr>September 2025</vt:lpstr>
      <vt:lpstr>August 2025</vt:lpstr>
      <vt:lpstr>July 2025</vt:lpstr>
      <vt:lpstr>June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2026-08-09T17:58:56Z</dcterms:modified>
</cp:coreProperties>
</file>