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Debitum\"/>
    </mc:Choice>
  </mc:AlternateContent>
  <xr:revisionPtr revIDLastSave="0" documentId="13_ncr:1_{44E51E50-7799-4BB3-B3A6-532C96F3EA6C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Overview" sheetId="1" r:id="rId1"/>
    <sheet name="Pinigai" sheetId="15" r:id="rId2"/>
    <sheet name="LV0000112639" sheetId="39" r:id="rId3"/>
    <sheet name="LV0000112340" sheetId="38" r:id="rId4"/>
    <sheet name="LV0000111847" sheetId="37" r:id="rId5"/>
    <sheet name="LV0000111698" sheetId="36" r:id="rId6"/>
    <sheet name="LV0000111060" sheetId="31" r:id="rId7"/>
    <sheet name="LV0000111102" sheetId="34" r:id="rId8"/>
    <sheet name="LV0000110328" sheetId="33" r:id="rId9"/>
    <sheet name="LV0000110047" sheetId="32" r:id="rId10"/>
    <sheet name="LV0000109064" sheetId="35" r:id="rId11"/>
    <sheet name="LV0000108736" sheetId="30" r:id="rId12"/>
    <sheet name="LV0000107886" sheetId="29" r:id="rId13"/>
    <sheet name="LV0000107902" sheetId="28" r:id="rId14"/>
    <sheet name="LV0000106920" sheetId="27" r:id="rId15"/>
    <sheet name="LV0000106516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0" i="15" l="1"/>
  <c r="AA3" i="1"/>
  <c r="W3" i="1"/>
  <c r="Y3" i="1" s="1"/>
  <c r="V3" i="1"/>
  <c r="U3" i="1"/>
  <c r="S3" i="1"/>
  <c r="R3" i="1"/>
  <c r="Q3" i="1"/>
  <c r="L3" i="26"/>
  <c r="L3" i="27"/>
  <c r="L3" i="28"/>
  <c r="L3" i="29"/>
  <c r="L3" i="30"/>
  <c r="L3" i="35"/>
  <c r="L3" i="32"/>
  <c r="L3" i="33"/>
  <c r="L3" i="34"/>
  <c r="L3" i="31"/>
  <c r="L3" i="36"/>
  <c r="L3" i="37"/>
  <c r="L3" i="38"/>
  <c r="L3" i="39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K12" i="15"/>
  <c r="N16" i="1"/>
  <c r="M16" i="1"/>
  <c r="J16" i="1"/>
  <c r="I16" i="1"/>
  <c r="H16" i="1"/>
  <c r="G16" i="1"/>
  <c r="F16" i="1"/>
  <c r="E16" i="1"/>
  <c r="D16" i="1"/>
  <c r="C16" i="1"/>
  <c r="B16" i="1"/>
  <c r="I53" i="39"/>
  <c r="H53" i="39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B12" i="39"/>
  <c r="K16" i="1" s="1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Z3" i="39"/>
  <c r="P3" i="39" s="1"/>
  <c r="L16" i="1" s="1"/>
  <c r="Y3" i="39"/>
  <c r="X3" i="39"/>
  <c r="Q3" i="39"/>
  <c r="N3" i="39"/>
  <c r="M3" i="39"/>
  <c r="K3" i="39"/>
  <c r="O3" i="39" s="1"/>
  <c r="F3" i="39"/>
  <c r="I15" i="1"/>
  <c r="H15" i="1"/>
  <c r="G15" i="1"/>
  <c r="F15" i="1"/>
  <c r="E15" i="1"/>
  <c r="D15" i="1"/>
  <c r="C15" i="1"/>
  <c r="B15" i="1"/>
  <c r="I53" i="38"/>
  <c r="M3" i="38" s="1"/>
  <c r="H53" i="38"/>
  <c r="N15" i="1" s="1"/>
  <c r="G53" i="38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K3" i="38"/>
  <c r="N3" i="38" s="1"/>
  <c r="F3" i="38"/>
  <c r="T3" i="1" l="1"/>
  <c r="X3" i="1"/>
  <c r="AC16" i="1"/>
  <c r="Z3" i="38"/>
  <c r="Q3" i="38"/>
  <c r="M15" i="1"/>
  <c r="B12" i="38"/>
  <c r="O3" i="38"/>
  <c r="J15" i="1" s="1"/>
  <c r="F4" i="36"/>
  <c r="K9" i="15"/>
  <c r="K10" i="15"/>
  <c r="K11" i="15"/>
  <c r="A200" i="15"/>
  <c r="Z3" i="1" s="1"/>
  <c r="K3" i="15"/>
  <c r="K4" i="15"/>
  <c r="K5" i="15"/>
  <c r="K6" i="15"/>
  <c r="K7" i="15"/>
  <c r="K8" i="15"/>
  <c r="K2" i="15"/>
  <c r="I14" i="1"/>
  <c r="H14" i="1"/>
  <c r="G14" i="1"/>
  <c r="F14" i="1"/>
  <c r="E14" i="1"/>
  <c r="D14" i="1"/>
  <c r="C14" i="1"/>
  <c r="B14" i="1"/>
  <c r="I53" i="37"/>
  <c r="H53" i="37"/>
  <c r="N14" i="1" s="1"/>
  <c r="G53" i="37"/>
  <c r="K3" i="37" s="1"/>
  <c r="M14" i="1" s="1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M3" i="37"/>
  <c r="F3" i="37"/>
  <c r="I13" i="1"/>
  <c r="H13" i="1"/>
  <c r="G13" i="1"/>
  <c r="F13" i="1"/>
  <c r="E13" i="1"/>
  <c r="D13" i="1"/>
  <c r="C13" i="1"/>
  <c r="B13" i="1"/>
  <c r="I53" i="36"/>
  <c r="M3" i="36" s="1"/>
  <c r="H53" i="36"/>
  <c r="G53" i="36"/>
  <c r="K3" i="36" s="1"/>
  <c r="M13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Y3" i="36"/>
  <c r="X3" i="36"/>
  <c r="F3" i="36"/>
  <c r="I8" i="1"/>
  <c r="H8" i="1"/>
  <c r="G8" i="1"/>
  <c r="F8" i="1"/>
  <c r="E8" i="1"/>
  <c r="D8" i="1"/>
  <c r="C8" i="1"/>
  <c r="B8" i="1"/>
  <c r="I53" i="35"/>
  <c r="M3" i="35" s="1"/>
  <c r="H53" i="35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P3" i="38" l="1"/>
  <c r="L15" i="1" s="1"/>
  <c r="AC15" i="1"/>
  <c r="K15" i="1"/>
  <c r="Z3" i="37"/>
  <c r="B12" i="37"/>
  <c r="N3" i="37"/>
  <c r="Q3" i="37"/>
  <c r="O3" i="37"/>
  <c r="J14" i="1" s="1"/>
  <c r="N13" i="1"/>
  <c r="Z3" i="36"/>
  <c r="B12" i="36"/>
  <c r="N3" i="36"/>
  <c r="O3" i="36"/>
  <c r="J13" i="1" s="1"/>
  <c r="Q3" i="36"/>
  <c r="N8" i="1"/>
  <c r="O3" i="35"/>
  <c r="J8" i="1" s="1"/>
  <c r="M8" i="1"/>
  <c r="Q3" i="35"/>
  <c r="Z3" i="35"/>
  <c r="P3" i="35" s="1"/>
  <c r="L8" i="1" s="1"/>
  <c r="B12" i="35"/>
  <c r="K8" i="1" s="1"/>
  <c r="N3" i="35"/>
  <c r="K14" i="1" l="1"/>
  <c r="P3" i="36"/>
  <c r="L13" i="1" s="1"/>
  <c r="AC13" i="1"/>
  <c r="P3" i="37"/>
  <c r="L14" i="1" s="1"/>
  <c r="AC14" i="1"/>
  <c r="K13" i="1"/>
  <c r="AC8" i="1"/>
  <c r="I12" i="1"/>
  <c r="H12" i="1"/>
  <c r="G12" i="1"/>
  <c r="F12" i="1"/>
  <c r="E12" i="1"/>
  <c r="D12" i="1"/>
  <c r="C12" i="1"/>
  <c r="B12" i="1"/>
  <c r="I11" i="1"/>
  <c r="H11" i="1"/>
  <c r="G11" i="1"/>
  <c r="F11" i="1"/>
  <c r="E11" i="1"/>
  <c r="D11" i="1"/>
  <c r="C11" i="1"/>
  <c r="B11" i="1"/>
  <c r="I53" i="34"/>
  <c r="M3" i="34" s="1"/>
  <c r="H53" i="34"/>
  <c r="G53" i="34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K3" i="34"/>
  <c r="O3" i="34" s="1"/>
  <c r="J11" i="1" s="1"/>
  <c r="F3" i="34"/>
  <c r="I10" i="1"/>
  <c r="H10" i="1"/>
  <c r="G10" i="1"/>
  <c r="E10" i="1"/>
  <c r="D10" i="1"/>
  <c r="C10" i="1"/>
  <c r="B10" i="1"/>
  <c r="I53" i="33"/>
  <c r="M3" i="33" s="1"/>
  <c r="H53" i="33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0" i="1" s="1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F3" i="33"/>
  <c r="I9" i="1"/>
  <c r="H9" i="1"/>
  <c r="G9" i="1"/>
  <c r="E9" i="1"/>
  <c r="D9" i="1"/>
  <c r="C9" i="1"/>
  <c r="B9" i="1"/>
  <c r="I53" i="32"/>
  <c r="N9" i="1" s="1"/>
  <c r="H53" i="32"/>
  <c r="G53" i="32"/>
  <c r="K3" i="32" s="1"/>
  <c r="M9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9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53" i="31"/>
  <c r="M3" i="31" s="1"/>
  <c r="H53" i="31"/>
  <c r="G53" i="31"/>
  <c r="K3" i="31" s="1"/>
  <c r="M12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7" i="1"/>
  <c r="H7" i="1"/>
  <c r="G7" i="1"/>
  <c r="F7" i="1"/>
  <c r="E7" i="1"/>
  <c r="D7" i="1"/>
  <c r="C7" i="1"/>
  <c r="B7" i="1"/>
  <c r="I53" i="30"/>
  <c r="H53" i="30"/>
  <c r="N7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K3" i="30"/>
  <c r="J7" i="1" s="1"/>
  <c r="F3" i="30"/>
  <c r="N6" i="1"/>
  <c r="M6" i="1"/>
  <c r="J6" i="1"/>
  <c r="I6" i="1"/>
  <c r="H6" i="1"/>
  <c r="G6" i="1"/>
  <c r="F6" i="1"/>
  <c r="E6" i="1"/>
  <c r="D6" i="1"/>
  <c r="C6" i="1"/>
  <c r="B6" i="1"/>
  <c r="Z3" i="34" l="1"/>
  <c r="P3" i="34" s="1"/>
  <c r="L11" i="1" s="1"/>
  <c r="Q3" i="34"/>
  <c r="N10" i="1"/>
  <c r="N12" i="1"/>
  <c r="M7" i="1"/>
  <c r="Z3" i="30"/>
  <c r="P3" i="30" s="1"/>
  <c r="L7" i="1" s="1"/>
  <c r="N3" i="30"/>
  <c r="Q3" i="30"/>
  <c r="M3" i="32"/>
  <c r="O3" i="33"/>
  <c r="J10" i="1" s="1"/>
  <c r="B12" i="33"/>
  <c r="K10" i="1" s="1"/>
  <c r="Z3" i="33"/>
  <c r="P3" i="33" s="1"/>
  <c r="L10" i="1" s="1"/>
  <c r="Q3" i="33"/>
  <c r="M10" i="1"/>
  <c r="N11" i="1"/>
  <c r="B12" i="34"/>
  <c r="K11" i="1" s="1"/>
  <c r="M11" i="1"/>
  <c r="N3" i="31"/>
  <c r="Z3" i="31"/>
  <c r="Q3" i="31"/>
  <c r="B12" i="31"/>
  <c r="N3" i="34"/>
  <c r="N3" i="33"/>
  <c r="O3" i="32"/>
  <c r="J9" i="1" s="1"/>
  <c r="Q3" i="32"/>
  <c r="Z3" i="32"/>
  <c r="B12" i="32"/>
  <c r="K9" i="1" s="1"/>
  <c r="N3" i="32"/>
  <c r="O3" i="31"/>
  <c r="J12" i="1" s="1"/>
  <c r="B12" i="30"/>
  <c r="K7" i="1" s="1"/>
  <c r="I53" i="29"/>
  <c r="M3" i="29" s="1"/>
  <c r="H53" i="29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F5" i="1"/>
  <c r="E5" i="1"/>
  <c r="D5" i="1"/>
  <c r="C5" i="1"/>
  <c r="B5" i="1"/>
  <c r="I53" i="28"/>
  <c r="M3" i="28" s="1"/>
  <c r="H53" i="28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F4" i="1"/>
  <c r="E4" i="1"/>
  <c r="D4" i="1"/>
  <c r="C3" i="1"/>
  <c r="B4" i="1"/>
  <c r="I53" i="27"/>
  <c r="M3" i="27" s="1"/>
  <c r="H53" i="27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AC11" i="1" l="1"/>
  <c r="AC7" i="1"/>
  <c r="N4" i="1"/>
  <c r="AC10" i="1"/>
  <c r="AC12" i="1"/>
  <c r="N5" i="1"/>
  <c r="P3" i="32"/>
  <c r="L9" i="1" s="1"/>
  <c r="AC9" i="1"/>
  <c r="P3" i="31"/>
  <c r="K12" i="1"/>
  <c r="Z3" i="29"/>
  <c r="Q3" i="29"/>
  <c r="N3" i="29"/>
  <c r="B12" i="29"/>
  <c r="K6" i="1" s="1"/>
  <c r="O3" i="29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F3" i="1"/>
  <c r="E3" i="1"/>
  <c r="D3" i="1"/>
  <c r="B3" i="1"/>
  <c r="I53" i="26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N3" i="1" l="1"/>
  <c r="Z3" i="26"/>
  <c r="P3" i="26" s="1"/>
  <c r="L3" i="1" s="1"/>
  <c r="M3" i="1"/>
  <c r="M3" i="26"/>
  <c r="L12" i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AC3" i="1" l="1"/>
  <c r="H2" i="15"/>
  <c r="G2" i="15" l="1"/>
  <c r="F2" i="15"/>
  <c r="I2" i="15" l="1"/>
</calcChain>
</file>

<file path=xl/sharedStrings.xml><?xml version="1.0" encoding="utf-8"?>
<sst xmlns="http://schemas.openxmlformats.org/spreadsheetml/2006/main" count="589" uniqueCount="79">
  <si>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</si>
  <si>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</si>
  <si>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</si>
  <si>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</si>
  <si>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</si>
  <si>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</si>
  <si>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</si>
  <si>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</si>
  <si>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</si>
  <si>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</si>
  <si>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</si>
  <si>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</si>
  <si>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</si>
  <si>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</si>
  <si>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LV0000106516</t>
  </si>
  <si>
    <t>Latvian Forest Developement Fund</t>
  </si>
  <si>
    <t>LV0000106920</t>
  </si>
  <si>
    <t>Sandbox Funding</t>
  </si>
  <si>
    <t>Loans</t>
  </si>
  <si>
    <t>Tipas</t>
  </si>
  <si>
    <t>LV0000107902</t>
  </si>
  <si>
    <t>LV0000107886</t>
  </si>
  <si>
    <t>Pinigai</t>
  </si>
  <si>
    <t>Grąžinta</t>
  </si>
  <si>
    <t>Viso</t>
  </si>
  <si>
    <t>LV0000108736</t>
  </si>
  <si>
    <t>Suma</t>
  </si>
  <si>
    <t>Planuojama</t>
  </si>
  <si>
    <t>Reali</t>
  </si>
  <si>
    <t>LV0000109064</t>
  </si>
  <si>
    <t>Baltic Terra</t>
  </si>
  <si>
    <t>LV0000110047</t>
  </si>
  <si>
    <t>Trust score</t>
  </si>
  <si>
    <t>A</t>
  </si>
  <si>
    <t>B+</t>
  </si>
  <si>
    <t>LV0000110328</t>
  </si>
  <si>
    <t>Principal</t>
  </si>
  <si>
    <t>Interest</t>
  </si>
  <si>
    <t>Mokestis</t>
  </si>
  <si>
    <t>Mokesčiai</t>
  </si>
  <si>
    <t>XIRR</t>
  </si>
  <si>
    <t>Grąžinimas</t>
  </si>
  <si>
    <t>f554a779-27ed-4d9a-aa38-85635001a3fb</t>
  </si>
  <si>
    <t>ID</t>
  </si>
  <si>
    <t>b8f70cd8-bf9b-478c-a788-444e61e675eb</t>
  </si>
  <si>
    <t>205d18cd-bf4a-4bf1-88e3-fef3ffe6f736</t>
  </si>
  <si>
    <t>659c52bf-6023-48b2-bc0f-da590bcd36f9</t>
  </si>
  <si>
    <t>17f3efcd-5a40-4924-87d5-a72ce6d21313</t>
  </si>
  <si>
    <t>e26c310c-331f-4855-9f5d-294789304acd</t>
  </si>
  <si>
    <t>ccf30376-99e2-4ee5-8dd9-bd88dc4179b3</t>
  </si>
  <si>
    <t>392596bb-f6fe-4c38-8522-ce14eec475b6</t>
  </si>
  <si>
    <t>LV0000111102</t>
  </si>
  <si>
    <t>cf699f4c-f1b5-444f-9077-c94668c39431</t>
  </si>
  <si>
    <t>Vėluoja</t>
  </si>
  <si>
    <t>Nr.</t>
  </si>
  <si>
    <t>Liko</t>
  </si>
  <si>
    <t>Vėl./Anks.</t>
  </si>
  <si>
    <t>Terminas</t>
  </si>
  <si>
    <t>02a81318-bea5-4db2-8b3c-4d81db59fc9b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</si>
  <si>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</si>
  <si>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</si>
  <si>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</si>
  <si>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</si>
  <si>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</si>
  <si>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</si>
  <si>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</si>
  <si>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</si>
  <si>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LV0000111060</t>
  </si>
  <si>
    <t>Inv. data</t>
  </si>
  <si>
    <t>LV0000111698</t>
  </si>
  <si>
    <t>d4a9dcc7-82af-408f-bedb-9203f6d11007</t>
  </si>
  <si>
    <t>LV0000111847</t>
  </si>
  <si>
    <t>adfe9a00-ffd1-4b14-b52f-30de1ffe3b4e</t>
  </si>
  <si>
    <t>LV0000112340</t>
  </si>
  <si>
    <t>a1bc197d-257c-4974-99fa-cdc266369d55</t>
  </si>
  <si>
    <t>LV0000112639</t>
  </si>
  <si>
    <t>4d675011-7d10-48f2-8b75-877c5e500aa8</t>
  </si>
  <si>
    <t xml:space="preserve">Premijos </t>
  </si>
  <si>
    <t>Eur.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</si>
</sst>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6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6CB6E9-D945-4CB0-B9DC-5E1FA0789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4BB32B-7081-4A26-A0A3-2D3872B1A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1647A0-20DA-4A1B-98FB-99C8881D2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A8F36F-B12B-4557-9C88-75248AD4D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6D99D1-1FE6-4FDC-846A-926D9CDC3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98674F-7A43-41D0-8AF4-A018C402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B3423C-AFA6-48B1-A837-B342809E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EB44B2-BE82-4DA4-BC24-43C3B551A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5FFF8B-1379-4B10-B33C-A47BA2D2C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3" t="s">
        <v>8</v>
      </c>
      <c r="J1" s="34"/>
      <c r="K1" s="34"/>
      <c r="L1" s="35"/>
      <c r="M1" s="39" t="s">
        <v>23</v>
      </c>
      <c r="N1" s="39"/>
      <c r="O1" s="39"/>
      <c r="P1" s="8"/>
      <c r="Q1" s="36" t="s">
        <v>22</v>
      </c>
      <c r="R1" s="37"/>
      <c r="S1" s="37"/>
      <c r="T1" s="38"/>
      <c r="U1" s="36" t="s">
        <v>23</v>
      </c>
      <c r="V1" s="38"/>
      <c r="W1" s="33" t="s">
        <v>4</v>
      </c>
      <c r="X1" s="34"/>
      <c r="Y1" s="34"/>
      <c r="Z1" s="35"/>
      <c r="AA1" s="4" t="s">
        <v>39</v>
      </c>
    </row>
    <row r="2" spans="1:29" x14ac:dyDescent="0.25">
      <c r="A2" s="21" t="s">
        <v>54</v>
      </c>
      <c r="B2" s="21" t="s">
        <v>68</v>
      </c>
      <c r="C2" s="21" t="s">
        <v>3</v>
      </c>
      <c r="D2" s="21" t="s">
        <v>60</v>
      </c>
      <c r="E2" s="21" t="s">
        <v>19</v>
      </c>
      <c r="F2" s="4" t="s">
        <v>57</v>
      </c>
      <c r="G2" s="21" t="s">
        <v>5</v>
      </c>
      <c r="H2" s="21" t="s">
        <v>26</v>
      </c>
      <c r="I2" s="4" t="s">
        <v>27</v>
      </c>
      <c r="J2" s="4" t="s">
        <v>28</v>
      </c>
      <c r="K2" s="4" t="s">
        <v>55</v>
      </c>
      <c r="L2" s="4" t="s">
        <v>53</v>
      </c>
      <c r="M2" s="4" t="s">
        <v>0</v>
      </c>
      <c r="N2" s="4" t="s">
        <v>1</v>
      </c>
      <c r="O2" s="4" t="s">
        <v>39</v>
      </c>
      <c r="P2" s="9"/>
      <c r="Q2" s="4" t="s">
        <v>10</v>
      </c>
      <c r="R2" s="4" t="s">
        <v>9</v>
      </c>
      <c r="S2" s="4" t="s">
        <v>77</v>
      </c>
      <c r="T2" s="4" t="s">
        <v>6</v>
      </c>
      <c r="U2" s="4" t="s">
        <v>0</v>
      </c>
      <c r="V2" s="4" t="s">
        <v>1</v>
      </c>
      <c r="W2" s="4" t="s">
        <v>24</v>
      </c>
      <c r="X2" s="4" t="s">
        <v>78</v>
      </c>
      <c r="Y2" s="4" t="s">
        <v>5</v>
      </c>
      <c r="Z2" s="4" t="s">
        <v>40</v>
      </c>
      <c r="AA2" s="4" t="s">
        <v>78</v>
      </c>
      <c r="AC2" s="10" t="s">
        <v>53</v>
      </c>
    </row>
    <row r="3" spans="1:29" x14ac:dyDescent="0.25">
      <c r="A3" s="2">
        <v>1</v>
      </c>
      <c r="B3" s="6">
        <f>'LV0000106516'!B9</f>
        <v>45923</v>
      </c>
      <c r="C3" s="22" t="str">
        <f>'LV0000106516'!B1</f>
        <v>LV0000106516</v>
      </c>
      <c r="D3" s="15" t="str">
        <f>'LV0000106516'!B2</f>
        <v>Latvia</v>
      </c>
      <c r="E3" s="2" t="str">
        <f>'LV0000106516'!B4</f>
        <v>Notes</v>
      </c>
      <c r="F3" s="2" t="str">
        <f>'LV0000106516'!B8</f>
        <v>0 m. 11 mėn. 22 d.</v>
      </c>
      <c r="G3" s="7">
        <f>'LV0000106516'!B15</f>
        <v>0.13</v>
      </c>
      <c r="H3" s="3">
        <f>'LV0000106516'!B16</f>
        <v>30</v>
      </c>
      <c r="I3" s="6">
        <f>'LV0000106516'!B11</f>
        <v>46279</v>
      </c>
      <c r="J3" s="6" t="str">
        <f>'LV0000106516'!O3</f>
        <v/>
      </c>
      <c r="K3" s="20">
        <f ca="1">'LV0000106516'!B12</f>
        <v>49</v>
      </c>
      <c r="L3" s="2" t="str">
        <f ca="1">'LV0000106516'!P3</f>
        <v/>
      </c>
      <c r="M3" s="3">
        <f>'LV0000106516'!K3</f>
        <v>0</v>
      </c>
      <c r="N3" s="3">
        <f>'LV0000106516'!L3</f>
        <v>3.04</v>
      </c>
      <c r="O3" s="3">
        <f>'LV0000106516'!M3</f>
        <v>0</v>
      </c>
      <c r="P3" s="9"/>
      <c r="Q3" s="29">
        <f>Pinigai!I2</f>
        <v>240</v>
      </c>
      <c r="R3" s="29">
        <f>SUM(H3:H100)-U3</f>
        <v>253.25</v>
      </c>
      <c r="S3" s="30">
        <f>Pinigai!H2</f>
        <v>0.89</v>
      </c>
      <c r="T3" s="30">
        <f>W3-R3</f>
        <v>0</v>
      </c>
      <c r="U3" s="29">
        <f>SUM(M3:M100)</f>
        <v>71.63</v>
      </c>
      <c r="V3" s="29">
        <f>SUM(N3:N100)-AA3</f>
        <v>12.36</v>
      </c>
      <c r="W3" s="30">
        <f>Q3+S3+V3</f>
        <v>253.25</v>
      </c>
      <c r="X3" s="30">
        <f>W3-Q3</f>
        <v>13.25</v>
      </c>
      <c r="Y3" s="31">
        <f>(W3-Q3)/Q3</f>
        <v>5.5208333333333331E-2</v>
      </c>
      <c r="Z3" s="32">
        <f ca="1">XIRR(Pinigai!K2:K200,Pinigai!A2:A200)</f>
        <v>0.11002857089042661</v>
      </c>
      <c r="AA3" s="30">
        <f>SUM(O3:O100)</f>
        <v>0</v>
      </c>
      <c r="AC3" s="3" t="str">
        <f ca="1">'LV0000106516'!Z3</f>
        <v/>
      </c>
    </row>
    <row r="4" spans="1:29" x14ac:dyDescent="0.25">
      <c r="A4" s="2">
        <v>2</v>
      </c>
      <c r="B4" s="6">
        <f>'LV0000106920'!B9</f>
        <v>45923</v>
      </c>
      <c r="C4" s="27" t="str">
        <f>'LV0000106920'!B1</f>
        <v>LV0000106920</v>
      </c>
      <c r="D4" s="2" t="str">
        <f>'LV0000106920'!B2</f>
        <v>Latvia</v>
      </c>
      <c r="E4" s="2" t="str">
        <f>'LV0000106920'!B4</f>
        <v>Loans</v>
      </c>
      <c r="F4" s="2" t="str">
        <f>'LV0000106920'!B8</f>
        <v>0 m. 11 mėn. 29 d.</v>
      </c>
      <c r="G4" s="7">
        <f>'LV0000106920'!B15</f>
        <v>0.1</v>
      </c>
      <c r="H4" s="3">
        <f>'LV0000106920'!B16</f>
        <v>20</v>
      </c>
      <c r="I4" s="6">
        <f>'LV0000106920'!B11</f>
        <v>46286</v>
      </c>
      <c r="J4" s="6" t="str">
        <f>'LV0000106920'!O3</f>
        <v/>
      </c>
      <c r="K4" s="20">
        <f ca="1">'LV0000106920'!B12</f>
        <v>56</v>
      </c>
      <c r="L4" s="2" t="str">
        <f ca="1">'LV0000106920'!P3</f>
        <v/>
      </c>
      <c r="M4" s="3">
        <f>'LV0000106920'!K3</f>
        <v>0</v>
      </c>
      <c r="N4" s="3">
        <f>'LV0000106920'!L3</f>
        <v>1.63</v>
      </c>
      <c r="O4" s="3">
        <f>'LV0000106920'!M3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'LV0000106920'!Z3</f>
        <v/>
      </c>
    </row>
    <row r="5" spans="1:29" x14ac:dyDescent="0.25">
      <c r="A5" s="2">
        <v>3</v>
      </c>
      <c r="B5" s="6">
        <f>'LV0000107902'!B9</f>
        <v>45973</v>
      </c>
      <c r="C5" s="22" t="str">
        <f>'LV0000107902'!B1</f>
        <v>LV0000107902</v>
      </c>
      <c r="D5" s="2" t="str">
        <f>'LV0000107902'!B2</f>
        <v>Latvia</v>
      </c>
      <c r="E5" s="2" t="str">
        <f>'LV0000107902'!B4</f>
        <v>Notes</v>
      </c>
      <c r="F5" s="2" t="str">
        <f>'LV0000107902'!B8</f>
        <v>0 m. 6 mėn. 15 d.</v>
      </c>
      <c r="G5" s="7">
        <f>'LV0000107902'!B15</f>
        <v>0.11</v>
      </c>
      <c r="H5" s="3">
        <f>'LV0000107902'!B16</f>
        <v>30</v>
      </c>
      <c r="I5" s="6">
        <f>'LV0000107902'!B11</f>
        <v>46169</v>
      </c>
      <c r="J5" s="6">
        <f>'LV0000107902'!O3</f>
        <v>46169</v>
      </c>
      <c r="K5" s="20" t="str">
        <f ca="1">'LV0000107902'!B12</f>
        <v/>
      </c>
      <c r="L5" s="2" t="str">
        <f ca="1">'LV0000107902'!P3</f>
        <v/>
      </c>
      <c r="M5" s="3">
        <f>'LV0000107902'!K3</f>
        <v>30</v>
      </c>
      <c r="N5" s="3">
        <f>'LV0000107902'!L3</f>
        <v>1.81</v>
      </c>
      <c r="O5" s="3">
        <f>'LV0000107902'!M3</f>
        <v>0</v>
      </c>
      <c r="P5" s="9"/>
      <c r="AC5" s="3" t="str">
        <f ca="1">'LV0000107902'!Z3</f>
        <v/>
      </c>
    </row>
    <row r="6" spans="1:29" x14ac:dyDescent="0.25">
      <c r="A6" s="2">
        <v>4</v>
      </c>
      <c r="B6" s="6">
        <f>'LV0000107886'!B9</f>
        <v>45973</v>
      </c>
      <c r="C6" s="22" t="str">
        <f>'LV0000107886'!B1</f>
        <v>LV0000107886</v>
      </c>
      <c r="D6" s="2" t="str">
        <f>'LV0000107886'!B2</f>
        <v>Latvia</v>
      </c>
      <c r="E6" s="2" t="str">
        <f>'LV0000107886'!B4</f>
        <v>Notes</v>
      </c>
      <c r="F6" s="2" t="str">
        <f>'LV0000107886'!B8</f>
        <v>0 m. 3 mėn. 19 d.</v>
      </c>
      <c r="G6" s="7">
        <f>'LV0000107886'!B15</f>
        <v>0.104</v>
      </c>
      <c r="H6" s="3">
        <f>'LV0000107886'!B16</f>
        <v>20.64</v>
      </c>
      <c r="I6" s="6">
        <f>'LV0000107886'!B11</f>
        <v>46084</v>
      </c>
      <c r="J6" s="6">
        <f>'LV0000107886'!O3</f>
        <v>46083</v>
      </c>
      <c r="K6" s="20" t="str">
        <f ca="1">'LV0000107886'!B12</f>
        <v/>
      </c>
      <c r="L6" s="2" t="str">
        <f ca="1">'LV0000107886'!P3</f>
        <v/>
      </c>
      <c r="M6" s="3">
        <f>'LV0000107886'!K3</f>
        <v>20.64</v>
      </c>
      <c r="N6" s="3">
        <f>'LV0000107886'!L3</f>
        <v>0.66</v>
      </c>
      <c r="O6" s="3">
        <f>'LV0000107886'!M3</f>
        <v>0</v>
      </c>
      <c r="P6" s="9"/>
      <c r="AC6" s="3" t="str">
        <f ca="1">'LV0000107886'!Z3</f>
        <v/>
      </c>
    </row>
    <row r="7" spans="1:29" x14ac:dyDescent="0.25">
      <c r="A7" s="2">
        <v>5</v>
      </c>
      <c r="B7" s="6">
        <f>'LV0000108736'!B9</f>
        <v>46007</v>
      </c>
      <c r="C7" s="22" t="str">
        <f>'LV0000108736'!B1</f>
        <v>LV0000108736</v>
      </c>
      <c r="D7" s="2" t="str">
        <f>'LV0000108736'!B2</f>
        <v>Latvia</v>
      </c>
      <c r="E7" s="2" t="str">
        <f>'LV0000108736'!B4</f>
        <v>Notes</v>
      </c>
      <c r="F7" s="2" t="str">
        <f>'LV0000108736'!B8</f>
        <v>0 m. 5 mėn. 26 d.</v>
      </c>
      <c r="G7" s="7">
        <f>'LV0000108736'!B15</f>
        <v>0.11</v>
      </c>
      <c r="H7" s="3">
        <f>'LV0000108736'!B16</f>
        <v>20.99</v>
      </c>
      <c r="I7" s="6">
        <f>'LV0000108736'!B11</f>
        <v>46184</v>
      </c>
      <c r="J7" s="6">
        <f>'LV0000108736'!O3</f>
        <v>46185</v>
      </c>
      <c r="K7" s="20" t="str">
        <f ca="1">'LV0000108736'!B12</f>
        <v/>
      </c>
      <c r="L7" s="2" t="str">
        <f ca="1">'LV0000108736'!P3</f>
        <v/>
      </c>
      <c r="M7" s="3">
        <f>'LV0000108736'!K3</f>
        <v>20.99</v>
      </c>
      <c r="N7" s="3">
        <f>'LV0000108736'!L3</f>
        <v>1.1400000000000001</v>
      </c>
      <c r="O7" s="3">
        <f>'LV0000108736'!M3</f>
        <v>0</v>
      </c>
      <c r="P7" s="9"/>
      <c r="AC7" s="3" t="str">
        <f ca="1">'LV0000108736'!Z3</f>
        <v/>
      </c>
    </row>
    <row r="8" spans="1:29" x14ac:dyDescent="0.25">
      <c r="A8" s="2">
        <v>6</v>
      </c>
      <c r="B8" s="6">
        <f>'LV0000109064'!B9</f>
        <v>46029</v>
      </c>
      <c r="C8" s="22" t="str">
        <f>'LV0000109064'!B1</f>
        <v>LV0000109064</v>
      </c>
      <c r="D8" s="2" t="str">
        <f>'LV0000109064'!B2</f>
        <v>Latvia</v>
      </c>
      <c r="E8" s="2" t="str">
        <f>'LV0000109064'!B4</f>
        <v>Notes</v>
      </c>
      <c r="F8" s="2" t="str">
        <f>'LV0000109064'!B8</f>
        <v>0 m. 11 mėn. 21 d.</v>
      </c>
      <c r="G8" s="7">
        <f>'LV0000109064'!B15</f>
        <v>0.1125</v>
      </c>
      <c r="H8" s="3">
        <f>'LV0000109064'!B16</f>
        <v>21.01</v>
      </c>
      <c r="I8" s="6">
        <f>'LV0000109064'!B11</f>
        <v>46384</v>
      </c>
      <c r="J8" s="6" t="str">
        <f>'LV0000109064'!O3</f>
        <v/>
      </c>
      <c r="K8" s="20">
        <f ca="1">'LV0000109064'!B12</f>
        <v>154</v>
      </c>
      <c r="L8" s="2" t="str">
        <f ca="1">'LV0000109064'!P3</f>
        <v/>
      </c>
      <c r="M8" s="3">
        <f>'LV0000109064'!K3</f>
        <v>0</v>
      </c>
      <c r="N8" s="3">
        <f>'LV0000109064'!L3</f>
        <v>1.1299999999999999</v>
      </c>
      <c r="O8" s="3">
        <f>'LV0000109064'!M3</f>
        <v>0</v>
      </c>
      <c r="P8" s="9"/>
      <c r="AC8" s="3" t="str">
        <f ca="1">'LV0000109064'!Z3</f>
        <v/>
      </c>
    </row>
    <row r="9" spans="1:29" x14ac:dyDescent="0.25">
      <c r="A9" s="2">
        <v>7</v>
      </c>
      <c r="B9" s="6">
        <f>'LV0000110047'!B9</f>
        <v>46064</v>
      </c>
      <c r="C9" s="22" t="str">
        <f>'LV0000110047'!B1</f>
        <v>LV0000110047</v>
      </c>
      <c r="D9" s="2" t="str">
        <f>'LV0000110047'!B2</f>
        <v>Latvia</v>
      </c>
      <c r="E9" s="2" t="str">
        <f>'LV0000110047'!B4</f>
        <v>Loans</v>
      </c>
      <c r="F9" s="2" t="str">
        <f>'LV0000110047'!B8</f>
        <v>0 m. 11 mėn. 22 d.</v>
      </c>
      <c r="G9" s="7">
        <f>'LV0000110047'!B15</f>
        <v>0.105</v>
      </c>
      <c r="H9" s="3">
        <f>'LV0000110047'!B16</f>
        <v>21.43</v>
      </c>
      <c r="I9" s="6">
        <f>'LV0000110047'!B11</f>
        <v>46420</v>
      </c>
      <c r="J9" s="6" t="str">
        <f>'LV0000110047'!O3</f>
        <v/>
      </c>
      <c r="K9" s="20">
        <f ca="1">'LV0000110047'!B12</f>
        <v>190</v>
      </c>
      <c r="L9" s="2" t="str">
        <f ca="1">'LV0000110047'!P3</f>
        <v/>
      </c>
      <c r="M9" s="3">
        <f>'LV0000110047'!K3</f>
        <v>0</v>
      </c>
      <c r="N9" s="3">
        <f>'LV0000110047'!L3</f>
        <v>0.8600000000000001</v>
      </c>
      <c r="O9" s="3">
        <f>'LV0000110047'!M3</f>
        <v>0</v>
      </c>
      <c r="P9" s="9"/>
      <c r="AC9" s="3" t="str">
        <f ca="1">'LV0000110047'!Z3</f>
        <v/>
      </c>
    </row>
    <row r="10" spans="1:29" x14ac:dyDescent="0.25">
      <c r="A10" s="2">
        <v>8</v>
      </c>
      <c r="B10" s="6">
        <f>'LV0000110328'!B9</f>
        <v>46083</v>
      </c>
      <c r="C10" s="22" t="str">
        <f>'LV0000110328'!B1</f>
        <v>LV0000110328</v>
      </c>
      <c r="D10" s="2" t="str">
        <f>'LV0000110328'!B2</f>
        <v>Latvia</v>
      </c>
      <c r="E10" s="2" t="str">
        <f>'LV0000110328'!B4</f>
        <v>Notes</v>
      </c>
      <c r="F10" s="2" t="str">
        <f>'LV0000110328'!B8</f>
        <v>0 m. 6 mėn. 6 d.</v>
      </c>
      <c r="G10" s="7">
        <f>'LV0000110328'!B15</f>
        <v>0.11</v>
      </c>
      <c r="H10" s="3">
        <f>'LV0000110328'!B16</f>
        <v>21.8</v>
      </c>
      <c r="I10" s="6">
        <f>'LV0000110328'!B11</f>
        <v>46273</v>
      </c>
      <c r="J10" s="6" t="str">
        <f>'LV0000110328'!O3</f>
        <v/>
      </c>
      <c r="K10" s="20">
        <f ca="1">'LV0000110328'!B12</f>
        <v>43</v>
      </c>
      <c r="L10" s="2" t="str">
        <f ca="1">'LV0000110328'!P3</f>
        <v/>
      </c>
      <c r="M10" s="3">
        <f>'LV0000110328'!K3</f>
        <v>0</v>
      </c>
      <c r="N10" s="3">
        <f>'LV0000110328'!L3</f>
        <v>0.78</v>
      </c>
      <c r="O10" s="3">
        <f>'LV0000110328'!M3</f>
        <v>0</v>
      </c>
      <c r="P10" s="9"/>
      <c r="AC10" s="3" t="str">
        <f ca="1">'LV0000110328'!Z3</f>
        <v/>
      </c>
    </row>
    <row r="11" spans="1:29" x14ac:dyDescent="0.25">
      <c r="A11" s="2">
        <v>9</v>
      </c>
      <c r="B11" s="6">
        <f>'LV0000111102'!B9</f>
        <v>46128</v>
      </c>
      <c r="C11" s="22" t="str">
        <f>'LV0000111102'!B1</f>
        <v>LV0000111102</v>
      </c>
      <c r="D11" s="2" t="str">
        <f>'LV0000111102'!B2</f>
        <v>Latvia</v>
      </c>
      <c r="E11" s="2" t="str">
        <f>'LV0000111102'!B4</f>
        <v>Notes</v>
      </c>
      <c r="F11" s="2" t="str">
        <f>'LV0000111102'!B8</f>
        <v>1 m. 0 mėn. 12 d.</v>
      </c>
      <c r="G11" s="7">
        <f>'LV0000111102'!B15</f>
        <v>0.12</v>
      </c>
      <c r="H11" s="3">
        <f>'LV0000111102'!B16</f>
        <v>21.84</v>
      </c>
      <c r="I11" s="6">
        <f>'LV0000111102'!B11</f>
        <v>46505</v>
      </c>
      <c r="J11" s="6" t="str">
        <f>'LV0000111102'!O3</f>
        <v/>
      </c>
      <c r="K11" s="20">
        <f ca="1">'LV0000111102'!B12</f>
        <v>275</v>
      </c>
      <c r="L11" s="2" t="str">
        <f ca="1">'LV0000111102'!P3</f>
        <v/>
      </c>
      <c r="M11" s="3">
        <f>'LV0000111102'!K3</f>
        <v>0</v>
      </c>
      <c r="N11" s="3">
        <f>'LV0000111102'!L3</f>
        <v>0.54</v>
      </c>
      <c r="O11" s="3">
        <f>'LV0000111102'!M3</f>
        <v>0</v>
      </c>
      <c r="AC11" s="3" t="str">
        <f ca="1">'LV0000111102'!Z3</f>
        <v/>
      </c>
    </row>
    <row r="12" spans="1:29" x14ac:dyDescent="0.25">
      <c r="A12" s="2">
        <v>10</v>
      </c>
      <c r="B12" s="6">
        <f>'LV0000111060'!B9</f>
        <v>46147</v>
      </c>
      <c r="C12" s="22" t="str">
        <f>'LV0000111060'!B1</f>
        <v>LV0000111060</v>
      </c>
      <c r="D12" s="2" t="str">
        <f>'LV0000111060'!B2</f>
        <v>Latvia</v>
      </c>
      <c r="E12" s="2" t="str">
        <f>'LV0000111060'!B4</f>
        <v>Notes</v>
      </c>
      <c r="F12" s="2" t="str">
        <f>'LV0000111060'!B8</f>
        <v>0 m. 8 mėn. 6 d.</v>
      </c>
      <c r="G12" s="7">
        <f>'LV0000111060'!B15</f>
        <v>0.1075</v>
      </c>
      <c r="H12" s="3">
        <f>'LV0000111060'!B16</f>
        <v>21.75</v>
      </c>
      <c r="I12" s="6">
        <f>'LV0000111060'!B11</f>
        <v>46398</v>
      </c>
      <c r="J12" s="6" t="str">
        <f>'LV0000111060'!O3</f>
        <v/>
      </c>
      <c r="K12" s="20">
        <f ca="1">'LV0000111060'!B12</f>
        <v>168</v>
      </c>
      <c r="L12" s="2" t="str">
        <f ca="1">'LV0000111060'!P3</f>
        <v/>
      </c>
      <c r="M12" s="3">
        <f>'LV0000111060'!K3</f>
        <v>0</v>
      </c>
      <c r="N12" s="3">
        <f>'LV0000111060'!L3</f>
        <v>0.35</v>
      </c>
      <c r="O12" s="3">
        <f>'LV0000111060'!M3</f>
        <v>0</v>
      </c>
      <c r="AC12" s="3" t="str">
        <f ca="1">'LV0000111060'!Z3</f>
        <v/>
      </c>
    </row>
    <row r="13" spans="1:29" x14ac:dyDescent="0.25">
      <c r="A13" s="2">
        <v>11</v>
      </c>
      <c r="B13" s="6">
        <f>'LV0000111698'!B9</f>
        <v>46169</v>
      </c>
      <c r="C13" s="22" t="str">
        <f>'LV0000111698'!B1</f>
        <v>LV0000111698</v>
      </c>
      <c r="D13" s="2" t="str">
        <f>'LV0000111698'!B2</f>
        <v>Latvia</v>
      </c>
      <c r="E13" s="2" t="str">
        <f>'LV0000111698'!B4</f>
        <v>Notes</v>
      </c>
      <c r="F13" s="2" t="str">
        <f>'LV0000111698'!B8</f>
        <v>0 m. 8 mėn. 24 d.</v>
      </c>
      <c r="G13" s="7">
        <f>'LV0000111698'!B15</f>
        <v>0.1075</v>
      </c>
      <c r="H13" s="3">
        <f>'LV0000111698'!B16</f>
        <v>30.48</v>
      </c>
      <c r="I13" s="6">
        <f>'LV0000111698'!B11</f>
        <v>46438</v>
      </c>
      <c r="J13" s="6" t="str">
        <f>'LV0000111698'!O3</f>
        <v/>
      </c>
      <c r="K13" s="20">
        <f ca="1">'LV0000111698'!B12</f>
        <v>208</v>
      </c>
      <c r="L13" s="2" t="str">
        <f ca="1">'LV0000111698'!P3</f>
        <v/>
      </c>
      <c r="M13" s="3">
        <f>'LV0000111698'!K3</f>
        <v>0</v>
      </c>
      <c r="N13" s="3">
        <f>'LV0000111698'!L3</f>
        <v>0.3</v>
      </c>
      <c r="O13" s="3">
        <f>'LV0000111698'!M3</f>
        <v>0</v>
      </c>
      <c r="AC13" s="3" t="str">
        <f ca="1">'LV0000111698'!Z3</f>
        <v/>
      </c>
    </row>
    <row r="14" spans="1:29" x14ac:dyDescent="0.25">
      <c r="A14" s="2">
        <v>12</v>
      </c>
      <c r="B14" s="6">
        <f>'LV0000111847'!B9</f>
        <v>46186</v>
      </c>
      <c r="C14" s="22" t="str">
        <f>'LV0000111847'!B1</f>
        <v>LV0000111847</v>
      </c>
      <c r="D14" s="2" t="str">
        <f>'LV0000111847'!B2</f>
        <v>Latvia</v>
      </c>
      <c r="E14" s="2" t="str">
        <f>'LV0000111847'!B4</f>
        <v>Notes</v>
      </c>
      <c r="F14" s="2" t="str">
        <f>'LV0000111847'!B8</f>
        <v>0 m. 8 mėn. 21 d.</v>
      </c>
      <c r="G14" s="7">
        <f>'LV0000111847'!B15</f>
        <v>0.115</v>
      </c>
      <c r="H14" s="3">
        <f>'LV0000111847'!B16</f>
        <v>22.92</v>
      </c>
      <c r="I14" s="6">
        <f>'LV0000111847'!B11</f>
        <v>46452</v>
      </c>
      <c r="J14" s="6" t="str">
        <f>'LV0000111847'!O3</f>
        <v/>
      </c>
      <c r="K14" s="20">
        <f ca="1">'LV0000111847'!B12</f>
        <v>222</v>
      </c>
      <c r="L14" s="2" t="str">
        <f ca="1">'LV0000111847'!P3</f>
        <v/>
      </c>
      <c r="M14" s="3">
        <f>'LV0000111847'!K3</f>
        <v>0</v>
      </c>
      <c r="N14" s="3">
        <f>'LV0000111847'!L3</f>
        <v>0.12</v>
      </c>
      <c r="O14" s="3">
        <f>'LV0000111847'!M3</f>
        <v>0</v>
      </c>
      <c r="AC14" s="3" t="str">
        <f ca="1">'LV0000111847'!Z3</f>
        <v/>
      </c>
    </row>
    <row r="15" spans="1:29" x14ac:dyDescent="0.25">
      <c r="A15" s="2">
        <v>13</v>
      </c>
      <c r="B15" s="6">
        <f>'LV0000112340'!B9</f>
        <v>46205</v>
      </c>
      <c r="C15" s="22" t="str">
        <f>'LV0000112340'!B1</f>
        <v>LV0000112340</v>
      </c>
      <c r="D15" s="2" t="str">
        <f>'LV0000112340'!B2</f>
        <v>Latvia</v>
      </c>
      <c r="E15" s="2" t="str">
        <f>'LV0000112340'!B4</f>
        <v>Loans</v>
      </c>
      <c r="F15" s="2" t="str">
        <f>'LV0000112340'!B8</f>
        <v>0 m. 11 mėn. 27 d.</v>
      </c>
      <c r="G15" s="7">
        <f>'LV0000112340'!B15</f>
        <v>0.125</v>
      </c>
      <c r="H15" s="3">
        <f>'LV0000112340'!B16</f>
        <v>22.02</v>
      </c>
      <c r="I15" s="6">
        <f>'LV0000112340'!B11</f>
        <v>46567</v>
      </c>
      <c r="J15" s="6" t="str">
        <f>'LV0000112340'!O3</f>
        <v/>
      </c>
      <c r="K15" s="20">
        <f ca="1">'LV0000112340'!B12</f>
        <v>337</v>
      </c>
      <c r="L15" s="2" t="str">
        <f ca="1">'LV0000112340'!P3</f>
        <v/>
      </c>
      <c r="M15" s="3">
        <f>'LV0000112340'!K3</f>
        <v>0</v>
      </c>
      <c r="N15" s="3">
        <f>'LV0000112340'!L3</f>
        <v>0</v>
      </c>
      <c r="O15" s="3">
        <f>'LV0000112340'!M3</f>
        <v>0</v>
      </c>
      <c r="AC15" s="3" t="str">
        <f ca="1">'LV0000112340'!Z3</f>
        <v/>
      </c>
    </row>
    <row r="16" spans="1:29" x14ac:dyDescent="0.25">
      <c r="A16" s="2">
        <v>14</v>
      </c>
      <c r="B16" s="6">
        <f>'LV0000112639'!B9</f>
        <v>46217</v>
      </c>
      <c r="C16" s="22" t="str">
        <f>'LV0000112639'!B1</f>
        <v>LV0000112639</v>
      </c>
      <c r="D16" s="2" t="str">
        <f>'LV0000112639'!B2</f>
        <v>Latvia</v>
      </c>
      <c r="E16" s="2" t="str">
        <f>'LV0000112639'!B4</f>
        <v>Loans</v>
      </c>
      <c r="F16" s="2" t="str">
        <f>'LV0000112639'!B8</f>
        <v>0 m. 11 mėn. 29 d.</v>
      </c>
      <c r="G16" s="7">
        <f>'LV0000112639'!B15</f>
        <v>0.125</v>
      </c>
      <c r="H16" s="3">
        <f>'LV0000112639'!B16</f>
        <v>20</v>
      </c>
      <c r="I16" s="6">
        <f>'LV0000112639'!B11</f>
        <v>46581</v>
      </c>
      <c r="J16" s="6" t="str">
        <f>'LV0000112639'!O3</f>
        <v/>
      </c>
      <c r="K16" s="20">
        <f ca="1">'LV0000112639'!B12</f>
        <v>351</v>
      </c>
      <c r="L16" s="2" t="str">
        <f ca="1">'LV0000112639'!P3</f>
        <v/>
      </c>
      <c r="M16" s="3">
        <f>'LV0000112639'!K3</f>
        <v>0</v>
      </c>
      <c r="N16" s="3">
        <f>'LV0000112639'!L3</f>
        <v>0</v>
      </c>
      <c r="O16" s="3">
        <f>'LV0000112639'!M3</f>
        <v>0</v>
      </c>
      <c r="AC16" s="3" t="str">
        <f ca="1">'LV0000112639'!Z3</f>
        <v/>
      </c>
    </row>
    <row r="17" spans="1:29" x14ac:dyDescent="0.25">
      <c r="A17" s="1"/>
      <c r="B17" s="1"/>
      <c r="C17" s="1"/>
      <c r="D17" s="2"/>
      <c r="E17" s="1"/>
      <c r="F17" s="1"/>
      <c r="G17" s="1"/>
      <c r="H17" s="1"/>
      <c r="I17" s="12"/>
      <c r="J17" s="12"/>
      <c r="K17" s="23"/>
      <c r="L17" s="2"/>
      <c r="M17" s="1"/>
      <c r="N17" s="1"/>
      <c r="O17" s="1"/>
      <c r="AC17" s="1"/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59" priority="21">
      <formula>$AC3="+"</formula>
    </cfRule>
    <cfRule type="expression" dxfId="58" priority="22">
      <formula>AND($M3&gt;0,$H3=$M3)</formula>
    </cfRule>
  </conditionalFormatting>
  <conditionalFormatting sqref="AC3:AC16">
    <cfRule type="expression" dxfId="57" priority="1">
      <formula>$AC3="+"</formula>
    </cfRule>
  </conditionalFormatting>
  <conditionalFormatting sqref="AC3:AC27">
    <cfRule type="expression" dxfId="56" priority="2">
      <formula>AND($M3&gt;0,$H3=$M3)</formula>
    </cfRule>
  </conditionalFormatting>
  <hyperlinks>
    <hyperlink ref="C3" location="'LV0000106516'!A1" display="'LV0000106516'!A1" xr:uid="{7329909C-F19E-4640-894E-51775A131A99}"/>
    <hyperlink ref="C5" location="'LV0000107902'!A1" display="'LV0000107902'!A1" xr:uid="{3B7116FB-B652-4385-B286-F9A5AB73D4DB}"/>
    <hyperlink ref="C6" location="'LV0000107886'!A1" display="'LV0000107886'!A1" xr:uid="{3AB657A3-716E-45ED-96B7-597EF9B3AE95}"/>
    <hyperlink ref="C7" location="'LV0000108736'!A1" display="'LV0000108736'!A1" xr:uid="{F2A67312-470B-44C3-8AA7-F5B222150E97}"/>
    <hyperlink ref="C8" location="'LV0000109064'!A1" display="'LV0000109064'!A1" xr:uid="{40B22990-31D1-4BCD-8B04-DB7C52E89E0A}"/>
    <hyperlink ref="C9" location="'LV0000110047'!A1" display="'LV0000110047'!A1" xr:uid="{D3599CC8-DF2D-4F48-9AFC-E9D80B732E48}"/>
    <hyperlink ref="C10" location="'LV0000110328'!A1" display="'LV0000110328'!A1" xr:uid="{9FE15C8A-6944-40D3-A26F-4444C6B3912C}"/>
    <hyperlink ref="C11" location="'LV0000111102'!A1" display="'LV0000111102'!A1" xr:uid="{FBC2B6B2-F28B-424F-BD9A-283881D31265}"/>
    <hyperlink ref="C12" location="'LV0000111060'!A1" display="'LV0000111060'!A1" xr:uid="{9AB97591-EA05-4953-B78E-52F2E21B9C59}"/>
    <hyperlink ref="C4" location="'LV0000106920'!A1" display="'LV0000106920'!A1" xr:uid="{F1773417-03F0-4F67-B86C-87D43DD78223}"/>
    <hyperlink ref="C13" location="'LV0000111698'!A1" display="'LV0000111698'!A1" xr:uid="{548013DB-6A8B-4E61-A981-967DC90470E7}"/>
    <hyperlink ref="C14" location="'LV0000111847'!A1" display="'LV0000111847'!A1" xr:uid="{B9D73432-CA85-4740-B173-BABBABA5F72F}"/>
    <hyperlink ref="C15" location="'LV0000112340'!A1" display="'LV0000112340'!A1" xr:uid="{B735E935-BB57-4D32-830D-91A0AE87CC0C}"/>
    <hyperlink ref="C16" location="'LV0000112340'!A1" display="'LV0000112340'!A1" xr:uid="{90B0DC3A-A102-4740-81BC-6E1A14229BD2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abSelected="1" workbookViewId="0">
      <selection activeCell="K201" sqref="K201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40</v>
      </c>
    </row>
    <row r="2" spans="1:11" x14ac:dyDescent="0.25">
      <c r="A2" s="6">
        <v>45922</v>
      </c>
      <c r="B2" s="3">
        <v>50</v>
      </c>
      <c r="C2" s="3">
        <v>0</v>
      </c>
      <c r="D2" s="3">
        <v>0</v>
      </c>
      <c r="F2" s="3">
        <f>SUM(B2:B35)</f>
        <v>240</v>
      </c>
      <c r="G2" s="3">
        <f>SUM(C2:C35)</f>
        <v>0</v>
      </c>
      <c r="H2" s="3">
        <f>SUM(D2:D35)</f>
        <v>0.89</v>
      </c>
      <c r="I2" s="3">
        <f>F2-G2</f>
        <v>240</v>
      </c>
      <c r="K2" s="3">
        <f t="shared" ref="K2:K12" si="0">B2*-1</f>
        <v>-50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si="0"/>
        <v>-50</v>
      </c>
    </row>
    <row r="4" spans="1:11" x14ac:dyDescent="0.25">
      <c r="A4" s="6">
        <v>46006</v>
      </c>
      <c r="B4" s="3">
        <v>20</v>
      </c>
      <c r="C4" s="3">
        <v>0</v>
      </c>
      <c r="D4" s="3">
        <v>0</v>
      </c>
      <c r="K4" s="3">
        <f t="shared" si="0"/>
        <v>-20</v>
      </c>
    </row>
    <row r="5" spans="1:11" x14ac:dyDescent="0.25">
      <c r="A5" s="6">
        <v>46024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46064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46128</v>
      </c>
      <c r="B7" s="3">
        <v>20</v>
      </c>
      <c r="C7" s="3">
        <v>0</v>
      </c>
      <c r="D7" s="3">
        <v>0.34</v>
      </c>
      <c r="K7" s="3">
        <f t="shared" si="0"/>
        <v>-20</v>
      </c>
    </row>
    <row r="8" spans="1:11" x14ac:dyDescent="0.25">
      <c r="A8" s="6">
        <v>46144</v>
      </c>
      <c r="B8" s="3">
        <v>20</v>
      </c>
      <c r="C8" s="3">
        <v>0</v>
      </c>
      <c r="D8" s="3">
        <v>0</v>
      </c>
      <c r="K8" s="3">
        <f t="shared" si="0"/>
        <v>-20</v>
      </c>
    </row>
    <row r="9" spans="1:11" x14ac:dyDescent="0.25">
      <c r="A9" s="6">
        <v>46147</v>
      </c>
      <c r="B9" s="3">
        <v>0</v>
      </c>
      <c r="C9" s="3">
        <v>0</v>
      </c>
      <c r="D9" s="3">
        <v>0.15</v>
      </c>
      <c r="K9" s="3">
        <f t="shared" si="0"/>
        <v>0</v>
      </c>
    </row>
    <row r="10" spans="1:11" x14ac:dyDescent="0.25">
      <c r="A10" s="6">
        <v>46169</v>
      </c>
      <c r="B10" s="3">
        <v>0</v>
      </c>
      <c r="C10" s="3">
        <v>0</v>
      </c>
      <c r="D10" s="3">
        <v>0.4</v>
      </c>
      <c r="K10" s="3">
        <f t="shared" si="0"/>
        <v>0</v>
      </c>
    </row>
    <row r="11" spans="1:11" x14ac:dyDescent="0.25">
      <c r="A11" s="6">
        <v>46205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46217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46230</v>
      </c>
      <c r="B200" s="1"/>
      <c r="C200" s="1"/>
      <c r="D200" s="1"/>
      <c r="K200" s="3">
        <f>Overview!W3</f>
        <v>253.25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9371-01E4-44C5-B1C3-D248C92A6B32}">
  <dimension ref="A1:Z53"/>
  <sheetViews>
    <sheetView workbookViewId="0">
      <selection activeCell="E14" sqref="E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46217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43</v>
      </c>
      <c r="B5" s="2" t="s">
        <v>76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46214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46581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351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181EE-D5B3-466D-8952-127372E3C73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73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46205</v>
      </c>
      <c r="Y3" s="3">
        <f>B16*-1</f>
        <v>-22.02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43</v>
      </c>
      <c r="B5" s="2" t="s">
        <v>74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46205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46203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46567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337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22.02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A3639-8ED4-49FC-A638-3EE50E456BE1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46203</v>
      </c>
      <c r="E3" s="13">
        <v>46203</v>
      </c>
      <c r="F3" s="20">
        <f>IF(E3&gt;0,E3-D3,"")</f>
        <v>0</v>
      </c>
      <c r="G3" s="3">
        <v>0</v>
      </c>
      <c r="H3" s="3">
        <v>0.12</v>
      </c>
      <c r="I3" s="3">
        <v>0</v>
      </c>
      <c r="J3" s="15"/>
      <c r="K3" s="3">
        <f>G53</f>
        <v>0</v>
      </c>
      <c r="L3" s="3">
        <f>H53</f>
        <v>0.12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46186</v>
      </c>
      <c r="Y3" s="3">
        <f>B16*-1</f>
        <v>-22.92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46203</v>
      </c>
      <c r="Y4" s="3">
        <f>G3+H3-I3</f>
        <v>0.12</v>
      </c>
    </row>
    <row r="5" spans="1:26" x14ac:dyDescent="0.25">
      <c r="A5" s="5" t="s">
        <v>43</v>
      </c>
      <c r="B5" s="2" t="s">
        <v>72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21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46186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46170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46452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222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22.92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41E5F-C38A-4FC0-99B3-68CD33C3421B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69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0.01</v>
      </c>
      <c r="I3" s="3">
        <v>0</v>
      </c>
      <c r="J3" s="15"/>
      <c r="K3" s="3">
        <f>G53</f>
        <v>0</v>
      </c>
      <c r="L3" s="3">
        <f>H53</f>
        <v>0.3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46169</v>
      </c>
      <c r="Y3" s="3">
        <f>B16*-1</f>
        <v>-30.48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2">
        <v>0.28999999999999998</v>
      </c>
      <c r="I4" s="3">
        <v>0</v>
      </c>
      <c r="J4" s="9"/>
      <c r="X4" s="6">
        <f>E3</f>
        <v>46171</v>
      </c>
      <c r="Y4" s="3">
        <f>G3+H3-I3</f>
        <v>0.01</v>
      </c>
    </row>
    <row r="5" spans="1:26" x14ac:dyDescent="0.25">
      <c r="A5" s="5" t="s">
        <v>43</v>
      </c>
      <c r="B5" s="2" t="s">
        <v>70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46203</v>
      </c>
      <c r="Y5" s="3">
        <f t="shared" ref="Y5:Y52" si="2">G4+H4-I4</f>
        <v>0.28999999999999998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24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46169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46438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208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30.48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E0CD-BB32-4316-A11E-B1A27ED36E9F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67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0.35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46147</v>
      </c>
      <c r="Y3" s="3">
        <f>B16*-1</f>
        <v>-21.75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46171</v>
      </c>
      <c r="Y4" s="3">
        <f>G3+H3-I3</f>
        <v>0.15</v>
      </c>
    </row>
    <row r="5" spans="1:26" x14ac:dyDescent="0.25">
      <c r="A5" s="5" t="s">
        <v>43</v>
      </c>
      <c r="B5" s="2" t="s">
        <v>58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46203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168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21.75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0.35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11">
      <formula>$Z$3="+"</formula>
    </cfRule>
  </conditionalFormatting>
  <conditionalFormatting sqref="Z3">
    <cfRule type="expression" dxfId="36" priority="12">
      <formula>$Z$3="+"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F530F-70D3-4179-810B-A748738D37FC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51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46142</v>
      </c>
      <c r="E3" s="13">
        <v>46142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0.54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46128</v>
      </c>
      <c r="Y3" s="3">
        <f>B16*-1</f>
        <v>-21.84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46171</v>
      </c>
      <c r="E4" s="13">
        <v>46171</v>
      </c>
      <c r="F4" s="20">
        <f>IF(E4&gt;0,E4-D4,"")</f>
        <v>0</v>
      </c>
      <c r="G4" s="3">
        <v>0</v>
      </c>
      <c r="H4" s="2">
        <v>0.21</v>
      </c>
      <c r="I4" s="3">
        <v>0</v>
      </c>
      <c r="J4" s="9"/>
      <c r="X4" s="6">
        <f>E3</f>
        <v>46142</v>
      </c>
      <c r="Y4" s="3">
        <f>G3+H3-I3</f>
        <v>0.1</v>
      </c>
    </row>
    <row r="5" spans="1:26" x14ac:dyDescent="0.25">
      <c r="A5" s="5" t="s">
        <v>43</v>
      </c>
      <c r="B5" s="2" t="s">
        <v>52</v>
      </c>
      <c r="D5" s="13">
        <v>46203</v>
      </c>
      <c r="E5" s="13">
        <v>46203</v>
      </c>
      <c r="F5" s="20">
        <f t="shared" ref="F5:F52" si="0">IF(E5&gt;0,E5-D5,"")</f>
        <v>0</v>
      </c>
      <c r="G5" s="3">
        <v>0</v>
      </c>
      <c r="H5" s="3">
        <v>0.23</v>
      </c>
      <c r="I5" s="3">
        <v>0</v>
      </c>
      <c r="J5" s="9"/>
      <c r="X5" s="6">
        <f t="shared" ref="X5:X52" si="1">E4</f>
        <v>46171</v>
      </c>
      <c r="Y5" s="3">
        <f t="shared" ref="Y5:Y52" si="2">G4+H4-I4</f>
        <v>0.21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46203</v>
      </c>
      <c r="Y6" s="3">
        <f t="shared" si="2"/>
        <v>0.23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1 m. 0 mėn. 12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46128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46125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46505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275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0.54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9">
      <formula>$Z$3="+"</formula>
    </cfRule>
  </conditionalFormatting>
  <conditionalFormatting sqref="Z3">
    <cfRule type="expression" dxfId="32" priority="10">
      <formula>$Z$3="+"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6F67-985C-4768-BD4D-EDE383AEA945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46112</v>
      </c>
      <c r="E3" s="13">
        <v>46112</v>
      </c>
      <c r="F3" s="20">
        <f>IF(E3&gt;0,E3-D3,"")</f>
        <v>0</v>
      </c>
      <c r="G3" s="3">
        <v>0</v>
      </c>
      <c r="H3" s="3">
        <v>0.19</v>
      </c>
      <c r="I3" s="3">
        <v>0</v>
      </c>
      <c r="J3" s="15"/>
      <c r="K3" s="3">
        <f>G53</f>
        <v>0</v>
      </c>
      <c r="L3" s="3">
        <f>H53</f>
        <v>0.78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46083</v>
      </c>
      <c r="Y3" s="3">
        <f>B16*-1</f>
        <v>-21.8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46142</v>
      </c>
      <c r="E4" s="13">
        <v>46142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46112</v>
      </c>
      <c r="Y4" s="3">
        <f>G3+H3-I3</f>
        <v>0.19</v>
      </c>
    </row>
    <row r="5" spans="1:26" x14ac:dyDescent="0.25">
      <c r="A5" s="5" t="s">
        <v>43</v>
      </c>
      <c r="B5" s="2" t="s">
        <v>50</v>
      </c>
      <c r="D5" s="13">
        <v>46171</v>
      </c>
      <c r="E5" s="13">
        <v>46171</v>
      </c>
      <c r="F5" s="20">
        <f t="shared" ref="F5:F52" si="0">IF(E5&gt;0,E5-D5,"")</f>
        <v>0</v>
      </c>
      <c r="G5" s="3">
        <v>0</v>
      </c>
      <c r="H5" s="3">
        <v>0.19</v>
      </c>
      <c r="I5" s="3">
        <v>0</v>
      </c>
      <c r="J5" s="9"/>
      <c r="X5" s="6">
        <f t="shared" ref="X5:X52" si="1">E4</f>
        <v>46142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46203</v>
      </c>
      <c r="E6" s="13">
        <v>46203</v>
      </c>
      <c r="F6" s="20">
        <f t="shared" si="0"/>
        <v>0</v>
      </c>
      <c r="G6" s="3">
        <v>0</v>
      </c>
      <c r="H6" s="3">
        <v>0.21</v>
      </c>
      <c r="I6" s="3">
        <v>0</v>
      </c>
      <c r="J6" s="9"/>
      <c r="X6" s="6">
        <f t="shared" si="1"/>
        <v>46171</v>
      </c>
      <c r="Y6" s="3">
        <f t="shared" si="2"/>
        <v>0.19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46203</v>
      </c>
      <c r="Y7" s="3">
        <f t="shared" si="2"/>
        <v>0.21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46083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46077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46273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43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0.78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85DF-B0F2-44DE-8D3A-4838A53EDA3D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46081</v>
      </c>
      <c r="E3" s="13">
        <v>46081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0.8600000000000001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46064</v>
      </c>
      <c r="Y3" s="3">
        <f>B16*-1</f>
        <v>-21.43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46112</v>
      </c>
      <c r="E4" s="13">
        <v>46112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46081</v>
      </c>
      <c r="Y4" s="3">
        <f>G3+H3-I3</f>
        <v>0.1</v>
      </c>
    </row>
    <row r="5" spans="1:26" x14ac:dyDescent="0.25">
      <c r="A5" s="5" t="s">
        <v>43</v>
      </c>
      <c r="B5" s="2" t="s">
        <v>49</v>
      </c>
      <c r="D5" s="13">
        <v>46142</v>
      </c>
      <c r="E5" s="13">
        <v>46142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46112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34</v>
      </c>
      <c r="D6" s="13">
        <v>46171</v>
      </c>
      <c r="E6" s="13">
        <v>46171</v>
      </c>
      <c r="F6" s="20">
        <f t="shared" si="0"/>
        <v>0</v>
      </c>
      <c r="G6" s="3">
        <v>0</v>
      </c>
      <c r="H6" s="3">
        <v>0.18</v>
      </c>
      <c r="I6" s="3">
        <v>0</v>
      </c>
      <c r="J6" s="9"/>
      <c r="X6" s="6">
        <f t="shared" si="1"/>
        <v>46142</v>
      </c>
      <c r="Y6" s="3">
        <f t="shared" si="2"/>
        <v>0.18</v>
      </c>
    </row>
    <row r="7" spans="1:26" x14ac:dyDescent="0.25">
      <c r="A7" s="5"/>
      <c r="B7" s="6"/>
      <c r="D7" s="13">
        <v>46203</v>
      </c>
      <c r="E7" s="13">
        <v>46203</v>
      </c>
      <c r="F7" s="20">
        <f t="shared" si="0"/>
        <v>0</v>
      </c>
      <c r="G7" s="3">
        <v>0</v>
      </c>
      <c r="H7" s="3">
        <v>0.2</v>
      </c>
      <c r="I7" s="3">
        <v>0</v>
      </c>
      <c r="J7" s="15"/>
      <c r="X7" s="6">
        <f t="shared" si="1"/>
        <v>46171</v>
      </c>
      <c r="Y7" s="3">
        <f t="shared" si="2"/>
        <v>0.18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46203</v>
      </c>
      <c r="Y8" s="3">
        <f t="shared" si="2"/>
        <v>0.2</v>
      </c>
    </row>
    <row r="9" spans="1:26" x14ac:dyDescent="0.25">
      <c r="A9" s="5" t="s">
        <v>9</v>
      </c>
      <c r="B9" s="6">
        <v>46064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46084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46420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190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21.43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0.8600000000000001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E8D-71CD-4B37-8927-10E7D3C24754}">
  <dimension ref="A1:Z53"/>
  <sheetViews>
    <sheetView workbookViewId="0">
      <selection activeCell="O3" sqref="O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29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46053</v>
      </c>
      <c r="E3" s="13">
        <v>46053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1.1299999999999999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46029</v>
      </c>
      <c r="Y3" s="3">
        <f>B16*-1</f>
        <v>-21.01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46081</v>
      </c>
      <c r="E4" s="13">
        <v>46081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46053</v>
      </c>
      <c r="Y4" s="3">
        <f>G3+H3-I3</f>
        <v>0.15</v>
      </c>
    </row>
    <row r="5" spans="1:26" x14ac:dyDescent="0.25">
      <c r="A5" s="5" t="s">
        <v>43</v>
      </c>
      <c r="B5" s="2" t="s">
        <v>48</v>
      </c>
      <c r="D5" s="13">
        <v>46112</v>
      </c>
      <c r="E5" s="13">
        <v>46112</v>
      </c>
      <c r="F5" s="20">
        <f t="shared" ref="F5:F52" si="0">IF(E5&gt;0,E5-D5,"")</f>
        <v>0</v>
      </c>
      <c r="G5" s="3">
        <v>0</v>
      </c>
      <c r="H5" s="3">
        <v>0.21</v>
      </c>
      <c r="I5" s="3">
        <v>0</v>
      </c>
      <c r="J5" s="9"/>
      <c r="X5" s="6">
        <f t="shared" ref="X5:X52" si="1">E4</f>
        <v>46081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33</v>
      </c>
      <c r="D6" s="13">
        <v>46142</v>
      </c>
      <c r="E6" s="13">
        <v>46142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46112</v>
      </c>
      <c r="Y6" s="3">
        <f t="shared" si="2"/>
        <v>0.21</v>
      </c>
    </row>
    <row r="7" spans="1:26" x14ac:dyDescent="0.25">
      <c r="A7" s="5"/>
      <c r="B7" s="6"/>
      <c r="D7" s="13">
        <v>46171</v>
      </c>
      <c r="E7" s="13">
        <v>46171</v>
      </c>
      <c r="F7" s="20">
        <f t="shared" si="0"/>
        <v>0</v>
      </c>
      <c r="G7" s="3">
        <v>0</v>
      </c>
      <c r="H7" s="3">
        <v>0.19</v>
      </c>
      <c r="I7" s="3">
        <v>0</v>
      </c>
      <c r="J7" s="15"/>
      <c r="X7" s="6">
        <f t="shared" si="1"/>
        <v>46142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21 d.</v>
      </c>
      <c r="D8" s="13">
        <v>46203</v>
      </c>
      <c r="E8" s="13">
        <v>46203</v>
      </c>
      <c r="F8" s="20">
        <f t="shared" si="0"/>
        <v>0</v>
      </c>
      <c r="G8" s="3">
        <v>0</v>
      </c>
      <c r="H8" s="3">
        <v>0.21</v>
      </c>
      <c r="I8" s="3">
        <v>0</v>
      </c>
      <c r="J8" s="9"/>
      <c r="X8" s="6">
        <f t="shared" si="1"/>
        <v>46171</v>
      </c>
      <c r="Y8" s="3">
        <f t="shared" si="2"/>
        <v>0.19</v>
      </c>
    </row>
    <row r="9" spans="1:26" x14ac:dyDescent="0.25">
      <c r="A9" s="5" t="s">
        <v>9</v>
      </c>
      <c r="B9" s="6">
        <v>46029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46203</v>
      </c>
      <c r="Y9" s="3">
        <f t="shared" si="2"/>
        <v>0.21</v>
      </c>
    </row>
    <row r="10" spans="1:26" x14ac:dyDescent="0.25">
      <c r="A10" s="5" t="s">
        <v>62</v>
      </c>
      <c r="B10" s="6">
        <v>46013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154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21.01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1.1299999999999999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46022</v>
      </c>
      <c r="E3" s="13">
        <v>46022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20.99</v>
      </c>
      <c r="L3" s="3">
        <f>H53</f>
        <v>1.1400000000000001</v>
      </c>
      <c r="M3" s="3">
        <f>I53</f>
        <v>0</v>
      </c>
      <c r="N3" s="7">
        <f>IF(B16=K3,XIRR(Y3:Y52,X3:X52),"")</f>
        <v>0.11731390357017515</v>
      </c>
      <c r="O3" s="6">
        <v>46185</v>
      </c>
      <c r="P3" s="2" t="str">
        <f ca="1">IF(Z3="+",TODAY()-B11,"")</f>
        <v/>
      </c>
      <c r="Q3" s="2">
        <f>IF(B16=K3,MAX(E:E)-B11,"")</f>
        <v>1</v>
      </c>
      <c r="T3" s="14"/>
      <c r="X3" s="6">
        <f>B9</f>
        <v>46007</v>
      </c>
      <c r="Y3" s="3">
        <f>B16*-1</f>
        <v>-20.99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46053</v>
      </c>
      <c r="E4" s="13">
        <v>46053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46022</v>
      </c>
      <c r="Y4" s="3">
        <f>G3+H3-I3</f>
        <v>0.1</v>
      </c>
    </row>
    <row r="5" spans="1:26" x14ac:dyDescent="0.25">
      <c r="A5" s="5" t="s">
        <v>43</v>
      </c>
      <c r="B5" s="2" t="s">
        <v>47</v>
      </c>
      <c r="D5" s="13">
        <v>46081</v>
      </c>
      <c r="E5" s="13">
        <v>46081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46053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>
        <v>46112</v>
      </c>
      <c r="E6" s="13">
        <v>46112</v>
      </c>
      <c r="F6" s="20">
        <f t="shared" si="0"/>
        <v>0</v>
      </c>
      <c r="G6" s="3">
        <v>0</v>
      </c>
      <c r="H6" s="3">
        <v>0.2</v>
      </c>
      <c r="I6" s="3">
        <v>0</v>
      </c>
      <c r="J6" s="9"/>
      <c r="X6" s="6">
        <f t="shared" si="1"/>
        <v>46081</v>
      </c>
      <c r="Y6" s="3">
        <f t="shared" si="2"/>
        <v>0.18</v>
      </c>
    </row>
    <row r="7" spans="1:26" x14ac:dyDescent="0.25">
      <c r="A7" s="5"/>
      <c r="B7" s="6"/>
      <c r="D7" s="13">
        <v>46142</v>
      </c>
      <c r="E7" s="13">
        <v>46142</v>
      </c>
      <c r="F7" s="20">
        <f t="shared" si="0"/>
        <v>0</v>
      </c>
      <c r="G7" s="3">
        <v>0</v>
      </c>
      <c r="H7" s="3">
        <v>0.18</v>
      </c>
      <c r="I7" s="3">
        <v>0</v>
      </c>
      <c r="J7" s="15"/>
      <c r="X7" s="6">
        <f t="shared" si="1"/>
        <v>46112</v>
      </c>
      <c r="Y7" s="3">
        <f t="shared" si="2"/>
        <v>0.2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5 mėn. 26 d.</v>
      </c>
      <c r="D8" s="13">
        <v>46171</v>
      </c>
      <c r="E8" s="13">
        <v>46171</v>
      </c>
      <c r="F8" s="20">
        <f t="shared" si="0"/>
        <v>0</v>
      </c>
      <c r="G8" s="3">
        <v>0</v>
      </c>
      <c r="H8" s="3">
        <v>0.2</v>
      </c>
      <c r="I8" s="3">
        <v>0</v>
      </c>
      <c r="J8" s="9"/>
      <c r="X8" s="6">
        <f t="shared" si="1"/>
        <v>46142</v>
      </c>
      <c r="Y8" s="3">
        <f t="shared" si="2"/>
        <v>0.18</v>
      </c>
    </row>
    <row r="9" spans="1:26" x14ac:dyDescent="0.25">
      <c r="A9" s="5" t="s">
        <v>9</v>
      </c>
      <c r="B9" s="6">
        <v>46007</v>
      </c>
      <c r="D9" s="13">
        <v>46184</v>
      </c>
      <c r="E9" s="13">
        <v>46185</v>
      </c>
      <c r="F9" s="20">
        <f t="shared" si="0"/>
        <v>1</v>
      </c>
      <c r="G9" s="3">
        <v>20.99</v>
      </c>
      <c r="H9" s="3">
        <v>0.08</v>
      </c>
      <c r="I9" s="3">
        <v>0</v>
      </c>
      <c r="J9" s="15"/>
      <c r="X9" s="6">
        <f t="shared" si="1"/>
        <v>46171</v>
      </c>
      <c r="Y9" s="3">
        <f t="shared" si="2"/>
        <v>0.2</v>
      </c>
    </row>
    <row r="10" spans="1:26" x14ac:dyDescent="0.25">
      <c r="A10" s="5" t="s">
        <v>62</v>
      </c>
      <c r="B10" s="6">
        <v>46001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46185</v>
      </c>
      <c r="Y10" s="3">
        <f t="shared" si="2"/>
        <v>21.069999999999997</v>
      </c>
    </row>
    <row r="11" spans="1:26" x14ac:dyDescent="0.25">
      <c r="A11" s="5" t="s">
        <v>8</v>
      </c>
      <c r="B11" s="6">
        <v>46184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20.99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20.99</v>
      </c>
      <c r="H53" s="3">
        <f t="shared" ref="H53:I53" si="3">SUM(H3:H52)</f>
        <v>1.1400000000000001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0.11</v>
      </c>
      <c r="I3" s="3">
        <v>0</v>
      </c>
      <c r="J3" s="15"/>
      <c r="K3" s="3">
        <f>G53</f>
        <v>20.64</v>
      </c>
      <c r="L3" s="3">
        <f>H53</f>
        <v>0.66</v>
      </c>
      <c r="M3" s="3">
        <f>I53</f>
        <v>0</v>
      </c>
      <c r="N3" s="7">
        <f>IF(B16=K3,XIRR(Y3:Y52,X3:X52),"")</f>
        <v>0.11148106455802917</v>
      </c>
      <c r="O3" s="6">
        <f>IF(B16=K3,MAX(E:E),"")</f>
        <v>46083</v>
      </c>
      <c r="P3" s="2" t="str">
        <f ca="1">IF(Z3="+",TODAY()-B11,"")</f>
        <v/>
      </c>
      <c r="Q3" s="2">
        <f>IF(B16=K3,MAX(E:E)-B11,"")</f>
        <v>-1</v>
      </c>
      <c r="T3" s="14"/>
      <c r="X3" s="6">
        <f>B9</f>
        <v>45973</v>
      </c>
      <c r="Y3" s="3">
        <f>B16*-1</f>
        <v>-20.64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45991</v>
      </c>
      <c r="Y4" s="3">
        <f>G3+H3-I3</f>
        <v>0.11</v>
      </c>
    </row>
    <row r="5" spans="1:26" x14ac:dyDescent="0.25">
      <c r="A5" s="5" t="s">
        <v>43</v>
      </c>
      <c r="B5" s="2" t="s">
        <v>46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0.17</v>
      </c>
      <c r="I6" s="3">
        <v>0</v>
      </c>
      <c r="J6" s="9"/>
      <c r="X6" s="6">
        <f t="shared" si="1"/>
        <v>46053</v>
      </c>
      <c r="Y6" s="3">
        <f t="shared" si="2"/>
        <v>0.18</v>
      </c>
    </row>
    <row r="7" spans="1:26" x14ac:dyDescent="0.25">
      <c r="A7" s="5"/>
      <c r="B7" s="6"/>
      <c r="D7" s="13">
        <v>46083</v>
      </c>
      <c r="E7" s="13">
        <v>46083</v>
      </c>
      <c r="F7" s="20">
        <f t="shared" si="0"/>
        <v>0</v>
      </c>
      <c r="G7" s="3">
        <v>20.64</v>
      </c>
      <c r="H7" s="3">
        <v>0.01</v>
      </c>
      <c r="I7" s="3">
        <v>0</v>
      </c>
      <c r="J7" s="15"/>
      <c r="X7" s="6">
        <f t="shared" si="1"/>
        <v>46081</v>
      </c>
      <c r="Y7" s="3">
        <f t="shared" si="2"/>
        <v>0.17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3 mėn. 19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46083</v>
      </c>
      <c r="Y8" s="3">
        <f t="shared" si="2"/>
        <v>20.650000000000002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45964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0.104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20.64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20.64</v>
      </c>
      <c r="H53" s="3">
        <f t="shared" ref="H53:I53" si="3">SUM(H3:H52)</f>
        <v>0.66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3">
      <formula>$Z$3="+"</formula>
    </cfRule>
  </conditionalFormatting>
  <conditionalFormatting sqref="Z3">
    <cfRule type="expression" dxfId="12" priority="14">
      <formula>$Z$3="+"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dimension ref="A1:Z53"/>
  <sheetViews>
    <sheetView workbookViewId="0">
      <selection activeCell="P10" sqref="P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0.18</v>
      </c>
      <c r="I3" s="3">
        <v>0</v>
      </c>
      <c r="J3" s="15"/>
      <c r="K3" s="3">
        <f>G53</f>
        <v>30</v>
      </c>
      <c r="L3" s="3">
        <f>H53</f>
        <v>1.81</v>
      </c>
      <c r="M3" s="3">
        <f>I53</f>
        <v>0</v>
      </c>
      <c r="N3" s="7">
        <f>IF(B16=K3,XIRR(Y3:Y52,X3:X52),"")</f>
        <v>0.11838628649711608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0</v>
      </c>
      <c r="T3" s="14"/>
      <c r="X3" s="6">
        <f>B9</f>
        <v>45973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0.28000000000000003</v>
      </c>
      <c r="I4" s="3">
        <v>0</v>
      </c>
      <c r="J4" s="9"/>
      <c r="X4" s="6">
        <f>E3</f>
        <v>45991</v>
      </c>
      <c r="Y4" s="3">
        <f>G3+H3-I3</f>
        <v>0.18</v>
      </c>
    </row>
    <row r="5" spans="1:26" x14ac:dyDescent="0.25">
      <c r="A5" s="5" t="s">
        <v>43</v>
      </c>
      <c r="B5" s="2" t="s">
        <v>45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0.28999999999999998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0.28000000000000003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0.25</v>
      </c>
      <c r="I6" s="3">
        <v>0</v>
      </c>
      <c r="J6" s="9"/>
      <c r="X6" s="6">
        <f t="shared" si="1"/>
        <v>46053</v>
      </c>
      <c r="Y6" s="3">
        <f t="shared" si="2"/>
        <v>0.28999999999999998</v>
      </c>
    </row>
    <row r="7" spans="1:26" x14ac:dyDescent="0.25">
      <c r="A7" s="5"/>
      <c r="B7" s="6"/>
      <c r="D7" s="13">
        <v>46112</v>
      </c>
      <c r="E7" s="13">
        <v>46112</v>
      </c>
      <c r="F7" s="20">
        <f t="shared" si="0"/>
        <v>0</v>
      </c>
      <c r="G7" s="3">
        <v>0</v>
      </c>
      <c r="H7" s="3">
        <v>0.3</v>
      </c>
      <c r="I7" s="3">
        <v>0</v>
      </c>
      <c r="J7" s="15"/>
      <c r="X7" s="6">
        <f t="shared" si="1"/>
        <v>46081</v>
      </c>
      <c r="Y7" s="3">
        <f t="shared" si="2"/>
        <v>0.25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15 d.</v>
      </c>
      <c r="D8" s="13">
        <v>46142</v>
      </c>
      <c r="E8" s="13">
        <v>46142</v>
      </c>
      <c r="F8" s="20">
        <f t="shared" si="0"/>
        <v>0</v>
      </c>
      <c r="G8" s="3">
        <v>0</v>
      </c>
      <c r="H8" s="3">
        <v>0.25</v>
      </c>
      <c r="I8" s="3">
        <v>0</v>
      </c>
      <c r="J8" s="9"/>
      <c r="X8" s="6">
        <f t="shared" si="1"/>
        <v>46112</v>
      </c>
      <c r="Y8" s="3">
        <f t="shared" si="2"/>
        <v>0.3</v>
      </c>
    </row>
    <row r="9" spans="1:26" x14ac:dyDescent="0.25">
      <c r="A9" s="5" t="s">
        <v>9</v>
      </c>
      <c r="B9" s="6">
        <v>45973</v>
      </c>
      <c r="D9" s="13">
        <v>46169</v>
      </c>
      <c r="E9" s="13">
        <v>46169</v>
      </c>
      <c r="F9" s="20">
        <f t="shared" si="0"/>
        <v>0</v>
      </c>
      <c r="G9" s="3">
        <v>30</v>
      </c>
      <c r="H9" s="3">
        <v>0.26</v>
      </c>
      <c r="I9" s="3">
        <v>0</v>
      </c>
      <c r="J9" s="15"/>
      <c r="X9" s="6">
        <f t="shared" si="1"/>
        <v>46142</v>
      </c>
      <c r="Y9" s="3">
        <f t="shared" si="2"/>
        <v>0.25</v>
      </c>
    </row>
    <row r="10" spans="1:26" x14ac:dyDescent="0.25">
      <c r="A10" s="5" t="s">
        <v>62</v>
      </c>
      <c r="B10" s="6">
        <v>45966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46169</v>
      </c>
      <c r="Y10" s="3">
        <f t="shared" si="2"/>
        <v>30.26</v>
      </c>
    </row>
    <row r="11" spans="1:26" x14ac:dyDescent="0.25">
      <c r="A11" s="5" t="s">
        <v>8</v>
      </c>
      <c r="B11" s="6">
        <v>46169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30</v>
      </c>
      <c r="H53" s="3">
        <f t="shared" ref="H53:I53" si="3">SUM(H3:H52)</f>
        <v>1.81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1">
      <formula>$Z$3="+"</formula>
    </cfRule>
  </conditionalFormatting>
  <conditionalFormatting sqref="Z3">
    <cfRule type="expression" dxfId="8" priority="12">
      <formula>$Z$3="+"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16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3">
        <v>0.05</v>
      </c>
      <c r="I3" s="3">
        <v>0</v>
      </c>
      <c r="J3" s="15"/>
      <c r="K3" s="3">
        <f>G53</f>
        <v>0</v>
      </c>
      <c r="L3" s="3">
        <f>H53</f>
        <v>1.63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45930</v>
      </c>
      <c r="Y4" s="3">
        <f>G3+H3-I3</f>
        <v>0.05</v>
      </c>
    </row>
    <row r="5" spans="1:26" x14ac:dyDescent="0.25">
      <c r="A5" s="5" t="s">
        <v>43</v>
      </c>
      <c r="B5" s="2" t="s">
        <v>42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3">
        <v>0.16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34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45989</v>
      </c>
      <c r="Y6" s="3">
        <f t="shared" si="2"/>
        <v>0.16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3">
        <v>0.17</v>
      </c>
      <c r="I7" s="3">
        <v>0</v>
      </c>
      <c r="J7" s="15"/>
      <c r="X7" s="6">
        <f t="shared" si="1"/>
        <v>46022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3">
        <v>0.17</v>
      </c>
      <c r="I8" s="3">
        <v>0</v>
      </c>
      <c r="J8" s="9"/>
      <c r="X8" s="6">
        <f t="shared" si="1"/>
        <v>46052</v>
      </c>
      <c r="Y8" s="3">
        <f t="shared" si="2"/>
        <v>0.17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3">
        <v>0.18</v>
      </c>
      <c r="I9" s="3">
        <v>0</v>
      </c>
      <c r="J9" s="15"/>
      <c r="X9" s="6">
        <f t="shared" si="1"/>
        <v>46080</v>
      </c>
      <c r="Y9" s="3">
        <f t="shared" si="2"/>
        <v>0.17</v>
      </c>
    </row>
    <row r="10" spans="1:26" x14ac:dyDescent="0.25">
      <c r="A10" s="5" t="s">
        <v>62</v>
      </c>
      <c r="B10" s="6">
        <v>45918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0.17</v>
      </c>
      <c r="I10" s="3">
        <v>0</v>
      </c>
      <c r="J10" s="15"/>
      <c r="X10" s="6">
        <f t="shared" si="1"/>
        <v>46112</v>
      </c>
      <c r="Y10" s="3">
        <f t="shared" si="2"/>
        <v>0.18</v>
      </c>
    </row>
    <row r="11" spans="1:26" x14ac:dyDescent="0.25">
      <c r="A11" s="5" t="s">
        <v>8</v>
      </c>
      <c r="B11" s="6">
        <v>46286</v>
      </c>
      <c r="D11" s="13">
        <v>46171</v>
      </c>
      <c r="E11" s="6">
        <v>46171</v>
      </c>
      <c r="F11" s="20">
        <f t="shared" si="0"/>
        <v>0</v>
      </c>
      <c r="G11" s="3">
        <v>0</v>
      </c>
      <c r="H11" s="2">
        <v>0.16</v>
      </c>
      <c r="I11" s="3">
        <v>0</v>
      </c>
      <c r="J11" s="15"/>
      <c r="X11" s="6">
        <f t="shared" si="1"/>
        <v>46142</v>
      </c>
      <c r="Y11" s="3">
        <f t="shared" si="2"/>
        <v>0.17</v>
      </c>
    </row>
    <row r="12" spans="1:26" x14ac:dyDescent="0.25">
      <c r="A12" s="5" t="s">
        <v>63</v>
      </c>
      <c r="B12" s="20">
        <f ca="1">IF(B16&lt;&gt;K3,(TODAY()-B11)*-1,"")</f>
        <v>56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3">
        <v>0.2</v>
      </c>
      <c r="I12" s="3">
        <v>0</v>
      </c>
      <c r="J12" s="15"/>
      <c r="X12" s="6">
        <f t="shared" si="1"/>
        <v>46171</v>
      </c>
      <c r="Y12" s="3">
        <f t="shared" si="2"/>
        <v>0.16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46203</v>
      </c>
      <c r="Y13" s="3">
        <f t="shared" si="2"/>
        <v>0.2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1.63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14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2">
        <v>0.08</v>
      </c>
      <c r="I3" s="3">
        <v>0</v>
      </c>
      <c r="J3" s="15"/>
      <c r="K3" s="3">
        <f>G53</f>
        <v>0</v>
      </c>
      <c r="L3" s="3">
        <f>H53</f>
        <v>3.04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0.33</v>
      </c>
      <c r="I4" s="3">
        <v>0</v>
      </c>
      <c r="J4" s="9"/>
      <c r="X4" s="6">
        <f>E3</f>
        <v>45930</v>
      </c>
      <c r="Y4" s="3">
        <f>G3+H3-I3</f>
        <v>0.08</v>
      </c>
    </row>
    <row r="5" spans="1:26" x14ac:dyDescent="0.25">
      <c r="A5" s="5" t="s">
        <v>43</v>
      </c>
      <c r="B5" s="2" t="s">
        <v>44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2">
        <v>0.31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0.33</v>
      </c>
    </row>
    <row r="6" spans="1:26" x14ac:dyDescent="0.25">
      <c r="A6" s="16" t="s">
        <v>32</v>
      </c>
      <c r="B6" s="3" t="s">
        <v>33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2">
        <v>0.36</v>
      </c>
      <c r="I6" s="3">
        <v>0</v>
      </c>
      <c r="J6" s="9"/>
      <c r="X6" s="6">
        <f t="shared" si="1"/>
        <v>45989</v>
      </c>
      <c r="Y6" s="3">
        <f t="shared" si="2"/>
        <v>0.31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2">
        <v>0.32</v>
      </c>
      <c r="I7" s="3">
        <v>0</v>
      </c>
      <c r="J7" s="15"/>
      <c r="X7" s="6">
        <f t="shared" si="1"/>
        <v>46022</v>
      </c>
      <c r="Y7" s="3">
        <f t="shared" si="2"/>
        <v>0.36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2">
        <v>0.31</v>
      </c>
      <c r="I8" s="3">
        <v>0</v>
      </c>
      <c r="J8" s="9"/>
      <c r="X8" s="6">
        <f t="shared" si="1"/>
        <v>46052</v>
      </c>
      <c r="Y8" s="3">
        <f t="shared" si="2"/>
        <v>0.32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2">
        <v>0.34</v>
      </c>
      <c r="I9" s="3">
        <v>0</v>
      </c>
      <c r="J9" s="15"/>
      <c r="X9" s="6">
        <f t="shared" si="1"/>
        <v>46080</v>
      </c>
      <c r="Y9" s="3">
        <f t="shared" si="2"/>
        <v>0.31</v>
      </c>
    </row>
    <row r="10" spans="1:26" x14ac:dyDescent="0.25">
      <c r="A10" s="5" t="s">
        <v>62</v>
      </c>
      <c r="B10" s="6">
        <v>45896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0.32</v>
      </c>
      <c r="I10" s="3">
        <v>0</v>
      </c>
      <c r="J10" s="15"/>
      <c r="X10" s="6">
        <f t="shared" si="1"/>
        <v>46112</v>
      </c>
      <c r="Y10" s="3">
        <f t="shared" si="2"/>
        <v>0.34</v>
      </c>
    </row>
    <row r="11" spans="1:26" x14ac:dyDescent="0.25">
      <c r="A11" s="5" t="s">
        <v>8</v>
      </c>
      <c r="B11" s="6">
        <v>46279</v>
      </c>
      <c r="D11" s="13">
        <v>46171</v>
      </c>
      <c r="E11" s="6">
        <v>46171</v>
      </c>
      <c r="F11" s="20">
        <v>0</v>
      </c>
      <c r="G11" s="3">
        <v>0</v>
      </c>
      <c r="H11" s="2">
        <v>0.31</v>
      </c>
      <c r="I11" s="3">
        <v>0</v>
      </c>
      <c r="J11" s="15"/>
      <c r="X11" s="6">
        <f t="shared" si="1"/>
        <v>46142</v>
      </c>
      <c r="Y11" s="3">
        <f t="shared" si="2"/>
        <v>0.32</v>
      </c>
    </row>
    <row r="12" spans="1:26" x14ac:dyDescent="0.25">
      <c r="A12" s="5" t="s">
        <v>63</v>
      </c>
      <c r="B12" s="20">
        <f ca="1">IF(B16&lt;&gt;K3,(TODAY()-B11)*-1,"")</f>
        <v>49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2">
        <v>0.36</v>
      </c>
      <c r="I12" s="3">
        <v>0</v>
      </c>
      <c r="J12" s="15"/>
      <c r="X12" s="6">
        <f t="shared" si="1"/>
        <v>46171</v>
      </c>
      <c r="Y12" s="3">
        <f t="shared" si="2"/>
        <v>0.31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46203</v>
      </c>
      <c r="Y13" s="3">
        <f t="shared" si="2"/>
        <v>0.36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3.04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9">
      <formula>$Z$3="+"</formula>
    </cfRule>
  </conditionalFormatting>
  <conditionalFormatting sqref="Z3">
    <cfRule type="expression" dxfId="0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Overview</vt:lpstr>
      <vt:lpstr>Pinigai</vt:lpstr>
      <vt:lpstr>LV0000112639</vt:lpstr>
      <vt:lpstr>LV0000112340</vt:lpstr>
      <vt:lpstr>LV0000111847</vt:lpstr>
      <vt:lpstr>LV0000111698</vt:lpstr>
      <vt:lpstr>LV0000111060</vt:lpstr>
      <vt:lpstr>LV0000111102</vt:lpstr>
      <vt:lpstr>LV0000110328</vt:lpstr>
      <vt:lpstr>LV0000110047</vt:lpstr>
      <vt:lpstr>LV0000109064</vt:lpstr>
      <vt:lpstr>LV0000108736</vt:lpstr>
      <vt:lpstr>LV0000107886</vt:lpstr>
      <vt:lpstr>LV0000107902</vt:lpstr>
      <vt:lpstr>LV0000106920</vt:lpstr>
      <vt:lpstr>LV0000106516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2026-07-27T07:56:38Z</dcterms:modified>
</cp:coreProperties>
</file>