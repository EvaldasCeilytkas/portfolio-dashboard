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Debitum\"/>
    </mc:Choice>
  </mc:AlternateContent>
  <xr:revisionPtr revIDLastSave="0" documentId="13_ncr:1_{F655F3D7-B88A-491D-8EAE-3B831AC411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LV0000113298" sheetId="45" r:id="rId3"/>
    <sheet name="LV0000113207" sheetId="44" r:id="rId4"/>
    <sheet name="LV0000113389" sheetId="43" r:id="rId5"/>
    <sheet name="LV0000113066" sheetId="42" r:id="rId6"/>
    <sheet name="LV0000112365" sheetId="41" r:id="rId7"/>
    <sheet name="LV0000112548" sheetId="40" r:id="rId8"/>
    <sheet name="LV0000112639" sheetId="39" r:id="rId9"/>
    <sheet name="LV0000112340" sheetId="38" r:id="rId10"/>
    <sheet name="LV0000111847" sheetId="37" r:id="rId11"/>
    <sheet name="LV0000111698" sheetId="36" r:id="rId12"/>
    <sheet name="LV0000111060" sheetId="31" r:id="rId13"/>
    <sheet name="LV0000111102" sheetId="34" r:id="rId14"/>
    <sheet name="LV0000110328" sheetId="33" r:id="rId15"/>
    <sheet name="LV0000110047" sheetId="32" r:id="rId16"/>
    <sheet name="LV0000109064" sheetId="35" r:id="rId17"/>
    <sheet name="LV0000108736" sheetId="30" r:id="rId18"/>
    <sheet name="LV0000107886" sheetId="29" r:id="rId19"/>
    <sheet name="LV0000107902" sheetId="28" r:id="rId20"/>
    <sheet name="LV0000106920" sheetId="27" r:id="rId21"/>
    <sheet name="LV0000106516" sheetId="26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22" i="1"/>
  <c r="G22" i="1"/>
  <c r="F22" i="1"/>
  <c r="E22" i="1"/>
  <c r="D22" i="1"/>
  <c r="C22" i="1"/>
  <c r="B22" i="1"/>
  <c r="I53" i="45"/>
  <c r="M3" i="45" s="1"/>
  <c r="O22" i="1" s="1"/>
  <c r="H53" i="45"/>
  <c r="L3" i="45" s="1"/>
  <c r="N22" i="1" s="1"/>
  <c r="G53" i="45"/>
  <c r="Y52" i="45"/>
  <c r="X52" i="45"/>
  <c r="F52" i="45"/>
  <c r="Y51" i="45"/>
  <c r="X51" i="45"/>
  <c r="F51" i="45"/>
  <c r="Y50" i="45"/>
  <c r="X50" i="45"/>
  <c r="F50" i="45"/>
  <c r="Y49" i="45"/>
  <c r="X49" i="45"/>
  <c r="F49" i="45"/>
  <c r="Y48" i="45"/>
  <c r="X48" i="45"/>
  <c r="F48" i="45"/>
  <c r="Y47" i="45"/>
  <c r="X47" i="45"/>
  <c r="F47" i="45"/>
  <c r="Y46" i="45"/>
  <c r="X46" i="45"/>
  <c r="F46" i="45"/>
  <c r="Y45" i="45"/>
  <c r="X45" i="45"/>
  <c r="F45" i="45"/>
  <c r="Y44" i="45"/>
  <c r="X44" i="45"/>
  <c r="F44" i="45"/>
  <c r="Y43" i="45"/>
  <c r="X43" i="45"/>
  <c r="F43" i="45"/>
  <c r="Y42" i="45"/>
  <c r="X42" i="45"/>
  <c r="F42" i="45"/>
  <c r="Y41" i="45"/>
  <c r="X41" i="45"/>
  <c r="F41" i="45"/>
  <c r="Y40" i="45"/>
  <c r="X40" i="45"/>
  <c r="F40" i="45"/>
  <c r="Y39" i="45"/>
  <c r="X39" i="45"/>
  <c r="F39" i="45"/>
  <c r="Y38" i="45"/>
  <c r="X38" i="45"/>
  <c r="F38" i="45"/>
  <c r="Y37" i="45"/>
  <c r="X37" i="45"/>
  <c r="F37" i="45"/>
  <c r="Y36" i="45"/>
  <c r="X36" i="45"/>
  <c r="F36" i="45"/>
  <c r="Y35" i="45"/>
  <c r="X35" i="45"/>
  <c r="F35" i="45"/>
  <c r="Y34" i="45"/>
  <c r="X34" i="45"/>
  <c r="F34" i="45"/>
  <c r="Y33" i="45"/>
  <c r="X33" i="45"/>
  <c r="F33" i="45"/>
  <c r="Y32" i="45"/>
  <c r="X32" i="45"/>
  <c r="F32" i="45"/>
  <c r="Y31" i="45"/>
  <c r="X31" i="45"/>
  <c r="F31" i="45"/>
  <c r="Y30" i="45"/>
  <c r="X30" i="45"/>
  <c r="F30" i="45"/>
  <c r="Y29" i="45"/>
  <c r="X29" i="45"/>
  <c r="F29" i="45"/>
  <c r="Y28" i="45"/>
  <c r="X28" i="45"/>
  <c r="F28" i="45"/>
  <c r="Y27" i="45"/>
  <c r="X27" i="45"/>
  <c r="F27" i="45"/>
  <c r="Y26" i="45"/>
  <c r="X26" i="45"/>
  <c r="F26" i="45"/>
  <c r="Y25" i="45"/>
  <c r="X25" i="45"/>
  <c r="F25" i="45"/>
  <c r="Y24" i="45"/>
  <c r="X24" i="45"/>
  <c r="F24" i="45"/>
  <c r="Y23" i="45"/>
  <c r="X23" i="45"/>
  <c r="F23" i="45"/>
  <c r="Y22" i="45"/>
  <c r="X22" i="45"/>
  <c r="F22" i="45"/>
  <c r="Y21" i="45"/>
  <c r="X21" i="45"/>
  <c r="F21" i="45"/>
  <c r="Y20" i="45"/>
  <c r="X20" i="45"/>
  <c r="F20" i="45"/>
  <c r="Y19" i="45"/>
  <c r="X19" i="45"/>
  <c r="F19" i="45"/>
  <c r="Y18" i="45"/>
  <c r="X18" i="45"/>
  <c r="F18" i="45"/>
  <c r="Y17" i="45"/>
  <c r="X17" i="45"/>
  <c r="F17" i="45"/>
  <c r="Y16" i="45"/>
  <c r="X16" i="45"/>
  <c r="F16" i="45"/>
  <c r="Y15" i="45"/>
  <c r="X15" i="45"/>
  <c r="F15" i="45"/>
  <c r="Y14" i="45"/>
  <c r="X14" i="45"/>
  <c r="F14" i="45"/>
  <c r="Y13" i="45"/>
  <c r="X13" i="45"/>
  <c r="F13" i="45"/>
  <c r="Y12" i="45"/>
  <c r="X12" i="45"/>
  <c r="F12" i="45"/>
  <c r="Y11" i="45"/>
  <c r="X11" i="45"/>
  <c r="F11" i="45"/>
  <c r="Y10" i="45"/>
  <c r="X10" i="45"/>
  <c r="F10" i="45"/>
  <c r="Y9" i="45"/>
  <c r="X9" i="45"/>
  <c r="F9" i="45"/>
  <c r="Y8" i="45"/>
  <c r="X8" i="45"/>
  <c r="F8" i="45"/>
  <c r="B8" i="45"/>
  <c r="Y7" i="45"/>
  <c r="X7" i="45"/>
  <c r="F7" i="45"/>
  <c r="Y6" i="45"/>
  <c r="X6" i="45"/>
  <c r="F6" i="45"/>
  <c r="Y5" i="45"/>
  <c r="X5" i="45"/>
  <c r="F5" i="45"/>
  <c r="Y4" i="45"/>
  <c r="X4" i="45"/>
  <c r="F4" i="45"/>
  <c r="Y3" i="45"/>
  <c r="X3" i="45"/>
  <c r="K3" i="45"/>
  <c r="N3" i="45" s="1"/>
  <c r="F3" i="45"/>
  <c r="O21" i="1"/>
  <c r="I21" i="1"/>
  <c r="H21" i="1"/>
  <c r="G21" i="1"/>
  <c r="F21" i="1"/>
  <c r="E21" i="1"/>
  <c r="D21" i="1"/>
  <c r="C21" i="1"/>
  <c r="B21" i="1"/>
  <c r="I53" i="44"/>
  <c r="H53" i="44"/>
  <c r="L3" i="44" s="1"/>
  <c r="N21" i="1" s="1"/>
  <c r="G53" i="44"/>
  <c r="K3" i="44" s="1"/>
  <c r="M21" i="1" s="1"/>
  <c r="Y52" i="44"/>
  <c r="X52" i="44"/>
  <c r="F52" i="44"/>
  <c r="Y51" i="44"/>
  <c r="X51" i="44"/>
  <c r="F51" i="44"/>
  <c r="Y50" i="44"/>
  <c r="X50" i="44"/>
  <c r="F50" i="44"/>
  <c r="Y49" i="44"/>
  <c r="X49" i="44"/>
  <c r="F49" i="44"/>
  <c r="Y48" i="44"/>
  <c r="X48" i="44"/>
  <c r="F48" i="44"/>
  <c r="Y47" i="44"/>
  <c r="X47" i="44"/>
  <c r="F47" i="44"/>
  <c r="Y46" i="44"/>
  <c r="X46" i="44"/>
  <c r="F46" i="44"/>
  <c r="Y45" i="44"/>
  <c r="X45" i="44"/>
  <c r="F45" i="44"/>
  <c r="Y44" i="44"/>
  <c r="X44" i="44"/>
  <c r="F44" i="44"/>
  <c r="Y43" i="44"/>
  <c r="X43" i="44"/>
  <c r="F43" i="44"/>
  <c r="Y42" i="44"/>
  <c r="X42" i="44"/>
  <c r="F42" i="44"/>
  <c r="Y41" i="44"/>
  <c r="X41" i="44"/>
  <c r="F41" i="44"/>
  <c r="Y40" i="44"/>
  <c r="X40" i="44"/>
  <c r="F40" i="44"/>
  <c r="Y39" i="44"/>
  <c r="X39" i="44"/>
  <c r="F39" i="44"/>
  <c r="Y38" i="44"/>
  <c r="X38" i="44"/>
  <c r="F38" i="44"/>
  <c r="Y37" i="44"/>
  <c r="X37" i="44"/>
  <c r="F37" i="44"/>
  <c r="Y36" i="44"/>
  <c r="X36" i="44"/>
  <c r="F36" i="44"/>
  <c r="Y35" i="44"/>
  <c r="X35" i="44"/>
  <c r="F35" i="44"/>
  <c r="Y34" i="44"/>
  <c r="X34" i="44"/>
  <c r="F34" i="44"/>
  <c r="Y33" i="44"/>
  <c r="X33" i="44"/>
  <c r="F33" i="44"/>
  <c r="Y32" i="44"/>
  <c r="X32" i="44"/>
  <c r="F32" i="44"/>
  <c r="Y31" i="44"/>
  <c r="X31" i="44"/>
  <c r="F31" i="44"/>
  <c r="Y30" i="44"/>
  <c r="X30" i="44"/>
  <c r="F30" i="44"/>
  <c r="Y29" i="44"/>
  <c r="X29" i="44"/>
  <c r="F29" i="44"/>
  <c r="Y28" i="44"/>
  <c r="X28" i="44"/>
  <c r="F28" i="44"/>
  <c r="Y27" i="44"/>
  <c r="X27" i="44"/>
  <c r="F27" i="44"/>
  <c r="Y26" i="44"/>
  <c r="X26" i="44"/>
  <c r="F26" i="44"/>
  <c r="Y25" i="44"/>
  <c r="X25" i="44"/>
  <c r="F25" i="44"/>
  <c r="Y24" i="44"/>
  <c r="X24" i="44"/>
  <c r="F24" i="44"/>
  <c r="Y23" i="44"/>
  <c r="X23" i="44"/>
  <c r="F23" i="44"/>
  <c r="Y22" i="44"/>
  <c r="X22" i="44"/>
  <c r="F22" i="44"/>
  <c r="Y21" i="44"/>
  <c r="X21" i="44"/>
  <c r="F21" i="44"/>
  <c r="Y20" i="44"/>
  <c r="X20" i="44"/>
  <c r="F20" i="44"/>
  <c r="Y19" i="44"/>
  <c r="X19" i="44"/>
  <c r="F19" i="44"/>
  <c r="Y18" i="44"/>
  <c r="X18" i="44"/>
  <c r="F18" i="44"/>
  <c r="Y17" i="44"/>
  <c r="X17" i="44"/>
  <c r="F17" i="44"/>
  <c r="Y16" i="44"/>
  <c r="X16" i="44"/>
  <c r="F16" i="44"/>
  <c r="Y15" i="44"/>
  <c r="X15" i="44"/>
  <c r="F15" i="44"/>
  <c r="Y14" i="44"/>
  <c r="X14" i="44"/>
  <c r="F14" i="44"/>
  <c r="Y13" i="44"/>
  <c r="X13" i="44"/>
  <c r="F13" i="44"/>
  <c r="Y12" i="44"/>
  <c r="X12" i="44"/>
  <c r="F12" i="44"/>
  <c r="Y11" i="44"/>
  <c r="X11" i="44"/>
  <c r="F11" i="44"/>
  <c r="Y10" i="44"/>
  <c r="X10" i="44"/>
  <c r="F10" i="44"/>
  <c r="Y9" i="44"/>
  <c r="X9" i="44"/>
  <c r="F9" i="44"/>
  <c r="Y8" i="44"/>
  <c r="X8" i="44"/>
  <c r="F8" i="44"/>
  <c r="B8" i="44"/>
  <c r="Y7" i="44"/>
  <c r="X7" i="44"/>
  <c r="F7" i="44"/>
  <c r="Y6" i="44"/>
  <c r="X6" i="44"/>
  <c r="F6" i="44"/>
  <c r="Y5" i="44"/>
  <c r="X5" i="44"/>
  <c r="F5" i="44"/>
  <c r="Y4" i="44"/>
  <c r="X4" i="44"/>
  <c r="F4" i="44"/>
  <c r="Y3" i="44"/>
  <c r="X3" i="44"/>
  <c r="M3" i="44"/>
  <c r="F3" i="44"/>
  <c r="I20" i="1"/>
  <c r="H20" i="1"/>
  <c r="G20" i="1"/>
  <c r="F20" i="1"/>
  <c r="E20" i="1"/>
  <c r="D20" i="1"/>
  <c r="C20" i="1"/>
  <c r="B20" i="1"/>
  <c r="I53" i="43"/>
  <c r="M3" i="43" s="1"/>
  <c r="O20" i="1" s="1"/>
  <c r="H53" i="43"/>
  <c r="L3" i="43" s="1"/>
  <c r="N20" i="1" s="1"/>
  <c r="G53" i="43"/>
  <c r="K3" i="43" s="1"/>
  <c r="M20" i="1" s="1"/>
  <c r="Y52" i="43"/>
  <c r="X52" i="43"/>
  <c r="F52" i="43"/>
  <c r="Y51" i="43"/>
  <c r="X51" i="43"/>
  <c r="F51" i="43"/>
  <c r="Y50" i="43"/>
  <c r="X50" i="43"/>
  <c r="F50" i="43"/>
  <c r="Y49" i="43"/>
  <c r="X49" i="43"/>
  <c r="F49" i="43"/>
  <c r="Y48" i="43"/>
  <c r="X48" i="43"/>
  <c r="F48" i="43"/>
  <c r="Y47" i="43"/>
  <c r="X47" i="43"/>
  <c r="F47" i="43"/>
  <c r="Y46" i="43"/>
  <c r="X46" i="43"/>
  <c r="F46" i="43"/>
  <c r="Y45" i="43"/>
  <c r="X45" i="43"/>
  <c r="F45" i="43"/>
  <c r="Y44" i="43"/>
  <c r="X44" i="43"/>
  <c r="F44" i="43"/>
  <c r="Y43" i="43"/>
  <c r="X43" i="43"/>
  <c r="F43" i="43"/>
  <c r="Y42" i="43"/>
  <c r="X42" i="43"/>
  <c r="F42" i="43"/>
  <c r="Y41" i="43"/>
  <c r="X41" i="43"/>
  <c r="F41" i="43"/>
  <c r="Y40" i="43"/>
  <c r="X40" i="43"/>
  <c r="F40" i="43"/>
  <c r="Y39" i="43"/>
  <c r="X39" i="43"/>
  <c r="F39" i="43"/>
  <c r="Y38" i="43"/>
  <c r="X38" i="43"/>
  <c r="F38" i="43"/>
  <c r="Y37" i="43"/>
  <c r="X37" i="43"/>
  <c r="F37" i="43"/>
  <c r="Y36" i="43"/>
  <c r="X36" i="43"/>
  <c r="F36" i="43"/>
  <c r="Y35" i="43"/>
  <c r="X35" i="43"/>
  <c r="F35" i="43"/>
  <c r="Y34" i="43"/>
  <c r="X34" i="43"/>
  <c r="F34" i="43"/>
  <c r="Y33" i="43"/>
  <c r="X33" i="43"/>
  <c r="F33" i="43"/>
  <c r="Y32" i="43"/>
  <c r="X32" i="43"/>
  <c r="F32" i="43"/>
  <c r="Y31" i="43"/>
  <c r="X31" i="43"/>
  <c r="F31" i="43"/>
  <c r="Y30" i="43"/>
  <c r="X30" i="43"/>
  <c r="F30" i="43"/>
  <c r="Y29" i="43"/>
  <c r="X29" i="43"/>
  <c r="F29" i="43"/>
  <c r="Y28" i="43"/>
  <c r="X28" i="43"/>
  <c r="F28" i="43"/>
  <c r="Y27" i="43"/>
  <c r="X27" i="43"/>
  <c r="F27" i="43"/>
  <c r="Y26" i="43"/>
  <c r="X26" i="43"/>
  <c r="F26" i="43"/>
  <c r="Y25" i="43"/>
  <c r="X25" i="43"/>
  <c r="F25" i="43"/>
  <c r="Y24" i="43"/>
  <c r="X24" i="43"/>
  <c r="F24" i="43"/>
  <c r="Y23" i="43"/>
  <c r="X23" i="43"/>
  <c r="F23" i="43"/>
  <c r="Y22" i="43"/>
  <c r="X22" i="43"/>
  <c r="F22" i="43"/>
  <c r="Y21" i="43"/>
  <c r="X21" i="43"/>
  <c r="F21" i="43"/>
  <c r="Y20" i="43"/>
  <c r="X20" i="43"/>
  <c r="F20" i="43"/>
  <c r="Y19" i="43"/>
  <c r="X19" i="43"/>
  <c r="F19" i="43"/>
  <c r="Y18" i="43"/>
  <c r="X18" i="43"/>
  <c r="F18" i="43"/>
  <c r="Y17" i="43"/>
  <c r="X17" i="43"/>
  <c r="F17" i="43"/>
  <c r="Y16" i="43"/>
  <c r="X16" i="43"/>
  <c r="F16" i="43"/>
  <c r="Y15" i="43"/>
  <c r="X15" i="43"/>
  <c r="F15" i="43"/>
  <c r="Y14" i="43"/>
  <c r="X14" i="43"/>
  <c r="F14" i="43"/>
  <c r="Y13" i="43"/>
  <c r="X13" i="43"/>
  <c r="F13" i="43"/>
  <c r="Y12" i="43"/>
  <c r="X12" i="43"/>
  <c r="F12" i="43"/>
  <c r="Y11" i="43"/>
  <c r="X11" i="43"/>
  <c r="F11" i="43"/>
  <c r="Y10" i="43"/>
  <c r="X10" i="43"/>
  <c r="F10" i="43"/>
  <c r="Y9" i="43"/>
  <c r="X9" i="43"/>
  <c r="F9" i="43"/>
  <c r="Y8" i="43"/>
  <c r="X8" i="43"/>
  <c r="F8" i="43"/>
  <c r="B8" i="43"/>
  <c r="Y7" i="43"/>
  <c r="X7" i="43"/>
  <c r="F7" i="43"/>
  <c r="Y6" i="43"/>
  <c r="X6" i="43"/>
  <c r="F6" i="43"/>
  <c r="Y5" i="43"/>
  <c r="X5" i="43"/>
  <c r="F5" i="43"/>
  <c r="Y4" i="43"/>
  <c r="X4" i="43"/>
  <c r="F4" i="43"/>
  <c r="Y3" i="43"/>
  <c r="X3" i="43"/>
  <c r="F3" i="43"/>
  <c r="K15" i="15"/>
  <c r="I19" i="1"/>
  <c r="H19" i="1"/>
  <c r="G19" i="1"/>
  <c r="F19" i="1"/>
  <c r="E19" i="1"/>
  <c r="D19" i="1"/>
  <c r="C19" i="1"/>
  <c r="B19" i="1"/>
  <c r="I53" i="42"/>
  <c r="H53" i="42"/>
  <c r="L3" i="42" s="1"/>
  <c r="N19" i="1" s="1"/>
  <c r="G53" i="42"/>
  <c r="K3" i="42" s="1"/>
  <c r="M19" i="1" s="1"/>
  <c r="Y52" i="42"/>
  <c r="X52" i="42"/>
  <c r="F52" i="42"/>
  <c r="Y51" i="42"/>
  <c r="X51" i="42"/>
  <c r="F51" i="42"/>
  <c r="Y50" i="42"/>
  <c r="X50" i="42"/>
  <c r="F50" i="42"/>
  <c r="Y49" i="42"/>
  <c r="X49" i="42"/>
  <c r="F49" i="42"/>
  <c r="Y48" i="42"/>
  <c r="X48" i="42"/>
  <c r="F48" i="42"/>
  <c r="Y47" i="42"/>
  <c r="X47" i="42"/>
  <c r="F47" i="42"/>
  <c r="Y46" i="42"/>
  <c r="X46" i="42"/>
  <c r="F46" i="42"/>
  <c r="Y45" i="42"/>
  <c r="X45" i="42"/>
  <c r="F45" i="42"/>
  <c r="Y44" i="42"/>
  <c r="X44" i="42"/>
  <c r="F44" i="42"/>
  <c r="Y43" i="42"/>
  <c r="X43" i="42"/>
  <c r="F43" i="42"/>
  <c r="Y42" i="42"/>
  <c r="X42" i="42"/>
  <c r="F42" i="42"/>
  <c r="Y41" i="42"/>
  <c r="X41" i="42"/>
  <c r="F41" i="42"/>
  <c r="Y40" i="42"/>
  <c r="X40" i="42"/>
  <c r="F40" i="42"/>
  <c r="Y39" i="42"/>
  <c r="X39" i="42"/>
  <c r="F39" i="42"/>
  <c r="Y38" i="42"/>
  <c r="X38" i="42"/>
  <c r="F38" i="42"/>
  <c r="Y37" i="42"/>
  <c r="X37" i="42"/>
  <c r="F37" i="42"/>
  <c r="Y36" i="42"/>
  <c r="X36" i="42"/>
  <c r="F36" i="42"/>
  <c r="Y35" i="42"/>
  <c r="X35" i="42"/>
  <c r="F35" i="42"/>
  <c r="Y34" i="42"/>
  <c r="X34" i="42"/>
  <c r="F34" i="42"/>
  <c r="Y33" i="42"/>
  <c r="X33" i="42"/>
  <c r="F33" i="42"/>
  <c r="Y32" i="42"/>
  <c r="X32" i="42"/>
  <c r="F32" i="42"/>
  <c r="Y31" i="42"/>
  <c r="X31" i="42"/>
  <c r="F31" i="42"/>
  <c r="Y30" i="42"/>
  <c r="X30" i="42"/>
  <c r="F30" i="42"/>
  <c r="Y29" i="42"/>
  <c r="X29" i="42"/>
  <c r="F29" i="42"/>
  <c r="Y28" i="42"/>
  <c r="X28" i="42"/>
  <c r="F28" i="42"/>
  <c r="Y27" i="42"/>
  <c r="X27" i="42"/>
  <c r="F27" i="42"/>
  <c r="Y26" i="42"/>
  <c r="X26" i="42"/>
  <c r="F26" i="42"/>
  <c r="Y25" i="42"/>
  <c r="X25" i="42"/>
  <c r="F25" i="42"/>
  <c r="Y24" i="42"/>
  <c r="X24" i="42"/>
  <c r="F24" i="42"/>
  <c r="Y23" i="42"/>
  <c r="X23" i="42"/>
  <c r="F23" i="42"/>
  <c r="Y22" i="42"/>
  <c r="X22" i="42"/>
  <c r="F22" i="42"/>
  <c r="Y21" i="42"/>
  <c r="X21" i="42"/>
  <c r="F21" i="42"/>
  <c r="Y20" i="42"/>
  <c r="X20" i="42"/>
  <c r="F20" i="42"/>
  <c r="Y19" i="42"/>
  <c r="X19" i="42"/>
  <c r="F19" i="42"/>
  <c r="Y18" i="42"/>
  <c r="X18" i="42"/>
  <c r="F18" i="42"/>
  <c r="Y17" i="42"/>
  <c r="X17" i="42"/>
  <c r="F17" i="42"/>
  <c r="Y16" i="42"/>
  <c r="X16" i="42"/>
  <c r="F16" i="42"/>
  <c r="Y15" i="42"/>
  <c r="X15" i="42"/>
  <c r="F15" i="42"/>
  <c r="Y14" i="42"/>
  <c r="X14" i="42"/>
  <c r="F14" i="42"/>
  <c r="Y13" i="42"/>
  <c r="X13" i="42"/>
  <c r="F13" i="42"/>
  <c r="Y12" i="42"/>
  <c r="X12" i="42"/>
  <c r="F12" i="42"/>
  <c r="Y11" i="42"/>
  <c r="X11" i="42"/>
  <c r="F11" i="42"/>
  <c r="Y10" i="42"/>
  <c r="X10" i="42"/>
  <c r="F10" i="42"/>
  <c r="Y9" i="42"/>
  <c r="X9" i="42"/>
  <c r="F9" i="42"/>
  <c r="Y8" i="42"/>
  <c r="X8" i="42"/>
  <c r="F8" i="42"/>
  <c r="B8" i="42"/>
  <c r="Y7" i="42"/>
  <c r="X7" i="42"/>
  <c r="F7" i="42"/>
  <c r="Y6" i="42"/>
  <c r="X6" i="42"/>
  <c r="F6" i="42"/>
  <c r="Y5" i="42"/>
  <c r="X5" i="42"/>
  <c r="F5" i="42"/>
  <c r="Y4" i="42"/>
  <c r="X4" i="42"/>
  <c r="F4" i="42"/>
  <c r="Y3" i="42"/>
  <c r="X3" i="42"/>
  <c r="M3" i="42"/>
  <c r="O19" i="1" s="1"/>
  <c r="F3" i="42"/>
  <c r="K14" i="15"/>
  <c r="M18" i="1"/>
  <c r="I18" i="1"/>
  <c r="H18" i="1"/>
  <c r="G18" i="1"/>
  <c r="F18" i="1"/>
  <c r="E18" i="1"/>
  <c r="D18" i="1"/>
  <c r="C18" i="1"/>
  <c r="B18" i="1"/>
  <c r="I53" i="41"/>
  <c r="H53" i="41"/>
  <c r="L3" i="41" s="1"/>
  <c r="N18" i="1" s="1"/>
  <c r="G53" i="41"/>
  <c r="Y52" i="41"/>
  <c r="X52" i="41"/>
  <c r="F52" i="41"/>
  <c r="Y51" i="41"/>
  <c r="X51" i="41"/>
  <c r="F51" i="41"/>
  <c r="Y50" i="41"/>
  <c r="X50" i="41"/>
  <c r="F50" i="41"/>
  <c r="Y49" i="41"/>
  <c r="X49" i="41"/>
  <c r="F49" i="41"/>
  <c r="Y48" i="41"/>
  <c r="X48" i="41"/>
  <c r="F48" i="41"/>
  <c r="Y47" i="41"/>
  <c r="X47" i="41"/>
  <c r="F47" i="41"/>
  <c r="Y46" i="41"/>
  <c r="X46" i="41"/>
  <c r="F46" i="41"/>
  <c r="Y45" i="41"/>
  <c r="X45" i="41"/>
  <c r="F45" i="41"/>
  <c r="Y44" i="41"/>
  <c r="X44" i="41"/>
  <c r="F44" i="41"/>
  <c r="Y43" i="41"/>
  <c r="X43" i="41"/>
  <c r="F43" i="41"/>
  <c r="Y42" i="41"/>
  <c r="X42" i="41"/>
  <c r="F42" i="41"/>
  <c r="Y41" i="41"/>
  <c r="X41" i="41"/>
  <c r="F41" i="41"/>
  <c r="Y40" i="41"/>
  <c r="X40" i="41"/>
  <c r="F40" i="41"/>
  <c r="Y39" i="41"/>
  <c r="X39" i="41"/>
  <c r="F39" i="41"/>
  <c r="Y38" i="41"/>
  <c r="X38" i="41"/>
  <c r="F38" i="41"/>
  <c r="Y37" i="41"/>
  <c r="X37" i="41"/>
  <c r="F37" i="41"/>
  <c r="Y36" i="41"/>
  <c r="X36" i="41"/>
  <c r="F36" i="41"/>
  <c r="Y35" i="41"/>
  <c r="X35" i="41"/>
  <c r="F35" i="41"/>
  <c r="Y34" i="41"/>
  <c r="X34" i="41"/>
  <c r="F34" i="41"/>
  <c r="Y33" i="41"/>
  <c r="X33" i="41"/>
  <c r="F33" i="41"/>
  <c r="Y32" i="41"/>
  <c r="X32" i="41"/>
  <c r="F32" i="41"/>
  <c r="Y31" i="41"/>
  <c r="X31" i="41"/>
  <c r="F31" i="41"/>
  <c r="Y30" i="41"/>
  <c r="X30" i="41"/>
  <c r="F30" i="41"/>
  <c r="Y29" i="41"/>
  <c r="X29" i="41"/>
  <c r="F29" i="41"/>
  <c r="Y28" i="41"/>
  <c r="X28" i="41"/>
  <c r="F28" i="41"/>
  <c r="Y27" i="41"/>
  <c r="X27" i="41"/>
  <c r="F27" i="41"/>
  <c r="Y26" i="41"/>
  <c r="X26" i="41"/>
  <c r="F26" i="41"/>
  <c r="Y25" i="41"/>
  <c r="X25" i="41"/>
  <c r="F25" i="41"/>
  <c r="Y24" i="41"/>
  <c r="X24" i="41"/>
  <c r="F24" i="41"/>
  <c r="Y23" i="41"/>
  <c r="X23" i="41"/>
  <c r="F23" i="41"/>
  <c r="Y22" i="41"/>
  <c r="X22" i="41"/>
  <c r="F22" i="41"/>
  <c r="Y21" i="41"/>
  <c r="X21" i="41"/>
  <c r="F21" i="41"/>
  <c r="Y20" i="41"/>
  <c r="X20" i="41"/>
  <c r="F20" i="41"/>
  <c r="Y19" i="41"/>
  <c r="X19" i="41"/>
  <c r="F19" i="41"/>
  <c r="Y18" i="41"/>
  <c r="X18" i="41"/>
  <c r="F18" i="41"/>
  <c r="Y17" i="41"/>
  <c r="X17" i="41"/>
  <c r="F17" i="41"/>
  <c r="Y16" i="41"/>
  <c r="X16" i="41"/>
  <c r="F16" i="41"/>
  <c r="Y15" i="41"/>
  <c r="X15" i="41"/>
  <c r="F15" i="41"/>
  <c r="Y14" i="41"/>
  <c r="X14" i="41"/>
  <c r="F14" i="41"/>
  <c r="Y13" i="41"/>
  <c r="X13" i="41"/>
  <c r="F13" i="41"/>
  <c r="Y12" i="41"/>
  <c r="X12" i="41"/>
  <c r="F12" i="41"/>
  <c r="Y11" i="41"/>
  <c r="X11" i="41"/>
  <c r="F11" i="41"/>
  <c r="Y10" i="41"/>
  <c r="X10" i="41"/>
  <c r="F10" i="41"/>
  <c r="Y9" i="41"/>
  <c r="X9" i="41"/>
  <c r="F9" i="41"/>
  <c r="Y8" i="41"/>
  <c r="X8" i="41"/>
  <c r="F8" i="41"/>
  <c r="B8" i="41"/>
  <c r="Y7" i="41"/>
  <c r="X7" i="41"/>
  <c r="F7" i="41"/>
  <c r="Y6" i="41"/>
  <c r="X6" i="41"/>
  <c r="F6" i="41"/>
  <c r="Y5" i="41"/>
  <c r="X5" i="41"/>
  <c r="F5" i="41"/>
  <c r="Y4" i="41"/>
  <c r="X4" i="41"/>
  <c r="F4" i="41"/>
  <c r="Y3" i="41"/>
  <c r="X3" i="41"/>
  <c r="Q3" i="41"/>
  <c r="M3" i="41"/>
  <c r="O18" i="1" s="1"/>
  <c r="K3" i="41"/>
  <c r="O3" i="41" s="1"/>
  <c r="J18" i="1" s="1"/>
  <c r="F3" i="41"/>
  <c r="I17" i="1"/>
  <c r="H17" i="1"/>
  <c r="G17" i="1"/>
  <c r="F17" i="1"/>
  <c r="E17" i="1"/>
  <c r="D17" i="1"/>
  <c r="C17" i="1"/>
  <c r="B17" i="1"/>
  <c r="I53" i="40"/>
  <c r="M3" i="40" s="1"/>
  <c r="O17" i="1" s="1"/>
  <c r="H53" i="40"/>
  <c r="G53" i="40"/>
  <c r="K3" i="40" s="1"/>
  <c r="M17" i="1" s="1"/>
  <c r="Y52" i="40"/>
  <c r="X52" i="40"/>
  <c r="F52" i="40"/>
  <c r="Y51" i="40"/>
  <c r="X51" i="40"/>
  <c r="F51" i="40"/>
  <c r="Y50" i="40"/>
  <c r="X50" i="40"/>
  <c r="F50" i="40"/>
  <c r="Y49" i="40"/>
  <c r="X49" i="40"/>
  <c r="F49" i="40"/>
  <c r="Y48" i="40"/>
  <c r="X48" i="40"/>
  <c r="F48" i="40"/>
  <c r="Y47" i="40"/>
  <c r="X47" i="40"/>
  <c r="F47" i="40"/>
  <c r="Y46" i="40"/>
  <c r="X46" i="40"/>
  <c r="F46" i="40"/>
  <c r="Y45" i="40"/>
  <c r="X45" i="40"/>
  <c r="F45" i="40"/>
  <c r="Y44" i="40"/>
  <c r="X44" i="40"/>
  <c r="F44" i="40"/>
  <c r="Y43" i="40"/>
  <c r="X43" i="40"/>
  <c r="F43" i="40"/>
  <c r="Y42" i="40"/>
  <c r="X42" i="40"/>
  <c r="F42" i="40"/>
  <c r="Y41" i="40"/>
  <c r="X41" i="40"/>
  <c r="F41" i="40"/>
  <c r="Y40" i="40"/>
  <c r="X40" i="40"/>
  <c r="F40" i="40"/>
  <c r="Y39" i="40"/>
  <c r="X39" i="40"/>
  <c r="F39" i="40"/>
  <c r="Y38" i="40"/>
  <c r="X38" i="40"/>
  <c r="F38" i="40"/>
  <c r="Y37" i="40"/>
  <c r="X37" i="40"/>
  <c r="F37" i="40"/>
  <c r="Y36" i="40"/>
  <c r="X36" i="40"/>
  <c r="F36" i="40"/>
  <c r="Y35" i="40"/>
  <c r="X35" i="40"/>
  <c r="F35" i="40"/>
  <c r="Y34" i="40"/>
  <c r="X34" i="40"/>
  <c r="F34" i="40"/>
  <c r="Y33" i="40"/>
  <c r="X33" i="40"/>
  <c r="F33" i="40"/>
  <c r="Y32" i="40"/>
  <c r="X32" i="40"/>
  <c r="F32" i="40"/>
  <c r="Y31" i="40"/>
  <c r="X31" i="40"/>
  <c r="F31" i="40"/>
  <c r="Y30" i="40"/>
  <c r="X30" i="40"/>
  <c r="F30" i="40"/>
  <c r="Y29" i="40"/>
  <c r="X29" i="40"/>
  <c r="F29" i="40"/>
  <c r="Y28" i="40"/>
  <c r="X28" i="40"/>
  <c r="F28" i="40"/>
  <c r="Y27" i="40"/>
  <c r="X27" i="40"/>
  <c r="F27" i="40"/>
  <c r="Y26" i="40"/>
  <c r="X26" i="40"/>
  <c r="F26" i="40"/>
  <c r="Y25" i="40"/>
  <c r="X25" i="40"/>
  <c r="F25" i="40"/>
  <c r="Y24" i="40"/>
  <c r="X24" i="40"/>
  <c r="F24" i="40"/>
  <c r="Y23" i="40"/>
  <c r="X23" i="40"/>
  <c r="F23" i="40"/>
  <c r="Y22" i="40"/>
  <c r="X22" i="40"/>
  <c r="F22" i="40"/>
  <c r="Y21" i="40"/>
  <c r="X21" i="40"/>
  <c r="F21" i="40"/>
  <c r="Y20" i="40"/>
  <c r="X20" i="40"/>
  <c r="F20" i="40"/>
  <c r="Y19" i="40"/>
  <c r="X19" i="40"/>
  <c r="F19" i="40"/>
  <c r="Y18" i="40"/>
  <c r="X18" i="40"/>
  <c r="F18" i="40"/>
  <c r="Y17" i="40"/>
  <c r="X17" i="40"/>
  <c r="F17" i="40"/>
  <c r="Y16" i="40"/>
  <c r="X16" i="40"/>
  <c r="F16" i="40"/>
  <c r="Y15" i="40"/>
  <c r="X15" i="40"/>
  <c r="F15" i="40"/>
  <c r="Y14" i="40"/>
  <c r="X14" i="40"/>
  <c r="F14" i="40"/>
  <c r="Y13" i="40"/>
  <c r="X13" i="40"/>
  <c r="F13" i="40"/>
  <c r="Y12" i="40"/>
  <c r="X12" i="40"/>
  <c r="F12" i="40"/>
  <c r="Y11" i="40"/>
  <c r="X11" i="40"/>
  <c r="F11" i="40"/>
  <c r="Y10" i="40"/>
  <c r="X10" i="40"/>
  <c r="F10" i="40"/>
  <c r="Y9" i="40"/>
  <c r="X9" i="40"/>
  <c r="F9" i="40"/>
  <c r="Y8" i="40"/>
  <c r="X8" i="40"/>
  <c r="F8" i="40"/>
  <c r="B8" i="40"/>
  <c r="Y7" i="40"/>
  <c r="X7" i="40"/>
  <c r="F7" i="40"/>
  <c r="Y6" i="40"/>
  <c r="X6" i="40"/>
  <c r="F6" i="40"/>
  <c r="Y5" i="40"/>
  <c r="X5" i="40"/>
  <c r="F5" i="40"/>
  <c r="Y4" i="40"/>
  <c r="X4" i="40"/>
  <c r="F4" i="40"/>
  <c r="Y3" i="40"/>
  <c r="X3" i="40"/>
  <c r="L3" i="40"/>
  <c r="N17" i="1" s="1"/>
  <c r="F3" i="40"/>
  <c r="K13" i="15"/>
  <c r="L3" i="29"/>
  <c r="L3" i="30"/>
  <c r="O5" i="1"/>
  <c r="O6" i="1"/>
  <c r="O7" i="1"/>
  <c r="K12" i="15"/>
  <c r="I16" i="1"/>
  <c r="H16" i="1"/>
  <c r="G16" i="1"/>
  <c r="F16" i="1"/>
  <c r="E16" i="1"/>
  <c r="D16" i="1"/>
  <c r="C16" i="1"/>
  <c r="B16" i="1"/>
  <c r="I53" i="39"/>
  <c r="M3" i="39" s="1"/>
  <c r="O16" i="1" s="1"/>
  <c r="H53" i="39"/>
  <c r="L3" i="39" s="1"/>
  <c r="N16" i="1" s="1"/>
  <c r="G53" i="39"/>
  <c r="K3" i="39" s="1"/>
  <c r="Y52" i="39"/>
  <c r="X52" i="39"/>
  <c r="F52" i="39"/>
  <c r="Y51" i="39"/>
  <c r="X51" i="39"/>
  <c r="F51" i="39"/>
  <c r="Y50" i="39"/>
  <c r="X50" i="39"/>
  <c r="F50" i="39"/>
  <c r="Y49" i="39"/>
  <c r="X49" i="39"/>
  <c r="F49" i="39"/>
  <c r="Y48" i="39"/>
  <c r="X48" i="39"/>
  <c r="F48" i="39"/>
  <c r="Y47" i="39"/>
  <c r="X47" i="39"/>
  <c r="F47" i="39"/>
  <c r="Y46" i="39"/>
  <c r="X46" i="39"/>
  <c r="F46" i="39"/>
  <c r="Y45" i="39"/>
  <c r="X45" i="39"/>
  <c r="F45" i="39"/>
  <c r="Y44" i="39"/>
  <c r="X44" i="39"/>
  <c r="F44" i="39"/>
  <c r="Y43" i="39"/>
  <c r="X43" i="39"/>
  <c r="F43" i="39"/>
  <c r="Y42" i="39"/>
  <c r="X42" i="39"/>
  <c r="F42" i="39"/>
  <c r="Y41" i="39"/>
  <c r="X41" i="39"/>
  <c r="F41" i="39"/>
  <c r="Y40" i="39"/>
  <c r="X40" i="39"/>
  <c r="F40" i="39"/>
  <c r="Y39" i="39"/>
  <c r="X39" i="39"/>
  <c r="F39" i="39"/>
  <c r="Y38" i="39"/>
  <c r="X38" i="39"/>
  <c r="F38" i="39"/>
  <c r="Y37" i="39"/>
  <c r="X37" i="39"/>
  <c r="F37" i="39"/>
  <c r="Y36" i="39"/>
  <c r="X36" i="39"/>
  <c r="F36" i="39"/>
  <c r="Y35" i="39"/>
  <c r="X35" i="39"/>
  <c r="F35" i="39"/>
  <c r="Y34" i="39"/>
  <c r="X34" i="39"/>
  <c r="F34" i="39"/>
  <c r="Y33" i="39"/>
  <c r="X33" i="39"/>
  <c r="F33" i="39"/>
  <c r="Y32" i="39"/>
  <c r="X32" i="39"/>
  <c r="F32" i="39"/>
  <c r="Y31" i="39"/>
  <c r="X31" i="39"/>
  <c r="F31" i="39"/>
  <c r="Y30" i="39"/>
  <c r="X30" i="39"/>
  <c r="F30" i="39"/>
  <c r="Y29" i="39"/>
  <c r="X29" i="39"/>
  <c r="F29" i="39"/>
  <c r="Y28" i="39"/>
  <c r="X28" i="39"/>
  <c r="F28" i="39"/>
  <c r="Y27" i="39"/>
  <c r="X27" i="39"/>
  <c r="F27" i="39"/>
  <c r="Y26" i="39"/>
  <c r="X26" i="39"/>
  <c r="F26" i="39"/>
  <c r="Y25" i="39"/>
  <c r="X25" i="39"/>
  <c r="F25" i="39"/>
  <c r="Y24" i="39"/>
  <c r="X24" i="39"/>
  <c r="F24" i="39"/>
  <c r="Y23" i="39"/>
  <c r="X23" i="39"/>
  <c r="F23" i="39"/>
  <c r="Y22" i="39"/>
  <c r="X22" i="39"/>
  <c r="F22" i="39"/>
  <c r="Y21" i="39"/>
  <c r="X21" i="39"/>
  <c r="F21" i="39"/>
  <c r="Y20" i="39"/>
  <c r="X20" i="39"/>
  <c r="F20" i="39"/>
  <c r="Y19" i="39"/>
  <c r="X19" i="39"/>
  <c r="F19" i="39"/>
  <c r="Y18" i="39"/>
  <c r="X18" i="39"/>
  <c r="F18" i="39"/>
  <c r="Y17" i="39"/>
  <c r="X17" i="39"/>
  <c r="F17" i="39"/>
  <c r="Y16" i="39"/>
  <c r="X16" i="39"/>
  <c r="F16" i="39"/>
  <c r="Y15" i="39"/>
  <c r="X15" i="39"/>
  <c r="F15" i="39"/>
  <c r="Y14" i="39"/>
  <c r="X14" i="39"/>
  <c r="F14" i="39"/>
  <c r="Y13" i="39"/>
  <c r="X13" i="39"/>
  <c r="F13" i="39"/>
  <c r="Y12" i="39"/>
  <c r="X12" i="39"/>
  <c r="F12" i="39"/>
  <c r="Y11" i="39"/>
  <c r="X11" i="39"/>
  <c r="F11" i="39"/>
  <c r="Y10" i="39"/>
  <c r="X10" i="39"/>
  <c r="F10" i="39"/>
  <c r="Y9" i="39"/>
  <c r="X9" i="39"/>
  <c r="F9" i="39"/>
  <c r="Y8" i="39"/>
  <c r="X8" i="39"/>
  <c r="F8" i="39"/>
  <c r="B8" i="39"/>
  <c r="Y7" i="39"/>
  <c r="X7" i="39"/>
  <c r="F7" i="39"/>
  <c r="Y6" i="39"/>
  <c r="X6" i="39"/>
  <c r="F6" i="39"/>
  <c r="Y5" i="39"/>
  <c r="X5" i="39"/>
  <c r="F5" i="39"/>
  <c r="Y4" i="39"/>
  <c r="X4" i="39"/>
  <c r="F4" i="39"/>
  <c r="Y3" i="39"/>
  <c r="X3" i="39"/>
  <c r="F3" i="39"/>
  <c r="I15" i="1"/>
  <c r="H15" i="1"/>
  <c r="G15" i="1"/>
  <c r="F15" i="1"/>
  <c r="E15" i="1"/>
  <c r="D15" i="1"/>
  <c r="C15" i="1"/>
  <c r="B15" i="1"/>
  <c r="I53" i="38"/>
  <c r="M3" i="38" s="1"/>
  <c r="O15" i="1" s="1"/>
  <c r="H53" i="38"/>
  <c r="L3" i="38" s="1"/>
  <c r="G53" i="38"/>
  <c r="K3" i="38" s="1"/>
  <c r="N3" i="38" s="1"/>
  <c r="Y52" i="38"/>
  <c r="X52" i="38"/>
  <c r="F52" i="38"/>
  <c r="Y51" i="38"/>
  <c r="X51" i="38"/>
  <c r="F51" i="38"/>
  <c r="Y50" i="38"/>
  <c r="X50" i="38"/>
  <c r="F50" i="38"/>
  <c r="Y49" i="38"/>
  <c r="X49" i="38"/>
  <c r="F49" i="38"/>
  <c r="Y48" i="38"/>
  <c r="X48" i="38"/>
  <c r="F48" i="38"/>
  <c r="Y47" i="38"/>
  <c r="X47" i="38"/>
  <c r="F47" i="38"/>
  <c r="Y46" i="38"/>
  <c r="X46" i="38"/>
  <c r="F46" i="38"/>
  <c r="Y45" i="38"/>
  <c r="X45" i="38"/>
  <c r="F45" i="38"/>
  <c r="Y44" i="38"/>
  <c r="X44" i="38"/>
  <c r="F44" i="38"/>
  <c r="Y43" i="38"/>
  <c r="X43" i="38"/>
  <c r="F43" i="38"/>
  <c r="Y42" i="38"/>
  <c r="X42" i="38"/>
  <c r="F42" i="38"/>
  <c r="Y41" i="38"/>
  <c r="X41" i="38"/>
  <c r="F41" i="38"/>
  <c r="Y40" i="38"/>
  <c r="X40" i="38"/>
  <c r="F40" i="38"/>
  <c r="Y39" i="38"/>
  <c r="X39" i="38"/>
  <c r="F39" i="38"/>
  <c r="Y38" i="38"/>
  <c r="X38" i="38"/>
  <c r="F38" i="38"/>
  <c r="Y37" i="38"/>
  <c r="X37" i="38"/>
  <c r="F37" i="38"/>
  <c r="Y36" i="38"/>
  <c r="X36" i="38"/>
  <c r="F36" i="38"/>
  <c r="Y35" i="38"/>
  <c r="X35" i="38"/>
  <c r="F35" i="38"/>
  <c r="Y34" i="38"/>
  <c r="X34" i="38"/>
  <c r="F34" i="38"/>
  <c r="Y33" i="38"/>
  <c r="X33" i="38"/>
  <c r="F33" i="38"/>
  <c r="Y32" i="38"/>
  <c r="X32" i="38"/>
  <c r="F32" i="38"/>
  <c r="Y31" i="38"/>
  <c r="X31" i="38"/>
  <c r="F31" i="38"/>
  <c r="Y30" i="38"/>
  <c r="X30" i="38"/>
  <c r="F30" i="38"/>
  <c r="Y29" i="38"/>
  <c r="X29" i="38"/>
  <c r="F29" i="38"/>
  <c r="Y28" i="38"/>
  <c r="X28" i="38"/>
  <c r="F28" i="38"/>
  <c r="Y27" i="38"/>
  <c r="X27" i="38"/>
  <c r="F27" i="38"/>
  <c r="Y26" i="38"/>
  <c r="X26" i="38"/>
  <c r="F26" i="38"/>
  <c r="Y25" i="38"/>
  <c r="X25" i="38"/>
  <c r="F25" i="38"/>
  <c r="Y24" i="38"/>
  <c r="X24" i="38"/>
  <c r="F24" i="38"/>
  <c r="Y23" i="38"/>
  <c r="X23" i="38"/>
  <c r="F23" i="38"/>
  <c r="Y22" i="38"/>
  <c r="X22" i="38"/>
  <c r="F22" i="38"/>
  <c r="Y21" i="38"/>
  <c r="X21" i="38"/>
  <c r="F21" i="38"/>
  <c r="Y20" i="38"/>
  <c r="X20" i="38"/>
  <c r="F20" i="38"/>
  <c r="Y19" i="38"/>
  <c r="X19" i="38"/>
  <c r="F19" i="38"/>
  <c r="Y18" i="38"/>
  <c r="X18" i="38"/>
  <c r="F18" i="38"/>
  <c r="Y17" i="38"/>
  <c r="X17" i="38"/>
  <c r="F17" i="38"/>
  <c r="Y16" i="38"/>
  <c r="X16" i="38"/>
  <c r="F16" i="38"/>
  <c r="Y15" i="38"/>
  <c r="X15" i="38"/>
  <c r="F15" i="38"/>
  <c r="Y14" i="38"/>
  <c r="X14" i="38"/>
  <c r="F14" i="38"/>
  <c r="Y13" i="38"/>
  <c r="X13" i="38"/>
  <c r="F13" i="38"/>
  <c r="Y12" i="38"/>
  <c r="X12" i="38"/>
  <c r="F12" i="38"/>
  <c r="Y11" i="38"/>
  <c r="X11" i="38"/>
  <c r="F11" i="38"/>
  <c r="Y10" i="38"/>
  <c r="X10" i="38"/>
  <c r="F10" i="38"/>
  <c r="Y9" i="38"/>
  <c r="X9" i="38"/>
  <c r="F9" i="38"/>
  <c r="Y8" i="38"/>
  <c r="X8" i="38"/>
  <c r="F8" i="38"/>
  <c r="B8" i="38"/>
  <c r="Y7" i="38"/>
  <c r="X7" i="38"/>
  <c r="F7" i="38"/>
  <c r="Y6" i="38"/>
  <c r="X6" i="38"/>
  <c r="F6" i="38"/>
  <c r="Y5" i="38"/>
  <c r="X5" i="38"/>
  <c r="F5" i="38"/>
  <c r="Y4" i="38"/>
  <c r="X4" i="38"/>
  <c r="F4" i="38"/>
  <c r="Y3" i="38"/>
  <c r="X3" i="38"/>
  <c r="F3" i="38"/>
  <c r="Z3" i="41" l="1"/>
  <c r="P3" i="41" s="1"/>
  <c r="L18" i="1" s="1"/>
  <c r="B12" i="41"/>
  <c r="K18" i="1" s="1"/>
  <c r="O3" i="45"/>
  <c r="J22" i="1" s="1"/>
  <c r="Z3" i="45"/>
  <c r="P3" i="45" s="1"/>
  <c r="L22" i="1" s="1"/>
  <c r="Q3" i="45"/>
  <c r="M22" i="1"/>
  <c r="B12" i="45"/>
  <c r="K22" i="1" s="1"/>
  <c r="Z3" i="44"/>
  <c r="AC21" i="1" s="1"/>
  <c r="Q3" i="44"/>
  <c r="N3" i="44"/>
  <c r="B12" i="44"/>
  <c r="O3" i="44"/>
  <c r="J21" i="1" s="1"/>
  <c r="Z3" i="43"/>
  <c r="B12" i="43"/>
  <c r="N3" i="43"/>
  <c r="Q3" i="43"/>
  <c r="O3" i="43"/>
  <c r="J20" i="1" s="1"/>
  <c r="O3" i="42"/>
  <c r="J19" i="1" s="1"/>
  <c r="Q3" i="42"/>
  <c r="N3" i="42"/>
  <c r="Z3" i="42"/>
  <c r="B12" i="42"/>
  <c r="N3" i="41"/>
  <c r="O3" i="39"/>
  <c r="J16" i="1" s="1"/>
  <c r="B12" i="39"/>
  <c r="K16" i="1" s="1"/>
  <c r="Z3" i="39"/>
  <c r="P3" i="39" s="1"/>
  <c r="L16" i="1" s="1"/>
  <c r="Q3" i="39"/>
  <c r="N3" i="39"/>
  <c r="Z3" i="40"/>
  <c r="Q3" i="40"/>
  <c r="N3" i="40"/>
  <c r="B12" i="40"/>
  <c r="O3" i="40"/>
  <c r="J17" i="1" s="1"/>
  <c r="N15" i="1"/>
  <c r="M16" i="1"/>
  <c r="Z3" i="38"/>
  <c r="Q3" i="38"/>
  <c r="M15" i="1"/>
  <c r="B12" i="38"/>
  <c r="O3" i="38"/>
  <c r="J15" i="1" s="1"/>
  <c r="F4" i="36"/>
  <c r="K9" i="15"/>
  <c r="K10" i="15"/>
  <c r="K11" i="15"/>
  <c r="A200" i="15"/>
  <c r="K3" i="15"/>
  <c r="K4" i="15"/>
  <c r="K5" i="15"/>
  <c r="K6" i="15"/>
  <c r="K7" i="15"/>
  <c r="K8" i="15"/>
  <c r="K2" i="15"/>
  <c r="I14" i="1"/>
  <c r="H14" i="1"/>
  <c r="G14" i="1"/>
  <c r="F14" i="1"/>
  <c r="E14" i="1"/>
  <c r="D14" i="1"/>
  <c r="C14" i="1"/>
  <c r="B14" i="1"/>
  <c r="I53" i="37"/>
  <c r="M3" i="37" s="1"/>
  <c r="O14" i="1" s="1"/>
  <c r="H53" i="37"/>
  <c r="G53" i="37"/>
  <c r="K3" i="37" s="1"/>
  <c r="M14" i="1" s="1"/>
  <c r="Y52" i="37"/>
  <c r="X52" i="37"/>
  <c r="F52" i="37"/>
  <c r="Y51" i="37"/>
  <c r="X51" i="37"/>
  <c r="F51" i="37"/>
  <c r="Y50" i="37"/>
  <c r="X50" i="37"/>
  <c r="F50" i="37"/>
  <c r="Y49" i="37"/>
  <c r="X49" i="37"/>
  <c r="F49" i="37"/>
  <c r="Y48" i="37"/>
  <c r="X48" i="37"/>
  <c r="F48" i="37"/>
  <c r="Y47" i="37"/>
  <c r="X47" i="37"/>
  <c r="F47" i="37"/>
  <c r="Y46" i="37"/>
  <c r="X46" i="37"/>
  <c r="F46" i="37"/>
  <c r="Y45" i="37"/>
  <c r="X45" i="37"/>
  <c r="F45" i="37"/>
  <c r="Y44" i="37"/>
  <c r="X44" i="37"/>
  <c r="F44" i="37"/>
  <c r="Y43" i="37"/>
  <c r="X43" i="37"/>
  <c r="F43" i="37"/>
  <c r="Y42" i="37"/>
  <c r="X42" i="37"/>
  <c r="F42" i="37"/>
  <c r="Y41" i="37"/>
  <c r="X41" i="37"/>
  <c r="F41" i="37"/>
  <c r="Y40" i="37"/>
  <c r="X40" i="37"/>
  <c r="F40" i="37"/>
  <c r="Y39" i="37"/>
  <c r="X39" i="37"/>
  <c r="F39" i="37"/>
  <c r="Y38" i="37"/>
  <c r="X38" i="37"/>
  <c r="F38" i="37"/>
  <c r="Y37" i="37"/>
  <c r="X37" i="37"/>
  <c r="F37" i="37"/>
  <c r="Y36" i="37"/>
  <c r="X36" i="37"/>
  <c r="F36" i="37"/>
  <c r="Y35" i="37"/>
  <c r="X35" i="37"/>
  <c r="F35" i="37"/>
  <c r="Y34" i="37"/>
  <c r="X34" i="37"/>
  <c r="F34" i="37"/>
  <c r="Y33" i="37"/>
  <c r="X33" i="37"/>
  <c r="F33" i="37"/>
  <c r="Y32" i="37"/>
  <c r="X32" i="37"/>
  <c r="F32" i="37"/>
  <c r="Y31" i="37"/>
  <c r="X31" i="37"/>
  <c r="F31" i="37"/>
  <c r="Y30" i="37"/>
  <c r="X30" i="37"/>
  <c r="F30" i="37"/>
  <c r="Y29" i="37"/>
  <c r="X29" i="37"/>
  <c r="F29" i="37"/>
  <c r="Y28" i="37"/>
  <c r="X28" i="37"/>
  <c r="F28" i="37"/>
  <c r="Y27" i="37"/>
  <c r="X27" i="37"/>
  <c r="F27" i="37"/>
  <c r="Y26" i="37"/>
  <c r="X26" i="37"/>
  <c r="F26" i="37"/>
  <c r="Y25" i="37"/>
  <c r="X25" i="37"/>
  <c r="F25" i="37"/>
  <c r="Y24" i="37"/>
  <c r="X24" i="37"/>
  <c r="F24" i="37"/>
  <c r="Y23" i="37"/>
  <c r="X23" i="37"/>
  <c r="F23" i="37"/>
  <c r="Y22" i="37"/>
  <c r="X22" i="37"/>
  <c r="F22" i="37"/>
  <c r="Y21" i="37"/>
  <c r="X21" i="37"/>
  <c r="F21" i="37"/>
  <c r="Y20" i="37"/>
  <c r="X20" i="37"/>
  <c r="F20" i="37"/>
  <c r="Y19" i="37"/>
  <c r="X19" i="37"/>
  <c r="F19" i="37"/>
  <c r="Y18" i="37"/>
  <c r="X18" i="37"/>
  <c r="F18" i="37"/>
  <c r="Y17" i="37"/>
  <c r="X17" i="37"/>
  <c r="F17" i="37"/>
  <c r="Y16" i="37"/>
  <c r="X16" i="37"/>
  <c r="F16" i="37"/>
  <c r="Y15" i="37"/>
  <c r="X15" i="37"/>
  <c r="F15" i="37"/>
  <c r="Y14" i="37"/>
  <c r="X14" i="37"/>
  <c r="F14" i="37"/>
  <c r="Y13" i="37"/>
  <c r="X13" i="37"/>
  <c r="F13" i="37"/>
  <c r="Y12" i="37"/>
  <c r="X12" i="37"/>
  <c r="F12" i="37"/>
  <c r="Y11" i="37"/>
  <c r="X11" i="37"/>
  <c r="F11" i="37"/>
  <c r="Y10" i="37"/>
  <c r="X10" i="37"/>
  <c r="F10" i="37"/>
  <c r="Y9" i="37"/>
  <c r="X9" i="37"/>
  <c r="F9" i="37"/>
  <c r="Y8" i="37"/>
  <c r="X8" i="37"/>
  <c r="F8" i="37"/>
  <c r="B8" i="37"/>
  <c r="Y7" i="37"/>
  <c r="X7" i="37"/>
  <c r="F7" i="37"/>
  <c r="Y6" i="37"/>
  <c r="X6" i="37"/>
  <c r="F6" i="37"/>
  <c r="Y5" i="37"/>
  <c r="X5" i="37"/>
  <c r="F5" i="37"/>
  <c r="Y4" i="37"/>
  <c r="X4" i="37"/>
  <c r="F4" i="37"/>
  <c r="Y3" i="37"/>
  <c r="X3" i="37"/>
  <c r="F3" i="37"/>
  <c r="I13" i="1"/>
  <c r="H13" i="1"/>
  <c r="G13" i="1"/>
  <c r="F13" i="1"/>
  <c r="E13" i="1"/>
  <c r="D13" i="1"/>
  <c r="C13" i="1"/>
  <c r="B13" i="1"/>
  <c r="I53" i="36"/>
  <c r="M3" i="36" s="1"/>
  <c r="O13" i="1" s="1"/>
  <c r="H53" i="36"/>
  <c r="L3" i="36" s="1"/>
  <c r="G53" i="36"/>
  <c r="K3" i="36" s="1"/>
  <c r="M13" i="1" s="1"/>
  <c r="Y52" i="36"/>
  <c r="X52" i="36"/>
  <c r="F52" i="36"/>
  <c r="Y51" i="36"/>
  <c r="X51" i="36"/>
  <c r="F51" i="36"/>
  <c r="Y50" i="36"/>
  <c r="X50" i="36"/>
  <c r="F50" i="36"/>
  <c r="Y49" i="36"/>
  <c r="X49" i="36"/>
  <c r="F49" i="36"/>
  <c r="Y48" i="36"/>
  <c r="X48" i="36"/>
  <c r="F48" i="36"/>
  <c r="Y47" i="36"/>
  <c r="X47" i="36"/>
  <c r="F47" i="36"/>
  <c r="Y46" i="36"/>
  <c r="X46" i="36"/>
  <c r="F46" i="36"/>
  <c r="Y45" i="36"/>
  <c r="X45" i="36"/>
  <c r="F45" i="36"/>
  <c r="Y44" i="36"/>
  <c r="X44" i="36"/>
  <c r="F44" i="36"/>
  <c r="Y43" i="36"/>
  <c r="X43" i="36"/>
  <c r="F43" i="36"/>
  <c r="Y42" i="36"/>
  <c r="X42" i="36"/>
  <c r="F42" i="36"/>
  <c r="Y41" i="36"/>
  <c r="X41" i="36"/>
  <c r="F41" i="36"/>
  <c r="Y40" i="36"/>
  <c r="X40" i="36"/>
  <c r="F40" i="36"/>
  <c r="Y39" i="36"/>
  <c r="X39" i="36"/>
  <c r="F39" i="36"/>
  <c r="Y38" i="36"/>
  <c r="X38" i="36"/>
  <c r="F38" i="36"/>
  <c r="Y37" i="36"/>
  <c r="X37" i="36"/>
  <c r="F37" i="36"/>
  <c r="Y36" i="36"/>
  <c r="X36" i="36"/>
  <c r="F36" i="36"/>
  <c r="Y35" i="36"/>
  <c r="X35" i="36"/>
  <c r="F35" i="36"/>
  <c r="Y34" i="36"/>
  <c r="X34" i="36"/>
  <c r="F34" i="36"/>
  <c r="Y33" i="36"/>
  <c r="X33" i="36"/>
  <c r="F33" i="36"/>
  <c r="Y32" i="36"/>
  <c r="X32" i="36"/>
  <c r="F32" i="36"/>
  <c r="Y31" i="36"/>
  <c r="X31" i="36"/>
  <c r="F31" i="36"/>
  <c r="Y30" i="36"/>
  <c r="X30" i="36"/>
  <c r="F30" i="36"/>
  <c r="Y29" i="36"/>
  <c r="X29" i="36"/>
  <c r="F29" i="36"/>
  <c r="Y28" i="36"/>
  <c r="X28" i="36"/>
  <c r="F28" i="36"/>
  <c r="Y27" i="36"/>
  <c r="X27" i="36"/>
  <c r="F27" i="36"/>
  <c r="Y26" i="36"/>
  <c r="X26" i="36"/>
  <c r="F26" i="36"/>
  <c r="Y25" i="36"/>
  <c r="X25" i="36"/>
  <c r="F25" i="36"/>
  <c r="Y24" i="36"/>
  <c r="X24" i="36"/>
  <c r="F24" i="36"/>
  <c r="Y23" i="36"/>
  <c r="X23" i="36"/>
  <c r="F23" i="36"/>
  <c r="Y22" i="36"/>
  <c r="X22" i="36"/>
  <c r="F22" i="36"/>
  <c r="Y21" i="36"/>
  <c r="X21" i="36"/>
  <c r="F21" i="36"/>
  <c r="Y20" i="36"/>
  <c r="X20" i="36"/>
  <c r="F20" i="36"/>
  <c r="Y19" i="36"/>
  <c r="X19" i="36"/>
  <c r="F19" i="36"/>
  <c r="Y18" i="36"/>
  <c r="X18" i="36"/>
  <c r="F18" i="36"/>
  <c r="Y17" i="36"/>
  <c r="X17" i="36"/>
  <c r="F17" i="36"/>
  <c r="Y16" i="36"/>
  <c r="X16" i="36"/>
  <c r="F16" i="36"/>
  <c r="Y15" i="36"/>
  <c r="X15" i="36"/>
  <c r="F15" i="36"/>
  <c r="Y14" i="36"/>
  <c r="X14" i="36"/>
  <c r="F14" i="36"/>
  <c r="Y13" i="36"/>
  <c r="X13" i="36"/>
  <c r="F13" i="36"/>
  <c r="Y12" i="36"/>
  <c r="X12" i="36"/>
  <c r="F12" i="36"/>
  <c r="Y11" i="36"/>
  <c r="X11" i="36"/>
  <c r="F11" i="36"/>
  <c r="Y10" i="36"/>
  <c r="X10" i="36"/>
  <c r="F10" i="36"/>
  <c r="Y9" i="36"/>
  <c r="X9" i="36"/>
  <c r="F9" i="36"/>
  <c r="Y8" i="36"/>
  <c r="X8" i="36"/>
  <c r="F8" i="36"/>
  <c r="B8" i="36"/>
  <c r="Y7" i="36"/>
  <c r="X7" i="36"/>
  <c r="F7" i="36"/>
  <c r="Y6" i="36"/>
  <c r="X6" i="36"/>
  <c r="F6" i="36"/>
  <c r="Y5" i="36"/>
  <c r="X5" i="36"/>
  <c r="F5" i="36"/>
  <c r="Y4" i="36"/>
  <c r="X4" i="36"/>
  <c r="Y3" i="36"/>
  <c r="X3" i="36"/>
  <c r="F3" i="36"/>
  <c r="I8" i="1"/>
  <c r="H8" i="1"/>
  <c r="G8" i="1"/>
  <c r="F8" i="1"/>
  <c r="E8" i="1"/>
  <c r="D8" i="1"/>
  <c r="C8" i="1"/>
  <c r="B8" i="1"/>
  <c r="I53" i="35"/>
  <c r="M3" i="35" s="1"/>
  <c r="O8" i="1" s="1"/>
  <c r="H53" i="35"/>
  <c r="L3" i="35" s="1"/>
  <c r="G53" i="35"/>
  <c r="K3" i="35" s="1"/>
  <c r="Y52" i="35"/>
  <c r="X52" i="35"/>
  <c r="F52" i="35"/>
  <c r="Y51" i="35"/>
  <c r="X51" i="35"/>
  <c r="F51" i="35"/>
  <c r="Y50" i="35"/>
  <c r="X50" i="35"/>
  <c r="F50" i="35"/>
  <c r="Y49" i="35"/>
  <c r="X49" i="35"/>
  <c r="F49" i="35"/>
  <c r="Y48" i="35"/>
  <c r="X48" i="35"/>
  <c r="F48" i="35"/>
  <c r="Y47" i="35"/>
  <c r="X47" i="35"/>
  <c r="F47" i="35"/>
  <c r="Y46" i="35"/>
  <c r="X46" i="35"/>
  <c r="F46" i="35"/>
  <c r="Y45" i="35"/>
  <c r="X45" i="35"/>
  <c r="F45" i="35"/>
  <c r="Y44" i="35"/>
  <c r="X44" i="35"/>
  <c r="F44" i="35"/>
  <c r="Y43" i="35"/>
  <c r="X43" i="35"/>
  <c r="F43" i="35"/>
  <c r="Y42" i="35"/>
  <c r="X42" i="35"/>
  <c r="F42" i="35"/>
  <c r="Y41" i="35"/>
  <c r="X41" i="35"/>
  <c r="F41" i="35"/>
  <c r="Y40" i="35"/>
  <c r="X40" i="35"/>
  <c r="F40" i="35"/>
  <c r="Y39" i="35"/>
  <c r="X39" i="35"/>
  <c r="F39" i="35"/>
  <c r="Y38" i="35"/>
  <c r="X38" i="35"/>
  <c r="F38" i="35"/>
  <c r="Y37" i="35"/>
  <c r="X37" i="35"/>
  <c r="F37" i="35"/>
  <c r="Y36" i="35"/>
  <c r="X36" i="35"/>
  <c r="F36" i="35"/>
  <c r="Y35" i="35"/>
  <c r="X35" i="35"/>
  <c r="F35" i="35"/>
  <c r="Y34" i="35"/>
  <c r="X34" i="35"/>
  <c r="F34" i="35"/>
  <c r="Y33" i="35"/>
  <c r="X33" i="35"/>
  <c r="F33" i="35"/>
  <c r="Y32" i="35"/>
  <c r="X32" i="35"/>
  <c r="F32" i="35"/>
  <c r="Y31" i="35"/>
  <c r="X31" i="35"/>
  <c r="F31" i="35"/>
  <c r="Y30" i="35"/>
  <c r="X30" i="35"/>
  <c r="F30" i="35"/>
  <c r="Y29" i="35"/>
  <c r="X29" i="35"/>
  <c r="F29" i="35"/>
  <c r="Y28" i="35"/>
  <c r="X28" i="35"/>
  <c r="F28" i="35"/>
  <c r="Y27" i="35"/>
  <c r="X27" i="35"/>
  <c r="F27" i="35"/>
  <c r="Y26" i="35"/>
  <c r="X26" i="35"/>
  <c r="F26" i="35"/>
  <c r="Y25" i="35"/>
  <c r="X25" i="35"/>
  <c r="F25" i="35"/>
  <c r="Y24" i="35"/>
  <c r="X24" i="35"/>
  <c r="F24" i="35"/>
  <c r="Y23" i="35"/>
  <c r="X23" i="35"/>
  <c r="F23" i="35"/>
  <c r="Y22" i="35"/>
  <c r="X22" i="35"/>
  <c r="F22" i="35"/>
  <c r="Y21" i="35"/>
  <c r="X21" i="35"/>
  <c r="F21" i="35"/>
  <c r="Y20" i="35"/>
  <c r="X20" i="35"/>
  <c r="F20" i="35"/>
  <c r="Y19" i="35"/>
  <c r="X19" i="35"/>
  <c r="F19" i="35"/>
  <c r="Y18" i="35"/>
  <c r="X18" i="35"/>
  <c r="F18" i="35"/>
  <c r="Y17" i="35"/>
  <c r="X17" i="35"/>
  <c r="F17" i="35"/>
  <c r="Y16" i="35"/>
  <c r="X16" i="35"/>
  <c r="F16" i="35"/>
  <c r="Y15" i="35"/>
  <c r="X15" i="35"/>
  <c r="F15" i="35"/>
  <c r="Y14" i="35"/>
  <c r="X14" i="35"/>
  <c r="F14" i="35"/>
  <c r="Y13" i="35"/>
  <c r="X13" i="35"/>
  <c r="F13" i="35"/>
  <c r="Y12" i="35"/>
  <c r="X12" i="35"/>
  <c r="F12" i="35"/>
  <c r="Y11" i="35"/>
  <c r="X11" i="35"/>
  <c r="F11" i="35"/>
  <c r="Y10" i="35"/>
  <c r="X10" i="35"/>
  <c r="F10" i="35"/>
  <c r="Y9" i="35"/>
  <c r="X9" i="35"/>
  <c r="F9" i="35"/>
  <c r="Y8" i="35"/>
  <c r="X8" i="35"/>
  <c r="F8" i="35"/>
  <c r="B8" i="35"/>
  <c r="Y7" i="35"/>
  <c r="X7" i="35"/>
  <c r="F7" i="35"/>
  <c r="Y6" i="35"/>
  <c r="X6" i="35"/>
  <c r="F6" i="35"/>
  <c r="Y5" i="35"/>
  <c r="X5" i="35"/>
  <c r="F5" i="35"/>
  <c r="Y4" i="35"/>
  <c r="X4" i="35"/>
  <c r="F4" i="35"/>
  <c r="Y3" i="35"/>
  <c r="X3" i="35"/>
  <c r="F3" i="35"/>
  <c r="AC18" i="1" l="1"/>
  <c r="AC22" i="1"/>
  <c r="K21" i="1"/>
  <c r="P3" i="44"/>
  <c r="L21" i="1" s="1"/>
  <c r="K20" i="1"/>
  <c r="P3" i="43"/>
  <c r="L20" i="1" s="1"/>
  <c r="AC20" i="1"/>
  <c r="P3" i="42"/>
  <c r="L19" i="1" s="1"/>
  <c r="AC19" i="1"/>
  <c r="P3" i="40"/>
  <c r="L17" i="1" s="1"/>
  <c r="AC17" i="1"/>
  <c r="K19" i="1"/>
  <c r="K17" i="1"/>
  <c r="AC16" i="1"/>
  <c r="L3" i="37"/>
  <c r="N14" i="1" s="1"/>
  <c r="P3" i="38"/>
  <c r="L15" i="1" s="1"/>
  <c r="AC15" i="1"/>
  <c r="K15" i="1"/>
  <c r="Z3" i="37"/>
  <c r="B12" i="37"/>
  <c r="N3" i="37"/>
  <c r="Q3" i="37"/>
  <c r="O3" i="37"/>
  <c r="J14" i="1" s="1"/>
  <c r="N13" i="1"/>
  <c r="Z3" i="36"/>
  <c r="B12" i="36"/>
  <c r="N3" i="36"/>
  <c r="O3" i="36"/>
  <c r="J13" i="1" s="1"/>
  <c r="Q3" i="36"/>
  <c r="N8" i="1"/>
  <c r="O3" i="35"/>
  <c r="J8" i="1" s="1"/>
  <c r="M8" i="1"/>
  <c r="Q3" i="35"/>
  <c r="Z3" i="35"/>
  <c r="P3" i="35" s="1"/>
  <c r="L8" i="1" s="1"/>
  <c r="B12" i="35"/>
  <c r="K8" i="1" s="1"/>
  <c r="N3" i="35"/>
  <c r="K14" i="1" l="1"/>
  <c r="P3" i="36"/>
  <c r="L13" i="1" s="1"/>
  <c r="AC13" i="1"/>
  <c r="P3" i="37"/>
  <c r="L14" i="1" s="1"/>
  <c r="AC14" i="1"/>
  <c r="K13" i="1"/>
  <c r="AC8" i="1"/>
  <c r="I12" i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53" i="34"/>
  <c r="M3" i="34" s="1"/>
  <c r="O11" i="1" s="1"/>
  <c r="H53" i="34"/>
  <c r="L3" i="34" s="1"/>
  <c r="G53" i="34"/>
  <c r="K3" i="34" s="1"/>
  <c r="O3" i="34" s="1"/>
  <c r="J11" i="1" s="1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Y11" i="34"/>
  <c r="X11" i="34"/>
  <c r="F11" i="34"/>
  <c r="Y10" i="34"/>
  <c r="X10" i="34"/>
  <c r="F10" i="34"/>
  <c r="Y9" i="34"/>
  <c r="X9" i="34"/>
  <c r="F9" i="34"/>
  <c r="Y8" i="34"/>
  <c r="X8" i="34"/>
  <c r="F8" i="34"/>
  <c r="B8" i="34"/>
  <c r="Y7" i="34"/>
  <c r="X7" i="34"/>
  <c r="F7" i="34"/>
  <c r="Y6" i="34"/>
  <c r="X6" i="34"/>
  <c r="F6" i="34"/>
  <c r="Y5" i="34"/>
  <c r="X5" i="34"/>
  <c r="F5" i="34"/>
  <c r="Y4" i="34"/>
  <c r="X4" i="34"/>
  <c r="F4" i="34"/>
  <c r="Y3" i="34"/>
  <c r="X3" i="34"/>
  <c r="F3" i="34"/>
  <c r="I10" i="1"/>
  <c r="H10" i="1"/>
  <c r="G10" i="1"/>
  <c r="E10" i="1"/>
  <c r="D10" i="1"/>
  <c r="C10" i="1"/>
  <c r="B10" i="1"/>
  <c r="I53" i="33"/>
  <c r="M3" i="33" s="1"/>
  <c r="O10" i="1" s="1"/>
  <c r="H53" i="33"/>
  <c r="L3" i="33" s="1"/>
  <c r="G53" i="33"/>
  <c r="K3" i="33" s="1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Y11" i="33"/>
  <c r="X11" i="33"/>
  <c r="F11" i="33"/>
  <c r="Y10" i="33"/>
  <c r="X10" i="33"/>
  <c r="F10" i="33"/>
  <c r="Y9" i="33"/>
  <c r="X9" i="33"/>
  <c r="F9" i="33"/>
  <c r="Y8" i="33"/>
  <c r="X8" i="33"/>
  <c r="B8" i="33"/>
  <c r="F10" i="1" s="1"/>
  <c r="Y7" i="33"/>
  <c r="X7" i="33"/>
  <c r="F7" i="33"/>
  <c r="Y6" i="33"/>
  <c r="X6" i="33"/>
  <c r="F6" i="33"/>
  <c r="Y5" i="33"/>
  <c r="X5" i="33"/>
  <c r="F5" i="33"/>
  <c r="Y4" i="33"/>
  <c r="X4" i="33"/>
  <c r="F4" i="33"/>
  <c r="Y3" i="33"/>
  <c r="X3" i="33"/>
  <c r="F3" i="33"/>
  <c r="I9" i="1"/>
  <c r="H9" i="1"/>
  <c r="G9" i="1"/>
  <c r="E9" i="1"/>
  <c r="D9" i="1"/>
  <c r="C9" i="1"/>
  <c r="B9" i="1"/>
  <c r="I53" i="32"/>
  <c r="H53" i="32"/>
  <c r="L3" i="32" s="1"/>
  <c r="G53" i="32"/>
  <c r="K3" i="32" s="1"/>
  <c r="M9" i="1" s="1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F9" i="1" s="1"/>
  <c r="Y7" i="32"/>
  <c r="X7" i="32"/>
  <c r="F7" i="32"/>
  <c r="Y6" i="32"/>
  <c r="X6" i="32"/>
  <c r="F6" i="32"/>
  <c r="Y5" i="32"/>
  <c r="X5" i="32"/>
  <c r="F5" i="32"/>
  <c r="Y4" i="32"/>
  <c r="X4" i="32"/>
  <c r="F4" i="32"/>
  <c r="Y3" i="32"/>
  <c r="X3" i="32"/>
  <c r="F3" i="32"/>
  <c r="I53" i="31"/>
  <c r="M3" i="31" s="1"/>
  <c r="O12" i="1" s="1"/>
  <c r="H53" i="31"/>
  <c r="L3" i="31" s="1"/>
  <c r="G53" i="31"/>
  <c r="K3" i="31" s="1"/>
  <c r="M12" i="1" s="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Y7" i="31"/>
  <c r="X7" i="31"/>
  <c r="F7" i="31"/>
  <c r="Y6" i="31"/>
  <c r="X6" i="31"/>
  <c r="F6" i="31"/>
  <c r="Y5" i="31"/>
  <c r="X5" i="31"/>
  <c r="F5" i="31"/>
  <c r="Y4" i="31"/>
  <c r="X4" i="31"/>
  <c r="F4" i="31"/>
  <c r="Y3" i="31"/>
  <c r="X3" i="31"/>
  <c r="F3" i="31"/>
  <c r="I7" i="1"/>
  <c r="H7" i="1"/>
  <c r="G7" i="1"/>
  <c r="F7" i="1"/>
  <c r="E7" i="1"/>
  <c r="D7" i="1"/>
  <c r="C7" i="1"/>
  <c r="B7" i="1"/>
  <c r="I53" i="30"/>
  <c r="H53" i="30"/>
  <c r="N7" i="1" s="1"/>
  <c r="G53" i="30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Y7" i="30"/>
  <c r="X7" i="30"/>
  <c r="F7" i="30"/>
  <c r="Y6" i="30"/>
  <c r="X6" i="30"/>
  <c r="F6" i="30"/>
  <c r="Y5" i="30"/>
  <c r="X5" i="30"/>
  <c r="F5" i="30"/>
  <c r="Y4" i="30"/>
  <c r="X4" i="30"/>
  <c r="F4" i="30"/>
  <c r="Y3" i="30"/>
  <c r="X3" i="30"/>
  <c r="M3" i="30"/>
  <c r="K3" i="30"/>
  <c r="J7" i="1" s="1"/>
  <c r="F3" i="30"/>
  <c r="N6" i="1"/>
  <c r="M6" i="1"/>
  <c r="J6" i="1"/>
  <c r="I6" i="1"/>
  <c r="H6" i="1"/>
  <c r="G6" i="1"/>
  <c r="F6" i="1"/>
  <c r="E6" i="1"/>
  <c r="D6" i="1"/>
  <c r="C6" i="1"/>
  <c r="B6" i="1"/>
  <c r="N9" i="1" l="1"/>
  <c r="Z3" i="34"/>
  <c r="P3" i="34" s="1"/>
  <c r="L11" i="1" s="1"/>
  <c r="Q3" i="34"/>
  <c r="N10" i="1"/>
  <c r="N12" i="1"/>
  <c r="M7" i="1"/>
  <c r="Z3" i="30"/>
  <c r="P3" i="30" s="1"/>
  <c r="L7" i="1" s="1"/>
  <c r="N3" i="30"/>
  <c r="Q3" i="30"/>
  <c r="M3" i="32"/>
  <c r="O9" i="1" s="1"/>
  <c r="O3" i="33"/>
  <c r="J10" i="1" s="1"/>
  <c r="B12" i="33"/>
  <c r="K10" i="1" s="1"/>
  <c r="Z3" i="33"/>
  <c r="P3" i="33" s="1"/>
  <c r="L10" i="1" s="1"/>
  <c r="Q3" i="33"/>
  <c r="M10" i="1"/>
  <c r="N11" i="1"/>
  <c r="B12" i="34"/>
  <c r="K11" i="1" s="1"/>
  <c r="M11" i="1"/>
  <c r="N3" i="31"/>
  <c r="Z3" i="31"/>
  <c r="Q3" i="31"/>
  <c r="B12" i="31"/>
  <c r="N3" i="34"/>
  <c r="N3" i="33"/>
  <c r="O3" i="32"/>
  <c r="J9" i="1" s="1"/>
  <c r="Q3" i="32"/>
  <c r="Z3" i="32"/>
  <c r="B12" i="32"/>
  <c r="K9" i="1" s="1"/>
  <c r="N3" i="32"/>
  <c r="O3" i="31"/>
  <c r="J12" i="1" s="1"/>
  <c r="B12" i="30"/>
  <c r="K7" i="1" s="1"/>
  <c r="I53" i="29"/>
  <c r="M3" i="29" s="1"/>
  <c r="H53" i="29"/>
  <c r="G53" i="29"/>
  <c r="K3" i="29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F9" i="29"/>
  <c r="Y8" i="29"/>
  <c r="X8" i="29"/>
  <c r="F8" i="29"/>
  <c r="B8" i="29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F3" i="29"/>
  <c r="I5" i="1"/>
  <c r="H5" i="1"/>
  <c r="G5" i="1"/>
  <c r="F5" i="1"/>
  <c r="E5" i="1"/>
  <c r="D5" i="1"/>
  <c r="C5" i="1"/>
  <c r="B5" i="1"/>
  <c r="I53" i="28"/>
  <c r="M3" i="28" s="1"/>
  <c r="H53" i="28"/>
  <c r="L3" i="28" s="1"/>
  <c r="G53" i="28"/>
  <c r="K3" i="28" s="1"/>
  <c r="M5" i="1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F3" i="28"/>
  <c r="C4" i="1"/>
  <c r="I4" i="1"/>
  <c r="H4" i="1"/>
  <c r="G4" i="1"/>
  <c r="F4" i="1"/>
  <c r="E4" i="1"/>
  <c r="D4" i="1"/>
  <c r="C3" i="1"/>
  <c r="B4" i="1"/>
  <c r="I53" i="27"/>
  <c r="M3" i="27" s="1"/>
  <c r="O4" i="1" s="1"/>
  <c r="H53" i="27"/>
  <c r="L3" i="27" s="1"/>
  <c r="G53" i="27"/>
  <c r="K3" i="27" s="1"/>
  <c r="M4" i="1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F14" i="27"/>
  <c r="Y13" i="27"/>
  <c r="X13" i="27"/>
  <c r="F13" i="27"/>
  <c r="Y12" i="27"/>
  <c r="X12" i="27"/>
  <c r="F12" i="27"/>
  <c r="Y11" i="27"/>
  <c r="X11" i="27"/>
  <c r="F11" i="27"/>
  <c r="Y10" i="27"/>
  <c r="X10" i="27"/>
  <c r="F10" i="27"/>
  <c r="Y9" i="27"/>
  <c r="X9" i="27"/>
  <c r="F9" i="27"/>
  <c r="Y8" i="27"/>
  <c r="X8" i="27"/>
  <c r="F8" i="27"/>
  <c r="B8" i="27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F3" i="27"/>
  <c r="AC11" i="1" l="1"/>
  <c r="AC7" i="1"/>
  <c r="N4" i="1"/>
  <c r="AC10" i="1"/>
  <c r="AC12" i="1"/>
  <c r="N5" i="1"/>
  <c r="P3" i="32"/>
  <c r="L9" i="1" s="1"/>
  <c r="AC9" i="1"/>
  <c r="P3" i="31"/>
  <c r="K12" i="1"/>
  <c r="Z3" i="29"/>
  <c r="Q3" i="29"/>
  <c r="N3" i="29"/>
  <c r="B12" i="29"/>
  <c r="K6" i="1" s="1"/>
  <c r="O3" i="29"/>
  <c r="Z3" i="28"/>
  <c r="N3" i="28"/>
  <c r="Q3" i="28"/>
  <c r="B12" i="28"/>
  <c r="K5" i="1" s="1"/>
  <c r="O3" i="28"/>
  <c r="J5" i="1" s="1"/>
  <c r="Z3" i="27"/>
  <c r="O3" i="27"/>
  <c r="J4" i="1" s="1"/>
  <c r="N3" i="27"/>
  <c r="Q3" i="27"/>
  <c r="B12" i="27"/>
  <c r="K4" i="1" s="1"/>
  <c r="I3" i="1"/>
  <c r="H3" i="1"/>
  <c r="G3" i="1"/>
  <c r="F3" i="1"/>
  <c r="E3" i="1"/>
  <c r="D3" i="1"/>
  <c r="B3" i="1"/>
  <c r="I53" i="26"/>
  <c r="H53" i="26"/>
  <c r="L3" i="26" s="1"/>
  <c r="G53" i="26"/>
  <c r="K3" i="26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F13" i="26"/>
  <c r="Y12" i="26"/>
  <c r="X12" i="26"/>
  <c r="F12" i="26"/>
  <c r="Y11" i="26"/>
  <c r="X11" i="26"/>
  <c r="Y10" i="26"/>
  <c r="X10" i="26"/>
  <c r="F10" i="26"/>
  <c r="Y9" i="26"/>
  <c r="X9" i="26"/>
  <c r="F9" i="26"/>
  <c r="Y8" i="26"/>
  <c r="X8" i="26"/>
  <c r="F8" i="26"/>
  <c r="B8" i="26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F3" i="26"/>
  <c r="N3" i="1" l="1"/>
  <c r="Z3" i="26"/>
  <c r="P3" i="26" s="1"/>
  <c r="L3" i="1" s="1"/>
  <c r="M3" i="1"/>
  <c r="U3" i="1" s="1"/>
  <c r="R3" i="1" s="1"/>
  <c r="M3" i="26"/>
  <c r="O3" i="1" s="1"/>
  <c r="AA3" i="1" s="1"/>
  <c r="L12" i="1"/>
  <c r="P3" i="29"/>
  <c r="L6" i="1" s="1"/>
  <c r="AC6" i="1"/>
  <c r="P3" i="28"/>
  <c r="L5" i="1" s="1"/>
  <c r="AC5" i="1"/>
  <c r="P3" i="27"/>
  <c r="L4" i="1" s="1"/>
  <c r="AC4" i="1"/>
  <c r="Q3" i="26"/>
  <c r="N3" i="26"/>
  <c r="B12" i="26"/>
  <c r="K3" i="1" s="1"/>
  <c r="O3" i="26"/>
  <c r="J3" i="1" s="1"/>
  <c r="V3" i="1" l="1"/>
  <c r="AC3" i="1"/>
  <c r="H2" i="15"/>
  <c r="S3" i="1" s="1"/>
  <c r="G2" i="15" l="1"/>
  <c r="F2" i="15"/>
  <c r="I2" i="15" l="1"/>
  <c r="Q3" i="1" s="1"/>
  <c r="W3" i="1" s="1"/>
  <c r="Y3" i="1" l="1"/>
  <c r="X3" i="1"/>
  <c r="T3" i="1"/>
  <c r="K200" i="15"/>
  <c r="Z3" i="1" s="1"/>
</calcChain>
</file>

<file path=xl/sharedStrings.xml><?xml version="1.0" encoding="utf-8"?>
<sst xmlns="http://schemas.openxmlformats.org/spreadsheetml/2006/main" count="824" uniqueCount="94">
  <si>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</si>
  <si>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</si>
  <si>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</si>
  <si>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</si>
  <si>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</si>
  <si>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</si>
  <si>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</si>
  <si>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</si>
  <si>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Pabaiga</t>
  </si>
  <si>
    <t>Investuota</t>
  </si>
  <si>
    <t>Įnešta</t>
  </si>
  <si>
    <t>Išimta</t>
  </si>
  <si>
    <t>Skirtumas</t>
  </si>
  <si>
    <t>Viso:</t>
  </si>
  <si>
    <t>LV0000106516</t>
  </si>
  <si>
    <t>Latvian Forest Developement Fund</t>
  </si>
  <si>
    <t>LV0000106920</t>
  </si>
  <si>
    <t>Sandbox Funding</t>
  </si>
  <si>
    <t>Loans</t>
  </si>
  <si>
    <t>Tipas</t>
  </si>
  <si>
    <t>LV0000107902</t>
  </si>
  <si>
    <t>LV0000107886</t>
  </si>
  <si>
    <t>Pinigai</t>
  </si>
  <si>
    <t>Grąžinta</t>
  </si>
  <si>
    <t>Viso</t>
  </si>
  <si>
    <t>LV0000108736</t>
  </si>
  <si>
    <t>Suma</t>
  </si>
  <si>
    <t>Planuojama</t>
  </si>
  <si>
    <t>Reali</t>
  </si>
  <si>
    <t>LV0000109064</t>
  </si>
  <si>
    <t>Baltic Terra</t>
  </si>
  <si>
    <t>LV0000110047</t>
  </si>
  <si>
    <t>Trust score</t>
  </si>
  <si>
    <t>A</t>
  </si>
  <si>
    <t>B+</t>
  </si>
  <si>
    <t>LV0000110328</t>
  </si>
  <si>
    <t>Principal</t>
  </si>
  <si>
    <t>Interest</t>
  </si>
  <si>
    <t>Mokestis</t>
  </si>
  <si>
    <t>Mokesčiai</t>
  </si>
  <si>
    <t>XIRR</t>
  </si>
  <si>
    <t>Grąžinimas</t>
  </si>
  <si>
    <t>f554a779-27ed-4d9a-aa38-85635001a3fb</t>
  </si>
  <si>
    <t>ID</t>
  </si>
  <si>
    <t>b8f70cd8-bf9b-478c-a788-444e61e675eb</t>
  </si>
  <si>
    <t>205d18cd-bf4a-4bf1-88e3-fef3ffe6f736</t>
  </si>
  <si>
    <t>659c52bf-6023-48b2-bc0f-da590bcd36f9</t>
  </si>
  <si>
    <t>17f3efcd-5a40-4924-87d5-a72ce6d21313</t>
  </si>
  <si>
    <t>e26c310c-331f-4855-9f5d-294789304acd</t>
  </si>
  <si>
    <t>ccf30376-99e2-4ee5-8dd9-bd88dc4179b3</t>
  </si>
  <si>
    <t>392596bb-f6fe-4c38-8522-ce14eec475b6</t>
  </si>
  <si>
    <t>LV0000111102</t>
  </si>
  <si>
    <t>cf699f4c-f1b5-444f-9077-c94668c39431</t>
  </si>
  <si>
    <t>Vėluoja</t>
  </si>
  <si>
    <t>Nr.</t>
  </si>
  <si>
    <t>Liko</t>
  </si>
  <si>
    <t>Vėl./Anks.</t>
  </si>
  <si>
    <t>Terminas</t>
  </si>
  <si>
    <t>02a81318-bea5-4db2-8b3c-4d81db59fc9b</t>
  </si>
  <si>
    <t>Loan ID</t>
  </si>
  <si>
    <t>Šalis</t>
  </si>
  <si>
    <t>Skolintojas</t>
  </si>
  <si>
    <t>Pradžia</t>
  </si>
  <si>
    <t>Liko, dienos</t>
  </si>
  <si>
    <t>Investuota, Eur</t>
  </si>
  <si>
    <t>Latvia</t>
  </si>
  <si>
    <t>Notes</t>
  </si>
  <si>
    <t>LV0000111060</t>
  </si>
  <si>
    <t>Inv. data</t>
  </si>
  <si>
    <t>LV0000111698</t>
  </si>
  <si>
    <t>d4a9dcc7-82af-408f-bedb-9203f6d11007</t>
  </si>
  <si>
    <t>LV0000111847</t>
  </si>
  <si>
    <t>adfe9a00-ffd1-4b14-b52f-30de1ffe3b4e</t>
  </si>
  <si>
    <t>LV0000112340</t>
  </si>
  <si>
    <t>a1bc197d-257c-4974-99fa-cdc266369d55</t>
  </si>
  <si>
    <t>LV0000112639</t>
  </si>
  <si>
    <t>4d675011-7d10-48f2-8b75-877c5e500aa8</t>
  </si>
  <si>
    <t xml:space="preserve">Premijos </t>
  </si>
  <si>
    <t>Eur.</t>
  </si>
  <si>
    <t>LV0000112548</t>
  </si>
  <si>
    <t>bdb3036f-f951-45a6-b18b-b9271bd2431c</t>
  </si>
  <si>
    <t>44050fe8-efc4-4b40-b065-7643731bd5d6</t>
  </si>
  <si>
    <t>LV0000112365</t>
  </si>
  <si>
    <t>75ded71b-70d3-480f-b30e-fc40bee751fa</t>
  </si>
  <si>
    <t>Latvian Forest Developement Fund II</t>
  </si>
  <si>
    <t>LV0000113066</t>
  </si>
  <si>
    <t>B</t>
  </si>
  <si>
    <t>9e874a76-f3bf-42c5-9a2b-1450e0af9ae3</t>
  </si>
  <si>
    <t>LV0000113389</t>
  </si>
  <si>
    <t>LV0000113207</t>
  </si>
  <si>
    <t>6ffc241c-4674-470d-9bcc-1d396527f990</t>
  </si>
  <si>
    <t>LV0000113298</t>
  </si>
  <si>
    <t>dd0b19ae-bdc0-4c9f-b824-99949a748bdc</t>
  </si>
  <si>
    <t>2026.09.30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</si>
</sst>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164" fontId="0" fillId="0" borderId="1" xfId="0" applyNumberFormat="1" applyBorder="1"/>
    <xf numFmtId="164" fontId="0" fillId="0" borderId="1" xfId="0" quotePrefix="1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0" borderId="1" xfId="1" applyBorder="1" applyAlignment="1">
      <alignment horizontal="center"/>
    </xf>
    <xf numFmtId="1" fontId="0" fillId="0" borderId="1" xfId="0" applyNumberFormat="1" applyBorder="1"/>
    <xf numFmtId="0" fontId="1" fillId="0" borderId="4" xfId="0" applyFont="1" applyBorder="1" applyAlignment="1">
      <alignment horizontal="center"/>
    </xf>
    <xf numFmtId="1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2" fillId="0" borderId="1" xfId="1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8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43411-6837-4FB7-AC02-6F69DA6DA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96442D-DAFB-49A8-B647-86251C786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52383A-E99E-43D6-BA78-87EF5E4AE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4D7BE4-70B1-4028-AA3C-376B7D395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F6888-FF62-47FE-BE5A-AFC6976A8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A85772-560D-4DD6-8991-EEABBB7E4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6CB6E9-D945-4CB0-B9DC-5E1FA0789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4BB32B-7081-4A26-A0A3-2D3872B1A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1647A0-20DA-4A1B-98FB-99C8881D2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A8F36F-B12B-4557-9C88-75248AD4D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6D99D1-1FE6-4FDC-846A-926D9CDC3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98674F-7A43-41D0-8AF4-A018C402C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3423C-AFA6-48B1-A837-B342809E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EB44B2-BE82-4DA4-BC24-43C3B551A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5FFF8B-1379-4B10-B33C-A47BA2D2C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793A37-C294-4BBF-AFF5-91D3103E3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C5A88B-4060-4282-83A5-D6E7B6B54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ADCB68-DE8D-4EE6-9D9A-DBE9E3DCE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B7AD05-6D99-4CF8-9B83-1713B22C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7E27F-C240-4CF3-B076-48461644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H1"/>
    </sheetView>
  </sheetViews>
  <sheetFormatPr defaultRowHeight="15" x14ac:dyDescent="0.25"/>
  <cols>
    <col min="1" max="1" width="4.7109375" customWidth="1"/>
    <col min="2" max="2" width="12.7109375" customWidth="1"/>
    <col min="3" max="3" width="25.7109375" customWidth="1"/>
    <col min="4" max="5" width="10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7" t="s">
        <v>0</v>
      </c>
      <c r="B1" s="38"/>
      <c r="C1" s="38"/>
      <c r="D1" s="38"/>
      <c r="E1" s="38"/>
      <c r="F1" s="38"/>
      <c r="G1" s="38"/>
      <c r="H1" s="39"/>
      <c r="I1" s="34" t="s">
        <v>8</v>
      </c>
      <c r="J1" s="35"/>
      <c r="K1" s="35"/>
      <c r="L1" s="36"/>
      <c r="M1" s="40" t="s">
        <v>23</v>
      </c>
      <c r="N1" s="40"/>
      <c r="O1" s="40"/>
      <c r="P1" s="8"/>
      <c r="Q1" s="37" t="s">
        <v>22</v>
      </c>
      <c r="R1" s="38"/>
      <c r="S1" s="38"/>
      <c r="T1" s="39"/>
      <c r="U1" s="37" t="s">
        <v>23</v>
      </c>
      <c r="V1" s="39"/>
      <c r="W1" s="34" t="s">
        <v>4</v>
      </c>
      <c r="X1" s="35"/>
      <c r="Y1" s="35"/>
      <c r="Z1" s="36"/>
      <c r="AA1" s="4" t="s">
        <v>39</v>
      </c>
    </row>
    <row r="2" spans="1:29" x14ac:dyDescent="0.25">
      <c r="A2" s="21" t="s">
        <v>54</v>
      </c>
      <c r="B2" s="21" t="s">
        <v>68</v>
      </c>
      <c r="C2" s="21" t="s">
        <v>3</v>
      </c>
      <c r="D2" s="21" t="s">
        <v>60</v>
      </c>
      <c r="E2" s="21" t="s">
        <v>19</v>
      </c>
      <c r="F2" s="4" t="s">
        <v>57</v>
      </c>
      <c r="G2" s="21" t="s">
        <v>5</v>
      </c>
      <c r="H2" s="21" t="s">
        <v>26</v>
      </c>
      <c r="I2" s="4" t="s">
        <v>27</v>
      </c>
      <c r="J2" s="4" t="s">
        <v>28</v>
      </c>
      <c r="K2" s="4" t="s">
        <v>55</v>
      </c>
      <c r="L2" s="4" t="s">
        <v>53</v>
      </c>
      <c r="M2" s="4" t="s">
        <v>0</v>
      </c>
      <c r="N2" s="4" t="s">
        <v>1</v>
      </c>
      <c r="O2" s="4" t="s">
        <v>39</v>
      </c>
      <c r="P2" s="9"/>
      <c r="Q2" s="4" t="s">
        <v>10</v>
      </c>
      <c r="R2" s="4" t="s">
        <v>9</v>
      </c>
      <c r="S2" s="4" t="s">
        <v>77</v>
      </c>
      <c r="T2" s="4" t="s">
        <v>6</v>
      </c>
      <c r="U2" s="4" t="s">
        <v>0</v>
      </c>
      <c r="V2" s="4" t="s">
        <v>1</v>
      </c>
      <c r="W2" s="4" t="s">
        <v>24</v>
      </c>
      <c r="X2" s="4" t="s">
        <v>78</v>
      </c>
      <c r="Y2" s="4" t="s">
        <v>5</v>
      </c>
      <c r="Z2" s="4" t="s">
        <v>40</v>
      </c>
      <c r="AA2" s="4" t="s">
        <v>78</v>
      </c>
      <c r="AC2" s="10" t="s">
        <v>53</v>
      </c>
    </row>
    <row r="3" spans="1:29" x14ac:dyDescent="0.25">
      <c r="A3" s="2">
        <v>1</v>
      </c>
      <c r="B3" s="6">
        <f>'LV0000106516'!B9</f>
        <v>45923</v>
      </c>
      <c r="C3" s="22" t="str">
        <f>'LV0000106516'!B1</f>
        <v>LV0000106516</v>
      </c>
      <c r="D3" s="15" t="str">
        <f>'LV0000106516'!B2</f>
        <v>Latvia</v>
      </c>
      <c r="E3" s="2" t="str">
        <f>'LV0000106516'!B4</f>
        <v>Notes</v>
      </c>
      <c r="F3" s="2" t="str">
        <f>'LV0000106516'!B8</f>
        <v>0 m. 11 mėn. 22 d.</v>
      </c>
      <c r="G3" s="7">
        <f>'LV0000106516'!B15</f>
        <v>0.13</v>
      </c>
      <c r="H3" s="3">
        <f>'LV0000106516'!B16</f>
        <v>30</v>
      </c>
      <c r="I3" s="6">
        <f>'LV0000106516'!B11</f>
        <v>46279</v>
      </c>
      <c r="J3" s="6">
        <f>'LV0000106516'!O3</f>
        <v>46280</v>
      </c>
      <c r="K3" s="20" t="str">
        <f ca="1">'LV0000106516'!B12</f>
        <v/>
      </c>
      <c r="L3" s="2" t="str">
        <f ca="1">'LV0000106516'!P3</f>
        <v/>
      </c>
      <c r="M3" s="3">
        <f>'LV0000106516'!K3</f>
        <v>30</v>
      </c>
      <c r="N3" s="3">
        <f>'LV0000106516'!L3</f>
        <v>3.87</v>
      </c>
      <c r="O3" s="3">
        <f>'LV0000106516'!M3</f>
        <v>0</v>
      </c>
      <c r="P3" s="9"/>
      <c r="Q3" s="29">
        <f>Pinigai!I2</f>
        <v>300</v>
      </c>
      <c r="R3" s="29">
        <f>SUM(H3:H100)-U3</f>
        <v>318.58</v>
      </c>
      <c r="S3" s="30">
        <f>Pinigai!H2</f>
        <v>0.89</v>
      </c>
      <c r="T3" s="30">
        <f>W3-R3</f>
        <v>2.8199999999999932</v>
      </c>
      <c r="U3" s="29">
        <f>SUM(M3:M100)</f>
        <v>143.43</v>
      </c>
      <c r="V3" s="29">
        <f>SUM(N3:N100)-AA3</f>
        <v>20.51</v>
      </c>
      <c r="W3" s="30">
        <f>Q3+S3+V3</f>
        <v>321.39999999999998</v>
      </c>
      <c r="X3" s="30">
        <f>W3-Q3</f>
        <v>21.399999999999977</v>
      </c>
      <c r="Y3" s="31">
        <f>(W3-Q3)/Q3</f>
        <v>7.1333333333333263E-2</v>
      </c>
      <c r="Z3" s="32">
        <f ca="1">XIRR(Pinigai!K2:K200,Pinigai!A2:A200)</f>
        <v>0.12656479477882385</v>
      </c>
      <c r="AA3" s="30">
        <f>SUM(O3:O100)</f>
        <v>0</v>
      </c>
      <c r="AC3" s="3" t="str">
        <f ca="1">'LV0000106516'!Z3</f>
        <v/>
      </c>
    </row>
    <row r="4" spans="1:29" x14ac:dyDescent="0.25">
      <c r="A4" s="2">
        <v>2</v>
      </c>
      <c r="B4" s="6">
        <f>'LV0000106920'!B9</f>
        <v>45923</v>
      </c>
      <c r="C4" s="27" t="str">
        <f>'LV0000106920'!B1</f>
        <v>LV0000106920</v>
      </c>
      <c r="D4" s="2" t="str">
        <f>'LV0000106920'!B2</f>
        <v>Latvia</v>
      </c>
      <c r="E4" s="2" t="str">
        <f>'LV0000106920'!B4</f>
        <v>Loans</v>
      </c>
      <c r="F4" s="2" t="str">
        <f>'LV0000106920'!B8</f>
        <v>0 m. 11 mėn. 29 d.</v>
      </c>
      <c r="G4" s="7">
        <f>'LV0000106920'!B15</f>
        <v>0.1</v>
      </c>
      <c r="H4" s="3">
        <f>'LV0000106920'!B16</f>
        <v>20</v>
      </c>
      <c r="I4" s="6">
        <f>'LV0000106920'!B11</f>
        <v>46286</v>
      </c>
      <c r="J4" s="6">
        <f>'LV0000106920'!O3</f>
        <v>46258</v>
      </c>
      <c r="K4" s="20" t="str">
        <f ca="1">'LV0000106920'!B12</f>
        <v/>
      </c>
      <c r="L4" s="2" t="str">
        <f ca="1">'LV0000106920'!P3</f>
        <v/>
      </c>
      <c r="M4" s="3">
        <f>'LV0000106920'!K3</f>
        <v>20</v>
      </c>
      <c r="N4" s="3">
        <f>'LV0000106920'!L3</f>
        <v>1.9499999999999997</v>
      </c>
      <c r="O4" s="3">
        <f>'LV0000106920'!M3</f>
        <v>0</v>
      </c>
      <c r="P4" s="9"/>
      <c r="Q4" s="9"/>
      <c r="R4" s="9"/>
      <c r="S4" s="9"/>
      <c r="T4" s="9"/>
      <c r="U4" s="9"/>
      <c r="V4" s="9"/>
      <c r="W4" s="9"/>
      <c r="X4" s="9"/>
      <c r="Y4" s="18"/>
      <c r="Z4" s="18"/>
      <c r="AC4" s="3" t="str">
        <f ca="1">'LV0000106920'!Z3</f>
        <v/>
      </c>
    </row>
    <row r="5" spans="1:29" x14ac:dyDescent="0.25">
      <c r="A5" s="2">
        <v>3</v>
      </c>
      <c r="B5" s="6">
        <f>'LV0000107902'!B9</f>
        <v>45973</v>
      </c>
      <c r="C5" s="22" t="str">
        <f>'LV0000107902'!B1</f>
        <v>LV0000107902</v>
      </c>
      <c r="D5" s="2" t="str">
        <f>'LV0000107902'!B2</f>
        <v>Latvia</v>
      </c>
      <c r="E5" s="2" t="str">
        <f>'LV0000107902'!B4</f>
        <v>Notes</v>
      </c>
      <c r="F5" s="2" t="str">
        <f>'LV0000107902'!B8</f>
        <v>0 m. 6 mėn. 15 d.</v>
      </c>
      <c r="G5" s="7">
        <f>'LV0000107902'!B15</f>
        <v>0.11</v>
      </c>
      <c r="H5" s="3">
        <f>'LV0000107902'!B16</f>
        <v>30</v>
      </c>
      <c r="I5" s="6">
        <f>'LV0000107902'!B11</f>
        <v>46169</v>
      </c>
      <c r="J5" s="6">
        <f>'LV0000107902'!O3</f>
        <v>46169</v>
      </c>
      <c r="K5" s="20" t="str">
        <f ca="1">'LV0000107902'!B12</f>
        <v/>
      </c>
      <c r="L5" s="2" t="str">
        <f ca="1">'LV0000107902'!P3</f>
        <v/>
      </c>
      <c r="M5" s="3">
        <f>'LV0000107902'!K3</f>
        <v>30</v>
      </c>
      <c r="N5" s="3">
        <f>'LV0000107902'!L3</f>
        <v>1.8</v>
      </c>
      <c r="O5" s="3">
        <f>'LV0000107902'!M3</f>
        <v>0</v>
      </c>
      <c r="P5" s="9"/>
      <c r="AC5" s="3" t="str">
        <f ca="1">'LV0000107902'!Z3</f>
        <v/>
      </c>
    </row>
    <row r="6" spans="1:29" x14ac:dyDescent="0.25">
      <c r="A6" s="2">
        <v>4</v>
      </c>
      <c r="B6" s="6">
        <f>'LV0000107886'!B9</f>
        <v>45973</v>
      </c>
      <c r="C6" s="22" t="str">
        <f>'LV0000107886'!B1</f>
        <v>LV0000107886</v>
      </c>
      <c r="D6" s="2" t="str">
        <f>'LV0000107886'!B2</f>
        <v>Latvia</v>
      </c>
      <c r="E6" s="2" t="str">
        <f>'LV0000107886'!B4</f>
        <v>Notes</v>
      </c>
      <c r="F6" s="2" t="str">
        <f>'LV0000107886'!B8</f>
        <v>0 m. 3 mėn. 19 d.</v>
      </c>
      <c r="G6" s="7">
        <f>'LV0000107886'!B15</f>
        <v>0.104</v>
      </c>
      <c r="H6" s="3">
        <f>'LV0000107886'!B16</f>
        <v>20.64</v>
      </c>
      <c r="I6" s="6">
        <f>'LV0000107886'!B11</f>
        <v>46084</v>
      </c>
      <c r="J6" s="6">
        <f>'LV0000107886'!O3</f>
        <v>46083</v>
      </c>
      <c r="K6" s="20" t="str">
        <f ca="1">'LV0000107886'!B12</f>
        <v/>
      </c>
      <c r="L6" s="2" t="str">
        <f ca="1">'LV0000107886'!P3</f>
        <v/>
      </c>
      <c r="M6" s="3">
        <f>'LV0000107886'!K3</f>
        <v>20.64</v>
      </c>
      <c r="N6" s="3">
        <f>'LV0000107886'!L3</f>
        <v>0.66</v>
      </c>
      <c r="O6" s="3">
        <f>'LV0000107886'!M3</f>
        <v>0</v>
      </c>
      <c r="P6" s="9"/>
      <c r="AC6" s="3" t="str">
        <f ca="1">'LV0000107886'!Z3</f>
        <v/>
      </c>
    </row>
    <row r="7" spans="1:29" x14ac:dyDescent="0.25">
      <c r="A7" s="2">
        <v>5</v>
      </c>
      <c r="B7" s="6">
        <f>'LV0000108736'!B9</f>
        <v>46007</v>
      </c>
      <c r="C7" s="22" t="str">
        <f>'LV0000108736'!B1</f>
        <v>LV0000108736</v>
      </c>
      <c r="D7" s="2" t="str">
        <f>'LV0000108736'!B2</f>
        <v>Latvia</v>
      </c>
      <c r="E7" s="2" t="str">
        <f>'LV0000108736'!B4</f>
        <v>Notes</v>
      </c>
      <c r="F7" s="2" t="str">
        <f>'LV0000108736'!B8</f>
        <v>0 m. 5 mėn. 26 d.</v>
      </c>
      <c r="G7" s="7">
        <f>'LV0000108736'!B15</f>
        <v>0.11</v>
      </c>
      <c r="H7" s="3">
        <f>'LV0000108736'!B16</f>
        <v>20.99</v>
      </c>
      <c r="I7" s="6">
        <f>'LV0000108736'!B11</f>
        <v>46184</v>
      </c>
      <c r="J7" s="6">
        <f>'LV0000108736'!O3</f>
        <v>46185</v>
      </c>
      <c r="K7" s="20" t="str">
        <f ca="1">'LV0000108736'!B12</f>
        <v/>
      </c>
      <c r="L7" s="2" t="str">
        <f ca="1">'LV0000108736'!P3</f>
        <v/>
      </c>
      <c r="M7" s="3">
        <f>'LV0000108736'!K3</f>
        <v>20.99</v>
      </c>
      <c r="N7" s="3">
        <f>'LV0000108736'!L3</f>
        <v>1.1400000000000001</v>
      </c>
      <c r="O7" s="3">
        <f>'LV0000108736'!M3</f>
        <v>0</v>
      </c>
      <c r="P7" s="9"/>
      <c r="AC7" s="3" t="str">
        <f ca="1">'LV0000108736'!Z3</f>
        <v/>
      </c>
    </row>
    <row r="8" spans="1:29" x14ac:dyDescent="0.25">
      <c r="A8" s="2">
        <v>6</v>
      </c>
      <c r="B8" s="6">
        <f>'LV0000109064'!B9</f>
        <v>46029</v>
      </c>
      <c r="C8" s="22" t="str">
        <f>'LV0000109064'!B1</f>
        <v>LV0000109064</v>
      </c>
      <c r="D8" s="2" t="str">
        <f>'LV0000109064'!B2</f>
        <v>Latvia</v>
      </c>
      <c r="E8" s="2" t="str">
        <f>'LV0000109064'!B4</f>
        <v>Notes</v>
      </c>
      <c r="F8" s="2" t="str">
        <f>'LV0000109064'!B8</f>
        <v>0 m. 11 mėn. 21 d.</v>
      </c>
      <c r="G8" s="7">
        <f>'LV0000109064'!B15</f>
        <v>0.1125</v>
      </c>
      <c r="H8" s="3">
        <f>'LV0000109064'!B16</f>
        <v>21.01</v>
      </c>
      <c r="I8" s="6">
        <f>'LV0000109064'!B11</f>
        <v>46384</v>
      </c>
      <c r="J8" s="6" t="str">
        <f>'LV0000109064'!O3</f>
        <v/>
      </c>
      <c r="K8" s="20">
        <f ca="1">'LV0000109064'!B12</f>
        <v>89</v>
      </c>
      <c r="L8" s="2" t="str">
        <f ca="1">'LV0000109064'!P3</f>
        <v/>
      </c>
      <c r="M8" s="3">
        <f>'LV0000109064'!K3</f>
        <v>0</v>
      </c>
      <c r="N8" s="3">
        <f>'LV0000109064'!L3</f>
        <v>1.7399999999999998</v>
      </c>
      <c r="O8" s="3">
        <f>'LV0000109064'!M3</f>
        <v>0</v>
      </c>
      <c r="P8" s="9"/>
      <c r="AC8" s="3" t="str">
        <f ca="1">'LV0000109064'!Z3</f>
        <v/>
      </c>
    </row>
    <row r="9" spans="1:29" x14ac:dyDescent="0.25">
      <c r="A9" s="2">
        <v>7</v>
      </c>
      <c r="B9" s="6">
        <f>'LV0000110047'!B9</f>
        <v>46064</v>
      </c>
      <c r="C9" s="22" t="str">
        <f>'LV0000110047'!B1</f>
        <v>LV0000110047</v>
      </c>
      <c r="D9" s="2" t="str">
        <f>'LV0000110047'!B2</f>
        <v>Latvia</v>
      </c>
      <c r="E9" s="2" t="str">
        <f>'LV0000110047'!B4</f>
        <v>Loans</v>
      </c>
      <c r="F9" s="2" t="str">
        <f>'LV0000110047'!B8</f>
        <v>0 m. 11 mėn. 22 d.</v>
      </c>
      <c r="G9" s="7">
        <f>'LV0000110047'!B15</f>
        <v>0.105</v>
      </c>
      <c r="H9" s="3">
        <f>'LV0000110047'!B16</f>
        <v>21.43</v>
      </c>
      <c r="I9" s="6">
        <f>'LV0000110047'!B11</f>
        <v>46420</v>
      </c>
      <c r="J9" s="6" t="str">
        <f>'LV0000110047'!O3</f>
        <v/>
      </c>
      <c r="K9" s="20">
        <f ca="1">'LV0000110047'!B12</f>
        <v>125</v>
      </c>
      <c r="L9" s="2" t="str">
        <f ca="1">'LV0000110047'!P3</f>
        <v/>
      </c>
      <c r="M9" s="3">
        <f>'LV0000110047'!K3</f>
        <v>0</v>
      </c>
      <c r="N9" s="3">
        <f>'LV0000110047'!L3</f>
        <v>1.43</v>
      </c>
      <c r="O9" s="3">
        <f>'LV0000110047'!M3</f>
        <v>0</v>
      </c>
      <c r="P9" s="9"/>
      <c r="AC9" s="3" t="str">
        <f ca="1">'LV0000110047'!Z3</f>
        <v/>
      </c>
    </row>
    <row r="10" spans="1:29" x14ac:dyDescent="0.25">
      <c r="A10" s="2">
        <v>8</v>
      </c>
      <c r="B10" s="6">
        <f>'LV0000110328'!B9</f>
        <v>46083</v>
      </c>
      <c r="C10" s="22" t="str">
        <f>'LV0000110328'!B1</f>
        <v>LV0000110328</v>
      </c>
      <c r="D10" s="2" t="str">
        <f>'LV0000110328'!B2</f>
        <v>Latvia</v>
      </c>
      <c r="E10" s="2" t="str">
        <f>'LV0000110328'!B4</f>
        <v>Notes</v>
      </c>
      <c r="F10" s="2" t="str">
        <f>'LV0000110328'!B8</f>
        <v>0 m. 6 mėn. 6 d.</v>
      </c>
      <c r="G10" s="7">
        <f>'LV0000110328'!B15</f>
        <v>0.11</v>
      </c>
      <c r="H10" s="3">
        <f>'LV0000110328'!B16</f>
        <v>21.8</v>
      </c>
      <c r="I10" s="6">
        <f>'LV0000110328'!B11</f>
        <v>46273</v>
      </c>
      <c r="J10" s="6">
        <f>'LV0000110328'!O3</f>
        <v>46273</v>
      </c>
      <c r="K10" s="20" t="str">
        <f ca="1">'LV0000110328'!B12</f>
        <v/>
      </c>
      <c r="L10" s="2" t="str">
        <f ca="1">'LV0000110328'!P3</f>
        <v/>
      </c>
      <c r="M10" s="3">
        <f>'LV0000110328'!K3</f>
        <v>21.8</v>
      </c>
      <c r="N10" s="3">
        <f>'LV0000110328'!L3</f>
        <v>1.26</v>
      </c>
      <c r="O10" s="3">
        <f>'LV0000110328'!M3</f>
        <v>0</v>
      </c>
      <c r="P10" s="9"/>
      <c r="AC10" s="3" t="str">
        <f ca="1">'LV0000110328'!Z3</f>
        <v/>
      </c>
    </row>
    <row r="11" spans="1:29" x14ac:dyDescent="0.25">
      <c r="A11" s="2">
        <v>9</v>
      </c>
      <c r="B11" s="6">
        <f>'LV0000111102'!B9</f>
        <v>46128</v>
      </c>
      <c r="C11" s="22" t="str">
        <f>'LV0000111102'!B1</f>
        <v>LV0000111102</v>
      </c>
      <c r="D11" s="2" t="str">
        <f>'LV0000111102'!B2</f>
        <v>Latvia</v>
      </c>
      <c r="E11" s="2" t="str">
        <f>'LV0000111102'!B4</f>
        <v>Notes</v>
      </c>
      <c r="F11" s="2" t="str">
        <f>'LV0000111102'!B8</f>
        <v>1 m. 0 mėn. 12 d.</v>
      </c>
      <c r="G11" s="7">
        <f>'LV0000111102'!B15</f>
        <v>0.12</v>
      </c>
      <c r="H11" s="3">
        <f>'LV0000111102'!B16</f>
        <v>21.84</v>
      </c>
      <c r="I11" s="6">
        <f>'LV0000111102'!B11</f>
        <v>46505</v>
      </c>
      <c r="J11" s="6" t="str">
        <f>'LV0000111102'!O3</f>
        <v/>
      </c>
      <c r="K11" s="20">
        <f ca="1">'LV0000111102'!B12</f>
        <v>210</v>
      </c>
      <c r="L11" s="2" t="str">
        <f ca="1">'LV0000111102'!P3</f>
        <v/>
      </c>
      <c r="M11" s="3">
        <f>'LV0000111102'!K3</f>
        <v>0</v>
      </c>
      <c r="N11" s="3">
        <f>'LV0000111102'!L3</f>
        <v>1.2</v>
      </c>
      <c r="O11" s="3">
        <f>'LV0000111102'!M3</f>
        <v>0</v>
      </c>
      <c r="AC11" s="3" t="str">
        <f ca="1">'LV0000111102'!Z3</f>
        <v/>
      </c>
    </row>
    <row r="12" spans="1:29" x14ac:dyDescent="0.25">
      <c r="A12" s="2">
        <v>10</v>
      </c>
      <c r="B12" s="6">
        <f>'LV0000111060'!B9</f>
        <v>46147</v>
      </c>
      <c r="C12" s="22" t="str">
        <f>'LV0000111060'!B1</f>
        <v>LV0000111060</v>
      </c>
      <c r="D12" s="2" t="str">
        <f>'LV0000111060'!B2</f>
        <v>Latvia</v>
      </c>
      <c r="E12" s="2" t="str">
        <f>'LV0000111060'!B4</f>
        <v>Notes</v>
      </c>
      <c r="F12" s="2" t="str">
        <f>'LV0000111060'!B8</f>
        <v>0 m. 8 mėn. 6 d.</v>
      </c>
      <c r="G12" s="7">
        <f>'LV0000111060'!B15</f>
        <v>0.1075</v>
      </c>
      <c r="H12" s="3">
        <f>'LV0000111060'!B16</f>
        <v>21.75</v>
      </c>
      <c r="I12" s="6">
        <f>'LV0000111060'!B11</f>
        <v>46398</v>
      </c>
      <c r="J12" s="6" t="str">
        <f>'LV0000111060'!O3</f>
        <v/>
      </c>
      <c r="K12" s="20">
        <f ca="1">'LV0000111060'!B12</f>
        <v>103</v>
      </c>
      <c r="L12" s="2" t="str">
        <f ca="1">'LV0000111060'!P3</f>
        <v/>
      </c>
      <c r="M12" s="3">
        <f>'LV0000111060'!K3</f>
        <v>0</v>
      </c>
      <c r="N12" s="3">
        <f>'LV0000111060'!L3</f>
        <v>0.95</v>
      </c>
      <c r="O12" s="3">
        <f>'LV0000111060'!M3</f>
        <v>0</v>
      </c>
      <c r="AC12" s="3" t="str">
        <f ca="1">'LV0000111060'!Z3</f>
        <v/>
      </c>
    </row>
    <row r="13" spans="1:29" x14ac:dyDescent="0.25">
      <c r="A13" s="2">
        <v>11</v>
      </c>
      <c r="B13" s="6">
        <f>'LV0000111698'!B9</f>
        <v>46169</v>
      </c>
      <c r="C13" s="22" t="str">
        <f>'LV0000111698'!B1</f>
        <v>LV0000111698</v>
      </c>
      <c r="D13" s="2" t="str">
        <f>'LV0000111698'!B2</f>
        <v>Latvia</v>
      </c>
      <c r="E13" s="2" t="str">
        <f>'LV0000111698'!B4</f>
        <v>Notes</v>
      </c>
      <c r="F13" s="2" t="str">
        <f>'LV0000111698'!B8</f>
        <v>0 m. 8 mėn. 24 d.</v>
      </c>
      <c r="G13" s="7">
        <f>'LV0000111698'!B15</f>
        <v>0.1075</v>
      </c>
      <c r="H13" s="3">
        <f>'LV0000111698'!B16</f>
        <v>30.48</v>
      </c>
      <c r="I13" s="6">
        <f>'LV0000111698'!B11</f>
        <v>46438</v>
      </c>
      <c r="J13" s="6" t="str">
        <f>'LV0000111698'!O3</f>
        <v/>
      </c>
      <c r="K13" s="20">
        <f ca="1">'LV0000111698'!B12</f>
        <v>143</v>
      </c>
      <c r="L13" s="2" t="str">
        <f ca="1">'LV0000111698'!P3</f>
        <v/>
      </c>
      <c r="M13" s="3">
        <f>'LV0000111698'!K3</f>
        <v>0</v>
      </c>
      <c r="N13" s="3">
        <f>'LV0000111698'!L3</f>
        <v>1.1400000000000001</v>
      </c>
      <c r="O13" s="3">
        <f>'LV0000111698'!M3</f>
        <v>0</v>
      </c>
      <c r="AC13" s="3" t="str">
        <f ca="1">'LV0000111698'!Z3</f>
        <v/>
      </c>
    </row>
    <row r="14" spans="1:29" x14ac:dyDescent="0.25">
      <c r="A14" s="2">
        <v>12</v>
      </c>
      <c r="B14" s="6">
        <f>'LV0000111847'!B9</f>
        <v>46186</v>
      </c>
      <c r="C14" s="22" t="str">
        <f>'LV0000111847'!B1</f>
        <v>LV0000111847</v>
      </c>
      <c r="D14" s="2" t="str">
        <f>'LV0000111847'!B2</f>
        <v>Latvia</v>
      </c>
      <c r="E14" s="2" t="str">
        <f>'LV0000111847'!B4</f>
        <v>Notes</v>
      </c>
      <c r="F14" s="2" t="str">
        <f>'LV0000111847'!B8</f>
        <v>0 m. 8 mėn. 21 d.</v>
      </c>
      <c r="G14" s="7">
        <f>'LV0000111847'!B15</f>
        <v>0.115</v>
      </c>
      <c r="H14" s="3">
        <f>'LV0000111847'!B16</f>
        <v>22.92</v>
      </c>
      <c r="I14" s="6">
        <f>'LV0000111847'!B11</f>
        <v>46452</v>
      </c>
      <c r="J14" s="6" t="str">
        <f>'LV0000111847'!O3</f>
        <v/>
      </c>
      <c r="K14" s="20">
        <f ca="1">'LV0000111847'!B12</f>
        <v>157</v>
      </c>
      <c r="L14" s="2" t="str">
        <f ca="1">'LV0000111847'!P3</f>
        <v/>
      </c>
      <c r="M14" s="3">
        <f>'LV0000111847'!K3</f>
        <v>0</v>
      </c>
      <c r="N14" s="3">
        <f>'LV0000111847'!L3</f>
        <v>0.77999999999999992</v>
      </c>
      <c r="O14" s="3">
        <f>'LV0000111847'!M3</f>
        <v>0</v>
      </c>
      <c r="AC14" s="3" t="str">
        <f ca="1">'LV0000111847'!Z3</f>
        <v/>
      </c>
    </row>
    <row r="15" spans="1:29" x14ac:dyDescent="0.25">
      <c r="A15" s="2">
        <v>13</v>
      </c>
      <c r="B15" s="6">
        <f>'LV0000112340'!B9</f>
        <v>46205</v>
      </c>
      <c r="C15" s="22" t="str">
        <f>'LV0000112340'!B1</f>
        <v>LV0000112340</v>
      </c>
      <c r="D15" s="2" t="str">
        <f>'LV0000112340'!B2</f>
        <v>Latvia</v>
      </c>
      <c r="E15" s="2" t="str">
        <f>'LV0000112340'!B4</f>
        <v>Loans</v>
      </c>
      <c r="F15" s="2" t="str">
        <f>'LV0000112340'!B8</f>
        <v>0 m. 11 mėn. 27 d.</v>
      </c>
      <c r="G15" s="7">
        <f>'LV0000112340'!B15</f>
        <v>0.125</v>
      </c>
      <c r="H15" s="3">
        <f>'LV0000112340'!B16</f>
        <v>22.02</v>
      </c>
      <c r="I15" s="6">
        <f>'LV0000112340'!B11</f>
        <v>46567</v>
      </c>
      <c r="J15" s="6" t="str">
        <f>'LV0000112340'!O3</f>
        <v/>
      </c>
      <c r="K15" s="20">
        <f ca="1">'LV0000112340'!B12</f>
        <v>272</v>
      </c>
      <c r="L15" s="2" t="str">
        <f ca="1">'LV0000112340'!P3</f>
        <v/>
      </c>
      <c r="M15" s="3">
        <f>'LV0000112340'!K3</f>
        <v>0</v>
      </c>
      <c r="N15" s="3">
        <f>'LV0000112340'!L3</f>
        <v>0.68</v>
      </c>
      <c r="O15" s="3">
        <f>'LV0000112340'!M3</f>
        <v>0</v>
      </c>
      <c r="AC15" s="3" t="str">
        <f ca="1">'LV0000112340'!Z3</f>
        <v/>
      </c>
    </row>
    <row r="16" spans="1:29" x14ac:dyDescent="0.25">
      <c r="A16" s="2">
        <v>14</v>
      </c>
      <c r="B16" s="6">
        <f>'LV0000112639'!B9</f>
        <v>46217</v>
      </c>
      <c r="C16" s="22" t="str">
        <f>'LV0000112639'!B1</f>
        <v>LV0000112639</v>
      </c>
      <c r="D16" s="2" t="str">
        <f>'LV0000112639'!B2</f>
        <v>Latvia</v>
      </c>
      <c r="E16" s="2" t="str">
        <f>'LV0000112639'!B4</f>
        <v>Loans</v>
      </c>
      <c r="F16" s="2" t="str">
        <f>'LV0000112639'!B8</f>
        <v>0 m. 11 mėn. 29 d.</v>
      </c>
      <c r="G16" s="7">
        <f>'LV0000112639'!B15</f>
        <v>0.125</v>
      </c>
      <c r="H16" s="3">
        <f>'LV0000112639'!B16</f>
        <v>20</v>
      </c>
      <c r="I16" s="6">
        <f>'LV0000112639'!B11</f>
        <v>46581</v>
      </c>
      <c r="J16" s="6" t="str">
        <f>'LV0000112639'!O3</f>
        <v/>
      </c>
      <c r="K16" s="20">
        <f ca="1">'LV0000112639'!B12</f>
        <v>286</v>
      </c>
      <c r="L16" s="2" t="str">
        <f ca="1">'LV0000112639'!P3</f>
        <v/>
      </c>
      <c r="M16" s="3">
        <f>'LV0000112639'!K3</f>
        <v>0</v>
      </c>
      <c r="N16" s="3">
        <f>'LV0000112639'!L3</f>
        <v>0.54</v>
      </c>
      <c r="O16" s="3">
        <f>'LV0000112639'!M3</f>
        <v>0</v>
      </c>
      <c r="AC16" s="3" t="str">
        <f ca="1">'LV0000112639'!Z3</f>
        <v/>
      </c>
    </row>
    <row r="17" spans="1:29" x14ac:dyDescent="0.25">
      <c r="A17" s="2">
        <v>15</v>
      </c>
      <c r="B17" s="6">
        <f>'LV0000112548'!B9</f>
        <v>46237</v>
      </c>
      <c r="C17" s="22" t="str">
        <f>'LV0000112548'!B1</f>
        <v>LV0000112548</v>
      </c>
      <c r="D17" s="2" t="str">
        <f>'LV0000112548'!B2</f>
        <v>Latvia</v>
      </c>
      <c r="E17" s="2" t="str">
        <f>'LV0000112548'!B4</f>
        <v>Notes</v>
      </c>
      <c r="F17" s="2" t="str">
        <f>'LV0000112548'!B8</f>
        <v>0 m. 11 mėn. 23 d.</v>
      </c>
      <c r="G17" s="7">
        <f>'LV0000112548'!B15</f>
        <v>0.12</v>
      </c>
      <c r="H17" s="3">
        <f>'LV0000112548'!B16</f>
        <v>22.39</v>
      </c>
      <c r="I17" s="6">
        <f>'LV0000112548'!B11</f>
        <v>46594</v>
      </c>
      <c r="J17" s="6" t="str">
        <f>'LV0000112548'!O3</f>
        <v/>
      </c>
      <c r="K17" s="20">
        <f ca="1">'LV0000112548'!B12</f>
        <v>299</v>
      </c>
      <c r="L17" s="2" t="str">
        <f ca="1">'LV0000112548'!P3</f>
        <v/>
      </c>
      <c r="M17" s="3">
        <f>'LV0000112548'!K3</f>
        <v>0</v>
      </c>
      <c r="N17" s="3">
        <f>'LV0000112548'!L3</f>
        <v>0.43000000000000005</v>
      </c>
      <c r="O17" s="3">
        <f>'LV0000112548'!M3</f>
        <v>0</v>
      </c>
      <c r="AC17" s="3" t="str">
        <f ca="1">'LV0000112548'!Z3</f>
        <v/>
      </c>
    </row>
    <row r="18" spans="1:29" x14ac:dyDescent="0.25">
      <c r="A18" s="2">
        <v>16</v>
      </c>
      <c r="B18" s="6">
        <f>'LV0000112365'!B9</f>
        <v>46258</v>
      </c>
      <c r="C18" s="22" t="str">
        <f>'LV0000112365'!B1</f>
        <v>LV0000112365</v>
      </c>
      <c r="D18" s="2" t="str">
        <f>'LV0000112365'!B2</f>
        <v>Latvia</v>
      </c>
      <c r="E18" s="2" t="str">
        <f>'LV0000112365'!B4</f>
        <v>Notes</v>
      </c>
      <c r="F18" s="2" t="str">
        <f>'LV0000112365'!B8</f>
        <v>1 m. 4 mėn. 27 d.</v>
      </c>
      <c r="G18" s="7">
        <f>'LV0000112365'!B15</f>
        <v>0.125</v>
      </c>
      <c r="H18" s="3">
        <f>'LV0000112365'!B16</f>
        <v>20.14</v>
      </c>
      <c r="I18" s="6">
        <f>'LV0000112365'!B11</f>
        <v>46772</v>
      </c>
      <c r="J18" s="6" t="str">
        <f>'LV0000112365'!O3</f>
        <v/>
      </c>
      <c r="K18" s="20">
        <f ca="1">'LV0000112365'!B12</f>
        <v>477</v>
      </c>
      <c r="L18" s="2" t="str">
        <f ca="1">'LV0000112365'!P3</f>
        <v/>
      </c>
      <c r="M18" s="3">
        <f>'LV0000112365'!K3</f>
        <v>0</v>
      </c>
      <c r="N18" s="3">
        <f>'LV0000112365'!L3</f>
        <v>0.26</v>
      </c>
      <c r="O18" s="3">
        <f>'LV0000112365'!M3</f>
        <v>0</v>
      </c>
      <c r="AC18" s="3" t="str">
        <f ca="1">'LV0000112365'!Z3</f>
        <v/>
      </c>
    </row>
    <row r="19" spans="1:29" x14ac:dyDescent="0.25">
      <c r="A19" s="2">
        <v>17</v>
      </c>
      <c r="B19" s="6">
        <f>'LV0000113066'!B9</f>
        <v>46267</v>
      </c>
      <c r="C19" s="22" t="str">
        <f>'LV0000113066'!B1</f>
        <v>LV0000113066</v>
      </c>
      <c r="D19" s="2" t="str">
        <f>'LV0000113066'!B2</f>
        <v>Latvia</v>
      </c>
      <c r="E19" s="2" t="str">
        <f>'LV0000113066'!B4</f>
        <v>Notes</v>
      </c>
      <c r="F19" s="2" t="str">
        <f>'LV0000113066'!B8</f>
        <v>0 m. 11 mėn. 13 d.</v>
      </c>
      <c r="G19" s="7">
        <f>'LV0000113066'!B15</f>
        <v>0.1</v>
      </c>
      <c r="H19" s="3">
        <f>'LV0000113066'!B16</f>
        <v>22.59</v>
      </c>
      <c r="I19" s="6">
        <f>'LV0000113066'!B11</f>
        <v>46614</v>
      </c>
      <c r="J19" s="6" t="str">
        <f>'LV0000113066'!O3</f>
        <v/>
      </c>
      <c r="K19" s="20">
        <f ca="1">'LV0000113066'!B12</f>
        <v>319</v>
      </c>
      <c r="L19" s="2" t="str">
        <f ca="1">'LV0000113066'!P3</f>
        <v/>
      </c>
      <c r="M19" s="3">
        <f>'LV0000113066'!K3</f>
        <v>0</v>
      </c>
      <c r="N19" s="3">
        <f>'LV0000113066'!L3</f>
        <v>0.19</v>
      </c>
      <c r="O19" s="3">
        <f>'LV0000113066'!M3</f>
        <v>0</v>
      </c>
      <c r="AC19" s="3" t="str">
        <f ca="1">'LV0000113066'!Z3</f>
        <v/>
      </c>
    </row>
    <row r="20" spans="1:29" x14ac:dyDescent="0.25">
      <c r="A20" s="2">
        <v>18</v>
      </c>
      <c r="B20" s="6">
        <f>'LV0000113389'!B9</f>
        <v>46272</v>
      </c>
      <c r="C20" s="22" t="str">
        <f>'LV0000113389'!B1</f>
        <v>LV0000113389</v>
      </c>
      <c r="D20" s="2" t="str">
        <f>'LV0000113389'!B2</f>
        <v>Latvia</v>
      </c>
      <c r="E20" s="2" t="str">
        <f>'LV0000113389'!B4</f>
        <v>Loans</v>
      </c>
      <c r="F20" s="2" t="str">
        <f>'LV0000113389'!B8</f>
        <v>0 m. 11 mėn. 30 d.</v>
      </c>
      <c r="G20" s="7">
        <f>'LV0000113389'!B15</f>
        <v>0.125</v>
      </c>
      <c r="H20" s="3">
        <f>'LV0000113389'!B16</f>
        <v>20</v>
      </c>
      <c r="I20" s="6">
        <f>'LV0000113389'!B11</f>
        <v>46636</v>
      </c>
      <c r="J20" s="6" t="str">
        <f>'LV0000113389'!O3</f>
        <v/>
      </c>
      <c r="K20" s="20">
        <f ca="1">'LV0000113389'!B12</f>
        <v>341</v>
      </c>
      <c r="L20" s="2" t="str">
        <f ca="1">'LV0000113389'!P3</f>
        <v/>
      </c>
      <c r="M20" s="3">
        <f>'LV0000113389'!K3</f>
        <v>0</v>
      </c>
      <c r="N20" s="3">
        <f>'LV0000113389'!L3</f>
        <v>0.16</v>
      </c>
      <c r="O20" s="3">
        <f>'LV0000113389'!M3</f>
        <v>0</v>
      </c>
      <c r="AC20" s="3" t="str">
        <f ca="1">'LV0000113389'!Z3</f>
        <v/>
      </c>
    </row>
    <row r="21" spans="1:29" x14ac:dyDescent="0.25">
      <c r="A21" s="2">
        <v>19</v>
      </c>
      <c r="B21" s="6">
        <f>'LV0000113207'!B9</f>
        <v>46273</v>
      </c>
      <c r="C21" s="22" t="str">
        <f>'LV0000113207'!B1</f>
        <v>LV0000113207</v>
      </c>
      <c r="D21" s="2" t="str">
        <f>'LV0000113207'!B2</f>
        <v>Latvia</v>
      </c>
      <c r="E21" s="2" t="str">
        <f>'LV0000113207'!B4</f>
        <v>Notes</v>
      </c>
      <c r="F21" s="2" t="str">
        <f>'LV0000113207'!B8</f>
        <v>1 m. 6 mėn. 4 d.</v>
      </c>
      <c r="G21" s="7">
        <f>'LV0000113207'!B15</f>
        <v>0.125</v>
      </c>
      <c r="H21" s="3">
        <f>'LV0000113207'!B16</f>
        <v>21.85</v>
      </c>
      <c r="I21" s="6">
        <f>'LV0000113207'!B11</f>
        <v>46824</v>
      </c>
      <c r="J21" s="6" t="str">
        <f>'LV0000113207'!O3</f>
        <v/>
      </c>
      <c r="K21" s="20">
        <f ca="1">'LV0000113207'!B12</f>
        <v>529</v>
      </c>
      <c r="L21" s="2" t="str">
        <f ca="1">'LV0000113207'!P3</f>
        <v/>
      </c>
      <c r="M21" s="3">
        <f>'LV0000113207'!K3</f>
        <v>0</v>
      </c>
      <c r="N21" s="3">
        <f>'LV0000113207'!L3</f>
        <v>0.17</v>
      </c>
      <c r="O21" s="3">
        <f>'LV0000113207'!M3</f>
        <v>0</v>
      </c>
      <c r="AC21" s="3" t="str">
        <f ca="1">'LV0000113207'!Z3</f>
        <v/>
      </c>
    </row>
    <row r="22" spans="1:29" x14ac:dyDescent="0.25">
      <c r="A22" s="2">
        <v>20</v>
      </c>
      <c r="B22" s="6">
        <f>'LV0000113298'!B9</f>
        <v>46280</v>
      </c>
      <c r="C22" s="22" t="str">
        <f>'LV0000113298'!B1</f>
        <v>LV0000113298</v>
      </c>
      <c r="D22" s="2" t="str">
        <f>'LV0000113298'!B2</f>
        <v>Latvia</v>
      </c>
      <c r="E22" s="2" t="str">
        <f>'LV0000113298'!B4</f>
        <v>Notes</v>
      </c>
      <c r="F22" s="2" t="str">
        <f>'LV0000113298'!B8</f>
        <v>0 m. 11 mėn. 17 d.</v>
      </c>
      <c r="G22" s="7">
        <f>'LV0000113298'!B15</f>
        <v>0.12</v>
      </c>
      <c r="H22" s="3">
        <f>'LV0000113298'!B16</f>
        <v>30.16</v>
      </c>
      <c r="I22" s="6">
        <f>'LV0000113298'!B11</f>
        <v>46631</v>
      </c>
      <c r="J22" s="6" t="str">
        <f>'LV0000113298'!O3</f>
        <v/>
      </c>
      <c r="K22" s="20">
        <f ca="1">'LV0000113298'!B12</f>
        <v>336</v>
      </c>
      <c r="L22" s="2" t="str">
        <f ca="1">'LV0000113298'!P3</f>
        <v/>
      </c>
      <c r="M22" s="3">
        <f>'LV0000113298'!K3</f>
        <v>0</v>
      </c>
      <c r="N22" s="3">
        <f>'LV0000113298'!L3</f>
        <v>0.16</v>
      </c>
      <c r="O22" s="3">
        <f>'LV0000113298'!M3</f>
        <v>0</v>
      </c>
      <c r="AC22" s="3" t="str">
        <f ca="1">'LV0000113298'!Z3</f>
        <v/>
      </c>
    </row>
    <row r="23" spans="1:29" x14ac:dyDescent="0.25">
      <c r="A23" s="1"/>
      <c r="B23" s="1"/>
      <c r="C23" s="1"/>
      <c r="D23" s="2"/>
      <c r="E23" s="1"/>
      <c r="F23" s="1"/>
      <c r="G23" s="1"/>
      <c r="H23" s="1"/>
      <c r="I23" s="12"/>
      <c r="J23" s="12"/>
      <c r="K23" s="23"/>
      <c r="L23" s="2"/>
      <c r="M23" s="1"/>
      <c r="N23" s="1"/>
      <c r="O23" s="1"/>
      <c r="AC23" s="1"/>
    </row>
    <row r="24" spans="1:29" x14ac:dyDescent="0.25">
      <c r="A24" s="1"/>
      <c r="B24" s="1"/>
      <c r="C24" s="1"/>
      <c r="D24" s="2"/>
      <c r="E24" s="1"/>
      <c r="F24" s="1"/>
      <c r="G24" s="1"/>
      <c r="H24" s="1"/>
      <c r="I24" s="12"/>
      <c r="J24" s="12"/>
      <c r="K24" s="23"/>
      <c r="L24" s="2"/>
      <c r="M24" s="1"/>
      <c r="N24" s="1"/>
      <c r="O24" s="1"/>
      <c r="AC24" s="1"/>
    </row>
    <row r="25" spans="1:29" x14ac:dyDescent="0.25">
      <c r="A25" s="1"/>
      <c r="B25" s="1"/>
      <c r="C25" s="1"/>
      <c r="D25" s="2"/>
      <c r="E25" s="1"/>
      <c r="F25" s="1"/>
      <c r="G25" s="1"/>
      <c r="H25" s="1"/>
      <c r="I25" s="12"/>
      <c r="J25" s="12"/>
      <c r="K25" s="23"/>
      <c r="L25" s="2"/>
      <c r="M25" s="1"/>
      <c r="N25" s="1"/>
      <c r="O25" s="1"/>
      <c r="AC25" s="1"/>
    </row>
    <row r="26" spans="1:29" x14ac:dyDescent="0.25">
      <c r="A26" s="1"/>
      <c r="B26" s="1"/>
      <c r="C26" s="1"/>
      <c r="D26" s="2"/>
      <c r="E26" s="1"/>
      <c r="F26" s="1"/>
      <c r="G26" s="1"/>
      <c r="H26" s="1"/>
      <c r="I26" s="12"/>
      <c r="J26" s="12"/>
      <c r="K26" s="23"/>
      <c r="L26" s="2"/>
      <c r="M26" s="1"/>
      <c r="N26" s="1"/>
      <c r="O26" s="1"/>
      <c r="AC26" s="1"/>
    </row>
    <row r="27" spans="1:29" x14ac:dyDescent="0.25">
      <c r="A27" s="1"/>
      <c r="B27" s="1"/>
      <c r="C27" s="1"/>
      <c r="D27" s="2"/>
      <c r="E27" s="1"/>
      <c r="F27" s="1"/>
      <c r="G27" s="1"/>
      <c r="H27" s="1"/>
      <c r="I27" s="12"/>
      <c r="J27" s="12"/>
      <c r="K27" s="23"/>
      <c r="L27" s="2"/>
      <c r="M27" s="1"/>
      <c r="N27" s="1"/>
      <c r="O27" s="1"/>
      <c r="AC27" s="1"/>
    </row>
  </sheetData>
  <mergeCells count="6">
    <mergeCell ref="W1:Z1"/>
    <mergeCell ref="I1:L1"/>
    <mergeCell ref="A1:H1"/>
    <mergeCell ref="M1:O1"/>
    <mergeCell ref="Q1:T1"/>
    <mergeCell ref="U1:V1"/>
  </mergeCells>
  <conditionalFormatting sqref="A3:O27">
    <cfRule type="expression" dxfId="83" priority="23">
      <formula>$AC3="+"</formula>
    </cfRule>
    <cfRule type="expression" dxfId="82" priority="24">
      <formula>AND($M3&gt;0,$H3=$M3)</formula>
    </cfRule>
  </conditionalFormatting>
  <conditionalFormatting sqref="AC3:AC22">
    <cfRule type="expression" dxfId="81" priority="1">
      <formula>$AC3="+"</formula>
    </cfRule>
  </conditionalFormatting>
  <conditionalFormatting sqref="AC3:AC27">
    <cfRule type="expression" dxfId="80" priority="2">
      <formula>AND($M3&gt;0,$H3=$M3)</formula>
    </cfRule>
  </conditionalFormatting>
  <hyperlinks>
    <hyperlink ref="C3" location="'LV0000106516'!A1" display="'LV0000106516'!A1" xr:uid="{7329909C-F19E-4640-894E-51775A131A99}"/>
    <hyperlink ref="C5" location="'LV0000107902'!A1" display="'LV0000107902'!A1" xr:uid="{3B7116FB-B652-4385-B286-F9A5AB73D4DB}"/>
    <hyperlink ref="C6" location="'LV0000107886'!A1" display="'LV0000107886'!A1" xr:uid="{3AB657A3-716E-45ED-96B7-597EF9B3AE95}"/>
    <hyperlink ref="C7" location="'LV0000108736'!A1" display="'LV0000108736'!A1" xr:uid="{F2A67312-470B-44C3-8AA7-F5B222150E97}"/>
    <hyperlink ref="C8" location="'LV0000109064'!A1" display="'LV0000109064'!A1" xr:uid="{40B22990-31D1-4BCD-8B04-DB7C52E89E0A}"/>
    <hyperlink ref="C9" location="'LV0000110047'!A1" display="'LV0000110047'!A1" xr:uid="{D3599CC8-DF2D-4F48-9AFC-E9D80B732E48}"/>
    <hyperlink ref="C10" location="'LV0000110328'!A1" display="'LV0000110328'!A1" xr:uid="{9FE15C8A-6944-40D3-A26F-4444C6B3912C}"/>
    <hyperlink ref="C11" location="'LV0000111102'!A1" display="'LV0000111102'!A1" xr:uid="{FBC2B6B2-F28B-424F-BD9A-283881D31265}"/>
    <hyperlink ref="C12" location="'LV0000111060'!A1" display="'LV0000111060'!A1" xr:uid="{9AB97591-EA05-4953-B78E-52F2E21B9C59}"/>
    <hyperlink ref="C4" location="'LV0000106920'!A1" display="'LV0000106920'!A1" xr:uid="{F1773417-03F0-4F67-B86C-87D43DD78223}"/>
    <hyperlink ref="C13" location="'LV0000111698'!A1" display="'LV0000111698'!A1" xr:uid="{548013DB-6A8B-4E61-A981-967DC90470E7}"/>
    <hyperlink ref="C14" location="'LV0000111847'!A1" display="'LV0000111847'!A1" xr:uid="{B9D73432-CA85-4740-B173-BABBABA5F72F}"/>
    <hyperlink ref="C15" location="'LV0000112340'!A1" display="'LV0000112340'!A1" xr:uid="{B735E935-BB57-4D32-830D-91A0AE87CC0C}"/>
    <hyperlink ref="C16" location="'LV0000112639'!A1" display="'LV0000112639'!A1" xr:uid="{90B0DC3A-A102-4740-81BC-6E1A14229BD2}"/>
    <hyperlink ref="C17" location="'LV0000112548'!A1" display="'LV0000112548'!A1" xr:uid="{8AB69B64-407A-48D5-9211-BEE3D8EED0EF}"/>
    <hyperlink ref="C18" location="'LV0000112365'!A1" display="'LV0000112365'!A1" xr:uid="{48F27DAE-9E48-4440-BF1E-61912A73A2E3}"/>
    <hyperlink ref="C19" location="'LV0000113066'!A1" display="'LV0000113066'!A1" xr:uid="{21089C62-20F9-4C11-90BD-2ACBA945F143}"/>
    <hyperlink ref="C20" location="'LV0000113389'!A1" display="'LV0000113389'!A1" xr:uid="{B57BDA9C-8433-4C76-85D1-B63DE4267487}"/>
    <hyperlink ref="C21" location="'LV0000113207'!A1" display="'LV0000113207'!A1" xr:uid="{D4431940-ABA1-45EC-B308-B71D2C8BF587}"/>
    <hyperlink ref="C22" location="'LV0000113298'!A1" display="'LV0000113298'!A1" xr:uid="{0475E7E3-A8D7-4866-A45F-A718C38C2732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A15" sqref="A15"/>
    </sheetView>
  </sheetViews>
  <sheetFormatPr defaultRowHeight="15" x14ac:dyDescent="0.25"/>
  <cols>
    <col min="1" max="1" width="12.7109375" style="19" customWidth="1"/>
    <col min="2" max="4" width="10.7109375" customWidth="1"/>
    <col min="5" max="5" width="8.7109375" customWidth="1"/>
    <col min="6" max="7" width="10.7109375" customWidth="1"/>
    <col min="9" max="9" width="10.7109375" customWidth="1"/>
    <col min="11" max="11" width="9.140625" style="15"/>
  </cols>
  <sheetData>
    <row r="1" spans="1:11" x14ac:dyDescent="0.25">
      <c r="A1" s="28" t="s">
        <v>2</v>
      </c>
      <c r="B1" s="10" t="s">
        <v>10</v>
      </c>
      <c r="C1" s="10" t="s">
        <v>11</v>
      </c>
      <c r="D1" s="10" t="s">
        <v>7</v>
      </c>
      <c r="E1" s="11"/>
      <c r="F1" s="10" t="s">
        <v>10</v>
      </c>
      <c r="G1" s="10" t="s">
        <v>11</v>
      </c>
      <c r="H1" s="10" t="s">
        <v>7</v>
      </c>
      <c r="I1" s="10" t="s">
        <v>12</v>
      </c>
      <c r="K1" s="10" t="s">
        <v>40</v>
      </c>
    </row>
    <row r="2" spans="1:11" x14ac:dyDescent="0.25">
      <c r="A2" s="6">
        <v>45922</v>
      </c>
      <c r="B2" s="3">
        <v>50</v>
      </c>
      <c r="C2" s="3">
        <v>0</v>
      </c>
      <c r="D2" s="3">
        <v>0</v>
      </c>
      <c r="F2" s="3">
        <f>SUM(B2:B35)</f>
        <v>300</v>
      </c>
      <c r="G2" s="3">
        <f>SUM(C2:C35)</f>
        <v>0</v>
      </c>
      <c r="H2" s="3">
        <f>SUM(D2:D35)</f>
        <v>0.89</v>
      </c>
      <c r="I2" s="3">
        <f>F2-G2</f>
        <v>300</v>
      </c>
      <c r="K2" s="3">
        <f t="shared" ref="K2:K15" si="0">B2*-1</f>
        <v>-50</v>
      </c>
    </row>
    <row r="3" spans="1:11" x14ac:dyDescent="0.25">
      <c r="A3" s="6">
        <v>45972</v>
      </c>
      <c r="B3" s="3">
        <v>50</v>
      </c>
      <c r="C3" s="3">
        <v>0</v>
      </c>
      <c r="D3" s="3">
        <v>0</v>
      </c>
      <c r="K3" s="3">
        <f t="shared" si="0"/>
        <v>-50</v>
      </c>
    </row>
    <row r="4" spans="1:11" x14ac:dyDescent="0.25">
      <c r="A4" s="6">
        <v>46006</v>
      </c>
      <c r="B4" s="3">
        <v>20</v>
      </c>
      <c r="C4" s="3">
        <v>0</v>
      </c>
      <c r="D4" s="3">
        <v>0</v>
      </c>
      <c r="K4" s="3">
        <f t="shared" si="0"/>
        <v>-20</v>
      </c>
    </row>
    <row r="5" spans="1:11" x14ac:dyDescent="0.25">
      <c r="A5" s="6">
        <v>46024</v>
      </c>
      <c r="B5" s="3">
        <v>20</v>
      </c>
      <c r="C5" s="3">
        <v>0</v>
      </c>
      <c r="D5" s="3">
        <v>0</v>
      </c>
      <c r="K5" s="3">
        <f t="shared" si="0"/>
        <v>-20</v>
      </c>
    </row>
    <row r="6" spans="1:11" x14ac:dyDescent="0.25">
      <c r="A6" s="6">
        <v>46064</v>
      </c>
      <c r="B6" s="3">
        <v>20</v>
      </c>
      <c r="C6" s="3">
        <v>0</v>
      </c>
      <c r="D6" s="3">
        <v>0</v>
      </c>
      <c r="K6" s="3">
        <f t="shared" si="0"/>
        <v>-20</v>
      </c>
    </row>
    <row r="7" spans="1:11" x14ac:dyDescent="0.25">
      <c r="A7" s="6">
        <v>46128</v>
      </c>
      <c r="B7" s="3">
        <v>20</v>
      </c>
      <c r="C7" s="3">
        <v>0</v>
      </c>
      <c r="D7" s="3">
        <v>0.34</v>
      </c>
      <c r="K7" s="3">
        <f t="shared" si="0"/>
        <v>-20</v>
      </c>
    </row>
    <row r="8" spans="1:11" x14ac:dyDescent="0.25">
      <c r="A8" s="6">
        <v>46144</v>
      </c>
      <c r="B8" s="3">
        <v>20</v>
      </c>
      <c r="C8" s="3">
        <v>0</v>
      </c>
      <c r="D8" s="3">
        <v>0</v>
      </c>
      <c r="K8" s="3">
        <f t="shared" si="0"/>
        <v>-20</v>
      </c>
    </row>
    <row r="9" spans="1:11" x14ac:dyDescent="0.25">
      <c r="A9" s="6">
        <v>46147</v>
      </c>
      <c r="B9" s="3">
        <v>0</v>
      </c>
      <c r="C9" s="3">
        <v>0</v>
      </c>
      <c r="D9" s="3">
        <v>0.15</v>
      </c>
      <c r="K9" s="3">
        <f t="shared" si="0"/>
        <v>0</v>
      </c>
    </row>
    <row r="10" spans="1:11" x14ac:dyDescent="0.25">
      <c r="A10" s="6">
        <v>46169</v>
      </c>
      <c r="B10" s="3">
        <v>0</v>
      </c>
      <c r="C10" s="3">
        <v>0</v>
      </c>
      <c r="D10" s="3">
        <v>0.4</v>
      </c>
      <c r="K10" s="3">
        <f t="shared" si="0"/>
        <v>0</v>
      </c>
    </row>
    <row r="11" spans="1:11" x14ac:dyDescent="0.25">
      <c r="A11" s="6">
        <v>46205</v>
      </c>
      <c r="B11" s="3">
        <v>20</v>
      </c>
      <c r="C11" s="3">
        <v>0</v>
      </c>
      <c r="D11" s="3">
        <v>0</v>
      </c>
      <c r="K11" s="3">
        <f t="shared" si="0"/>
        <v>-20</v>
      </c>
    </row>
    <row r="12" spans="1:11" x14ac:dyDescent="0.25">
      <c r="A12" s="6">
        <v>46217</v>
      </c>
      <c r="B12" s="3">
        <v>20</v>
      </c>
      <c r="C12" s="3">
        <v>0</v>
      </c>
      <c r="D12" s="3">
        <v>0</v>
      </c>
      <c r="K12" s="3">
        <f t="shared" si="0"/>
        <v>-20</v>
      </c>
    </row>
    <row r="13" spans="1:11" x14ac:dyDescent="0.25">
      <c r="A13" s="6">
        <v>46237</v>
      </c>
      <c r="B13" s="3">
        <v>20</v>
      </c>
      <c r="C13" s="3">
        <v>0</v>
      </c>
      <c r="D13" s="3">
        <v>0</v>
      </c>
      <c r="K13" s="3">
        <f t="shared" si="0"/>
        <v>-20</v>
      </c>
    </row>
    <row r="14" spans="1:11" x14ac:dyDescent="0.25">
      <c r="A14" s="6">
        <v>46267</v>
      </c>
      <c r="B14" s="3">
        <v>20</v>
      </c>
      <c r="C14" s="3">
        <v>0</v>
      </c>
      <c r="D14" s="3">
        <v>0</v>
      </c>
      <c r="K14" s="3">
        <f t="shared" si="0"/>
        <v>-20</v>
      </c>
    </row>
    <row r="15" spans="1:11" x14ac:dyDescent="0.25">
      <c r="A15" s="6">
        <v>46271</v>
      </c>
      <c r="B15" s="3">
        <v>20</v>
      </c>
      <c r="C15" s="3">
        <v>0</v>
      </c>
      <c r="D15" s="3">
        <v>0</v>
      </c>
      <c r="K15" s="2">
        <f t="shared" si="0"/>
        <v>-20</v>
      </c>
    </row>
    <row r="16" spans="1:11" x14ac:dyDescent="0.25">
      <c r="A16" s="6"/>
      <c r="B16" s="1"/>
      <c r="C16" s="1"/>
      <c r="D16" s="1"/>
      <c r="K16" s="2"/>
    </row>
    <row r="17" spans="1:11" x14ac:dyDescent="0.25">
      <c r="A17" s="6"/>
      <c r="B17" s="1"/>
      <c r="C17" s="1"/>
      <c r="D17" s="1"/>
      <c r="K17" s="2"/>
    </row>
    <row r="18" spans="1:11" x14ac:dyDescent="0.25">
      <c r="A18" s="6"/>
      <c r="B18" s="1"/>
      <c r="C18" s="1"/>
      <c r="D18" s="1"/>
      <c r="K18" s="2"/>
    </row>
    <row r="19" spans="1:11" x14ac:dyDescent="0.25">
      <c r="A19" s="6"/>
      <c r="B19" s="1"/>
      <c r="C19" s="1"/>
      <c r="D19" s="1"/>
      <c r="K19" s="2"/>
    </row>
    <row r="20" spans="1:11" x14ac:dyDescent="0.25">
      <c r="A20" s="6"/>
      <c r="B20" s="1"/>
      <c r="C20" s="1"/>
      <c r="D20" s="1"/>
      <c r="K20" s="2"/>
    </row>
    <row r="21" spans="1:11" x14ac:dyDescent="0.25">
      <c r="A21" s="6"/>
      <c r="B21" s="1"/>
      <c r="C21" s="1"/>
      <c r="D21" s="1"/>
      <c r="K21" s="2"/>
    </row>
    <row r="22" spans="1:11" x14ac:dyDescent="0.25">
      <c r="A22" s="6"/>
      <c r="B22" s="1"/>
      <c r="C22" s="1"/>
      <c r="D22" s="1"/>
      <c r="K22" s="2"/>
    </row>
    <row r="23" spans="1:11" x14ac:dyDescent="0.25">
      <c r="A23" s="6"/>
      <c r="B23" s="1"/>
      <c r="C23" s="1"/>
      <c r="D23" s="1"/>
      <c r="K23" s="2"/>
    </row>
    <row r="24" spans="1:11" x14ac:dyDescent="0.25">
      <c r="A24" s="6"/>
      <c r="B24" s="1"/>
      <c r="C24" s="1"/>
      <c r="D24" s="1"/>
      <c r="K24" s="2"/>
    </row>
    <row r="25" spans="1:11" x14ac:dyDescent="0.25">
      <c r="A25" s="6"/>
      <c r="B25" s="1"/>
      <c r="C25" s="1"/>
      <c r="D25" s="1"/>
      <c r="K25" s="2"/>
    </row>
    <row r="26" spans="1:11" x14ac:dyDescent="0.25">
      <c r="A26" s="6"/>
      <c r="B26" s="1"/>
      <c r="C26" s="1"/>
      <c r="D26" s="1"/>
      <c r="K26" s="2"/>
    </row>
    <row r="27" spans="1:11" x14ac:dyDescent="0.25">
      <c r="A27" s="6"/>
      <c r="B27" s="1"/>
      <c r="C27" s="1"/>
      <c r="D27" s="1"/>
      <c r="K27" s="2"/>
    </row>
    <row r="28" spans="1:11" x14ac:dyDescent="0.25">
      <c r="A28" s="6"/>
      <c r="B28" s="1"/>
      <c r="C28" s="1"/>
      <c r="D28" s="1"/>
      <c r="K28" s="2"/>
    </row>
    <row r="29" spans="1:11" x14ac:dyDescent="0.25">
      <c r="A29" s="6"/>
      <c r="B29" s="1"/>
      <c r="C29" s="1"/>
      <c r="D29" s="1"/>
      <c r="K29" s="2"/>
    </row>
    <row r="30" spans="1:11" x14ac:dyDescent="0.25">
      <c r="A30" s="6"/>
      <c r="B30" s="1"/>
      <c r="C30" s="1"/>
      <c r="D30" s="1"/>
      <c r="K30" s="2"/>
    </row>
    <row r="31" spans="1:11" x14ac:dyDescent="0.25">
      <c r="A31" s="6"/>
      <c r="B31" s="1"/>
      <c r="C31" s="1"/>
      <c r="D31" s="1"/>
      <c r="K31" s="2"/>
    </row>
    <row r="32" spans="1:11" x14ac:dyDescent="0.25">
      <c r="A32" s="6"/>
      <c r="B32" s="1"/>
      <c r="C32" s="1"/>
      <c r="D32" s="1"/>
      <c r="K32" s="2"/>
    </row>
    <row r="33" spans="1:11" x14ac:dyDescent="0.25">
      <c r="A33" s="6"/>
      <c r="B33" s="1"/>
      <c r="C33" s="1"/>
      <c r="D33" s="1"/>
      <c r="K33" s="2"/>
    </row>
    <row r="34" spans="1:11" x14ac:dyDescent="0.25">
      <c r="A34" s="6"/>
      <c r="B34" s="1"/>
      <c r="C34" s="1"/>
      <c r="D34" s="1"/>
      <c r="K34" s="2"/>
    </row>
    <row r="35" spans="1:11" x14ac:dyDescent="0.25">
      <c r="A35" s="6"/>
      <c r="B35" s="1"/>
      <c r="C35" s="1"/>
      <c r="D35" s="1"/>
      <c r="K35" s="2"/>
    </row>
    <row r="36" spans="1:11" x14ac:dyDescent="0.25">
      <c r="A36" s="6"/>
      <c r="B36" s="1"/>
      <c r="C36" s="1"/>
      <c r="D36" s="1"/>
      <c r="K36" s="2"/>
    </row>
    <row r="37" spans="1:11" x14ac:dyDescent="0.25">
      <c r="A37" s="6"/>
      <c r="B37" s="1"/>
      <c r="C37" s="1"/>
      <c r="D37" s="1"/>
      <c r="K37" s="2"/>
    </row>
    <row r="38" spans="1:11" x14ac:dyDescent="0.25">
      <c r="A38" s="6"/>
      <c r="B38" s="1"/>
      <c r="C38" s="1"/>
      <c r="D38" s="1"/>
      <c r="K38" s="2"/>
    </row>
    <row r="39" spans="1:11" x14ac:dyDescent="0.25">
      <c r="A39" s="6"/>
      <c r="B39" s="1"/>
      <c r="C39" s="1"/>
      <c r="D39" s="1"/>
      <c r="K39" s="2"/>
    </row>
    <row r="40" spans="1:11" x14ac:dyDescent="0.25">
      <c r="A40" s="6"/>
      <c r="B40" s="1"/>
      <c r="C40" s="1"/>
      <c r="D40" s="1"/>
      <c r="K40" s="2"/>
    </row>
    <row r="41" spans="1:11" x14ac:dyDescent="0.25">
      <c r="A41" s="6"/>
      <c r="B41" s="1"/>
      <c r="C41" s="1"/>
      <c r="D41" s="1"/>
      <c r="K41" s="2"/>
    </row>
    <row r="42" spans="1:11" x14ac:dyDescent="0.25">
      <c r="A42" s="6"/>
      <c r="B42" s="1"/>
      <c r="C42" s="1"/>
      <c r="D42" s="1"/>
      <c r="K42" s="2"/>
    </row>
    <row r="43" spans="1:11" x14ac:dyDescent="0.25">
      <c r="A43" s="6"/>
      <c r="B43" s="1"/>
      <c r="C43" s="1"/>
      <c r="D43" s="1"/>
      <c r="K43" s="2"/>
    </row>
    <row r="44" spans="1:11" x14ac:dyDescent="0.25">
      <c r="A44" s="6"/>
      <c r="B44" s="1"/>
      <c r="C44" s="1"/>
      <c r="D44" s="1"/>
      <c r="K44" s="2"/>
    </row>
    <row r="45" spans="1:11" x14ac:dyDescent="0.25">
      <c r="A45" s="6"/>
      <c r="B45" s="1"/>
      <c r="C45" s="1"/>
      <c r="D45" s="1"/>
      <c r="K45" s="2"/>
    </row>
    <row r="46" spans="1:11" x14ac:dyDescent="0.25">
      <c r="A46" s="6"/>
      <c r="B46" s="1"/>
      <c r="C46" s="1"/>
      <c r="D46" s="1"/>
      <c r="K46" s="2"/>
    </row>
    <row r="47" spans="1:11" x14ac:dyDescent="0.25">
      <c r="A47" s="6"/>
      <c r="B47" s="1"/>
      <c r="C47" s="1"/>
      <c r="D47" s="1"/>
      <c r="K47" s="2"/>
    </row>
    <row r="48" spans="1:11" x14ac:dyDescent="0.25">
      <c r="A48" s="6"/>
      <c r="B48" s="1"/>
      <c r="C48" s="1"/>
      <c r="D48" s="1"/>
      <c r="K48" s="2"/>
    </row>
    <row r="49" spans="1:11" x14ac:dyDescent="0.25">
      <c r="A49" s="6"/>
      <c r="B49" s="1"/>
      <c r="C49" s="1"/>
      <c r="D49" s="1"/>
      <c r="K49" s="2"/>
    </row>
    <row r="50" spans="1:11" x14ac:dyDescent="0.25">
      <c r="A50" s="6"/>
      <c r="B50" s="1"/>
      <c r="C50" s="1"/>
      <c r="D50" s="1"/>
      <c r="K50" s="2"/>
    </row>
    <row r="51" spans="1:11" x14ac:dyDescent="0.25">
      <c r="A51" s="6"/>
      <c r="B51" s="1"/>
      <c r="C51" s="1"/>
      <c r="D51" s="1"/>
      <c r="K51" s="2"/>
    </row>
    <row r="52" spans="1:11" x14ac:dyDescent="0.25">
      <c r="A52" s="6"/>
      <c r="B52" s="1"/>
      <c r="C52" s="1"/>
      <c r="D52" s="1"/>
      <c r="K52" s="2"/>
    </row>
    <row r="53" spans="1:11" x14ac:dyDescent="0.25">
      <c r="A53" s="6"/>
      <c r="B53" s="1"/>
      <c r="C53" s="1"/>
      <c r="D53" s="1"/>
      <c r="K53" s="2"/>
    </row>
    <row r="54" spans="1:11" x14ac:dyDescent="0.25">
      <c r="A54" s="6"/>
      <c r="B54" s="1"/>
      <c r="C54" s="1"/>
      <c r="D54" s="1"/>
      <c r="K54" s="2"/>
    </row>
    <row r="55" spans="1:11" x14ac:dyDescent="0.25">
      <c r="A55" s="6"/>
      <c r="B55" s="1"/>
      <c r="C55" s="1"/>
      <c r="D55" s="1"/>
      <c r="K55" s="2"/>
    </row>
    <row r="56" spans="1:11" x14ac:dyDescent="0.25">
      <c r="A56" s="6"/>
      <c r="B56" s="1"/>
      <c r="C56" s="1"/>
      <c r="D56" s="1"/>
      <c r="K56" s="2"/>
    </row>
    <row r="57" spans="1:11" x14ac:dyDescent="0.25">
      <c r="A57" s="6"/>
      <c r="B57" s="1"/>
      <c r="C57" s="1"/>
      <c r="D57" s="1"/>
      <c r="K57" s="2"/>
    </row>
    <row r="58" spans="1:11" x14ac:dyDescent="0.25">
      <c r="A58" s="6"/>
      <c r="B58" s="1"/>
      <c r="C58" s="1"/>
      <c r="D58" s="1"/>
      <c r="K58" s="2"/>
    </row>
    <row r="59" spans="1:11" x14ac:dyDescent="0.25">
      <c r="A59" s="6"/>
      <c r="B59" s="1"/>
      <c r="C59" s="1"/>
      <c r="D59" s="1"/>
      <c r="K59" s="2"/>
    </row>
    <row r="60" spans="1:11" x14ac:dyDescent="0.25">
      <c r="A60" s="6"/>
      <c r="B60" s="1"/>
      <c r="C60" s="1"/>
      <c r="D60" s="1"/>
      <c r="K60" s="2"/>
    </row>
    <row r="61" spans="1:11" x14ac:dyDescent="0.25">
      <c r="A61" s="6"/>
      <c r="B61" s="1"/>
      <c r="C61" s="1"/>
      <c r="D61" s="1"/>
      <c r="K61" s="2"/>
    </row>
    <row r="62" spans="1:11" x14ac:dyDescent="0.25">
      <c r="A62" s="6"/>
      <c r="B62" s="1"/>
      <c r="C62" s="1"/>
      <c r="D62" s="1"/>
      <c r="K62" s="2"/>
    </row>
    <row r="63" spans="1:11" x14ac:dyDescent="0.25">
      <c r="A63" s="6"/>
      <c r="B63" s="1"/>
      <c r="C63" s="1"/>
      <c r="D63" s="1"/>
      <c r="K63" s="2"/>
    </row>
    <row r="64" spans="1:11" x14ac:dyDescent="0.25">
      <c r="A64" s="6"/>
      <c r="B64" s="1"/>
      <c r="C64" s="1"/>
      <c r="D64" s="1"/>
      <c r="K64" s="2"/>
    </row>
    <row r="65" spans="1:11" x14ac:dyDescent="0.25">
      <c r="A65" s="6"/>
      <c r="B65" s="1"/>
      <c r="C65" s="1"/>
      <c r="D65" s="1"/>
      <c r="K65" s="2"/>
    </row>
    <row r="66" spans="1:11" x14ac:dyDescent="0.25">
      <c r="A66" s="6"/>
      <c r="B66" s="1"/>
      <c r="C66" s="1"/>
      <c r="D66" s="1"/>
      <c r="K66" s="2"/>
    </row>
    <row r="67" spans="1:11" x14ac:dyDescent="0.25">
      <c r="A67" s="6"/>
      <c r="B67" s="1"/>
      <c r="C67" s="1"/>
      <c r="D67" s="1"/>
      <c r="K67" s="2"/>
    </row>
    <row r="68" spans="1:11" x14ac:dyDescent="0.25">
      <c r="A68" s="6"/>
      <c r="B68" s="1"/>
      <c r="C68" s="1"/>
      <c r="D68" s="1"/>
      <c r="K68" s="2"/>
    </row>
    <row r="69" spans="1:11" x14ac:dyDescent="0.25">
      <c r="A69" s="6"/>
      <c r="B69" s="1"/>
      <c r="C69" s="1"/>
      <c r="D69" s="1"/>
      <c r="K69" s="2"/>
    </row>
    <row r="70" spans="1:11" x14ac:dyDescent="0.25">
      <c r="A70" s="6"/>
      <c r="B70" s="1"/>
      <c r="C70" s="1"/>
      <c r="D70" s="1"/>
      <c r="K70" s="2"/>
    </row>
    <row r="71" spans="1:11" x14ac:dyDescent="0.25">
      <c r="A71" s="6"/>
      <c r="B71" s="1"/>
      <c r="C71" s="1"/>
      <c r="D71" s="1"/>
      <c r="K71" s="2"/>
    </row>
    <row r="72" spans="1:11" x14ac:dyDescent="0.25">
      <c r="A72" s="6"/>
      <c r="B72" s="1"/>
      <c r="C72" s="1"/>
      <c r="D72" s="1"/>
      <c r="K72" s="2"/>
    </row>
    <row r="73" spans="1:11" x14ac:dyDescent="0.25">
      <c r="A73" s="6"/>
      <c r="B73" s="1"/>
      <c r="C73" s="1"/>
      <c r="D73" s="1"/>
      <c r="K73" s="2"/>
    </row>
    <row r="74" spans="1:11" x14ac:dyDescent="0.25">
      <c r="A74" s="6"/>
      <c r="B74" s="1"/>
      <c r="C74" s="1"/>
      <c r="D74" s="1"/>
      <c r="K74" s="2"/>
    </row>
    <row r="75" spans="1:11" x14ac:dyDescent="0.25">
      <c r="A75" s="6"/>
      <c r="B75" s="1"/>
      <c r="C75" s="1"/>
      <c r="D75" s="1"/>
      <c r="K75" s="2"/>
    </row>
    <row r="76" spans="1:11" x14ac:dyDescent="0.25">
      <c r="A76" s="6"/>
      <c r="B76" s="1"/>
      <c r="C76" s="1"/>
      <c r="D76" s="1"/>
      <c r="K76" s="2"/>
    </row>
    <row r="77" spans="1:11" x14ac:dyDescent="0.25">
      <c r="A77" s="6"/>
      <c r="B77" s="1"/>
      <c r="C77" s="1"/>
      <c r="D77" s="1"/>
      <c r="K77" s="2"/>
    </row>
    <row r="78" spans="1:11" x14ac:dyDescent="0.25">
      <c r="A78" s="6"/>
      <c r="B78" s="1"/>
      <c r="C78" s="1"/>
      <c r="D78" s="1"/>
      <c r="K78" s="2"/>
    </row>
    <row r="79" spans="1:11" x14ac:dyDescent="0.25">
      <c r="A79" s="6"/>
      <c r="B79" s="1"/>
      <c r="C79" s="1"/>
      <c r="D79" s="1"/>
      <c r="K79" s="2"/>
    </row>
    <row r="80" spans="1:11" x14ac:dyDescent="0.25">
      <c r="A80" s="6"/>
      <c r="B80" s="1"/>
      <c r="C80" s="1"/>
      <c r="D80" s="1"/>
      <c r="K80" s="2"/>
    </row>
    <row r="81" spans="1:11" x14ac:dyDescent="0.25">
      <c r="A81" s="6"/>
      <c r="B81" s="1"/>
      <c r="C81" s="1"/>
      <c r="D81" s="1"/>
      <c r="K81" s="2"/>
    </row>
    <row r="82" spans="1:11" x14ac:dyDescent="0.25">
      <c r="A82" s="6"/>
      <c r="B82" s="1"/>
      <c r="C82" s="1"/>
      <c r="D82" s="1"/>
      <c r="K82" s="2"/>
    </row>
    <row r="83" spans="1:11" x14ac:dyDescent="0.25">
      <c r="A83" s="6"/>
      <c r="B83" s="1"/>
      <c r="C83" s="1"/>
      <c r="D83" s="1"/>
      <c r="K83" s="2"/>
    </row>
    <row r="84" spans="1:11" x14ac:dyDescent="0.25">
      <c r="A84" s="6"/>
      <c r="B84" s="1"/>
      <c r="C84" s="1"/>
      <c r="D84" s="1"/>
      <c r="K84" s="2"/>
    </row>
    <row r="85" spans="1:11" x14ac:dyDescent="0.25">
      <c r="A85" s="6"/>
      <c r="B85" s="1"/>
      <c r="C85" s="1"/>
      <c r="D85" s="1"/>
      <c r="K85" s="2"/>
    </row>
    <row r="86" spans="1:11" x14ac:dyDescent="0.25">
      <c r="A86" s="6"/>
      <c r="B86" s="1"/>
      <c r="C86" s="1"/>
      <c r="D86" s="1"/>
      <c r="K86" s="2"/>
    </row>
    <row r="87" spans="1:11" x14ac:dyDescent="0.25">
      <c r="A87" s="6"/>
      <c r="B87" s="1"/>
      <c r="C87" s="1"/>
      <c r="D87" s="1"/>
      <c r="K87" s="2"/>
    </row>
    <row r="88" spans="1:11" x14ac:dyDescent="0.25">
      <c r="A88" s="6"/>
      <c r="B88" s="1"/>
      <c r="C88" s="1"/>
      <c r="D88" s="1"/>
      <c r="K88" s="2"/>
    </row>
    <row r="89" spans="1:11" x14ac:dyDescent="0.25">
      <c r="A89" s="6"/>
      <c r="B89" s="1"/>
      <c r="C89" s="1"/>
      <c r="D89" s="1"/>
      <c r="K89" s="2"/>
    </row>
    <row r="90" spans="1:11" x14ac:dyDescent="0.25">
      <c r="A90" s="6"/>
      <c r="B90" s="1"/>
      <c r="C90" s="1"/>
      <c r="D90" s="1"/>
      <c r="K90" s="2"/>
    </row>
    <row r="91" spans="1:11" x14ac:dyDescent="0.25">
      <c r="A91" s="6"/>
      <c r="B91" s="1"/>
      <c r="C91" s="1"/>
      <c r="D91" s="1"/>
      <c r="K91" s="2"/>
    </row>
    <row r="92" spans="1:11" x14ac:dyDescent="0.25">
      <c r="A92" s="6"/>
      <c r="B92" s="1"/>
      <c r="C92" s="1"/>
      <c r="D92" s="1"/>
      <c r="K92" s="2"/>
    </row>
    <row r="93" spans="1:11" x14ac:dyDescent="0.25">
      <c r="A93" s="6"/>
      <c r="B93" s="1"/>
      <c r="C93" s="1"/>
      <c r="D93" s="1"/>
      <c r="K93" s="2"/>
    </row>
    <row r="94" spans="1:11" x14ac:dyDescent="0.25">
      <c r="A94" s="6"/>
      <c r="B94" s="1"/>
      <c r="C94" s="1"/>
      <c r="D94" s="1"/>
      <c r="K94" s="2"/>
    </row>
    <row r="95" spans="1:11" x14ac:dyDescent="0.25">
      <c r="A95" s="6"/>
      <c r="B95" s="1"/>
      <c r="C95" s="1"/>
      <c r="D95" s="1"/>
      <c r="K95" s="2"/>
    </row>
    <row r="96" spans="1:11" x14ac:dyDescent="0.25">
      <c r="A96" s="6"/>
      <c r="B96" s="1"/>
      <c r="C96" s="1"/>
      <c r="D96" s="1"/>
      <c r="K96" s="2"/>
    </row>
    <row r="97" spans="1:11" x14ac:dyDescent="0.25">
      <c r="A97" s="6"/>
      <c r="B97" s="1"/>
      <c r="C97" s="1"/>
      <c r="D97" s="1"/>
      <c r="K97" s="2"/>
    </row>
    <row r="98" spans="1:11" x14ac:dyDescent="0.25">
      <c r="A98" s="6"/>
      <c r="B98" s="1"/>
      <c r="C98" s="1"/>
      <c r="D98" s="1"/>
      <c r="K98" s="2"/>
    </row>
    <row r="99" spans="1:11" x14ac:dyDescent="0.25">
      <c r="A99" s="6"/>
      <c r="B99" s="1"/>
      <c r="C99" s="1"/>
      <c r="D99" s="1"/>
      <c r="K99" s="2"/>
    </row>
    <row r="100" spans="1:11" x14ac:dyDescent="0.25">
      <c r="A100" s="6"/>
      <c r="B100" s="1"/>
      <c r="C100" s="1"/>
      <c r="D100" s="1"/>
      <c r="K100" s="2"/>
    </row>
    <row r="101" spans="1:11" x14ac:dyDescent="0.25">
      <c r="A101" s="6"/>
      <c r="B101" s="1"/>
      <c r="C101" s="1"/>
      <c r="D101" s="1"/>
      <c r="K101" s="2"/>
    </row>
    <row r="102" spans="1:11" x14ac:dyDescent="0.25">
      <c r="A102" s="6"/>
      <c r="B102" s="1"/>
      <c r="C102" s="1"/>
      <c r="D102" s="1"/>
      <c r="K102" s="2"/>
    </row>
    <row r="103" spans="1:11" x14ac:dyDescent="0.25">
      <c r="A103" s="6"/>
      <c r="B103" s="1"/>
      <c r="C103" s="1"/>
      <c r="D103" s="1"/>
      <c r="K103" s="2"/>
    </row>
    <row r="104" spans="1:11" x14ac:dyDescent="0.25">
      <c r="A104" s="6"/>
      <c r="B104" s="1"/>
      <c r="C104" s="1"/>
      <c r="D104" s="1"/>
      <c r="K104" s="2"/>
    </row>
    <row r="105" spans="1:11" x14ac:dyDescent="0.25">
      <c r="A105" s="6"/>
      <c r="B105" s="1"/>
      <c r="C105" s="1"/>
      <c r="D105" s="1"/>
      <c r="K105" s="2"/>
    </row>
    <row r="106" spans="1:11" x14ac:dyDescent="0.25">
      <c r="A106" s="6"/>
      <c r="B106" s="1"/>
      <c r="C106" s="1"/>
      <c r="D106" s="1"/>
      <c r="K106" s="2"/>
    </row>
    <row r="107" spans="1:11" x14ac:dyDescent="0.25">
      <c r="A107" s="6"/>
      <c r="B107" s="1"/>
      <c r="C107" s="1"/>
      <c r="D107" s="1"/>
      <c r="K107" s="2"/>
    </row>
    <row r="108" spans="1:11" x14ac:dyDescent="0.25">
      <c r="A108" s="6"/>
      <c r="B108" s="1"/>
      <c r="C108" s="1"/>
      <c r="D108" s="1"/>
      <c r="K108" s="2"/>
    </row>
    <row r="109" spans="1:11" x14ac:dyDescent="0.25">
      <c r="A109" s="6"/>
      <c r="B109" s="1"/>
      <c r="C109" s="1"/>
      <c r="D109" s="1"/>
      <c r="K109" s="2"/>
    </row>
    <row r="110" spans="1:11" x14ac:dyDescent="0.25">
      <c r="A110" s="6"/>
      <c r="B110" s="1"/>
      <c r="C110" s="1"/>
      <c r="D110" s="1"/>
      <c r="K110" s="2"/>
    </row>
    <row r="111" spans="1:11" x14ac:dyDescent="0.25">
      <c r="A111" s="6"/>
      <c r="B111" s="1"/>
      <c r="C111" s="1"/>
      <c r="D111" s="1"/>
      <c r="K111" s="2"/>
    </row>
    <row r="112" spans="1:11" x14ac:dyDescent="0.25">
      <c r="A112" s="6"/>
      <c r="B112" s="1"/>
      <c r="C112" s="1"/>
      <c r="D112" s="1"/>
      <c r="K112" s="2"/>
    </row>
    <row r="113" spans="1:11" x14ac:dyDescent="0.25">
      <c r="A113" s="6"/>
      <c r="B113" s="1"/>
      <c r="C113" s="1"/>
      <c r="D113" s="1"/>
      <c r="K113" s="2"/>
    </row>
    <row r="114" spans="1:11" x14ac:dyDescent="0.25">
      <c r="A114" s="6"/>
      <c r="B114" s="1"/>
      <c r="C114" s="1"/>
      <c r="D114" s="1"/>
      <c r="K114" s="2"/>
    </row>
    <row r="115" spans="1:11" x14ac:dyDescent="0.25">
      <c r="A115" s="6"/>
      <c r="B115" s="1"/>
      <c r="C115" s="1"/>
      <c r="D115" s="1"/>
      <c r="K115" s="2"/>
    </row>
    <row r="116" spans="1:11" x14ac:dyDescent="0.25">
      <c r="A116" s="6"/>
      <c r="B116" s="1"/>
      <c r="C116" s="1"/>
      <c r="D116" s="1"/>
      <c r="K116" s="2"/>
    </row>
    <row r="117" spans="1:11" x14ac:dyDescent="0.25">
      <c r="A117" s="6"/>
      <c r="B117" s="1"/>
      <c r="C117" s="1"/>
      <c r="D117" s="1"/>
      <c r="K117" s="2"/>
    </row>
    <row r="118" spans="1:11" x14ac:dyDescent="0.25">
      <c r="A118" s="6"/>
      <c r="B118" s="1"/>
      <c r="C118" s="1"/>
      <c r="D118" s="1"/>
      <c r="K118" s="2"/>
    </row>
    <row r="119" spans="1:11" x14ac:dyDescent="0.25">
      <c r="A119" s="6"/>
      <c r="B119" s="1"/>
      <c r="C119" s="1"/>
      <c r="D119" s="1"/>
      <c r="K119" s="2"/>
    </row>
    <row r="120" spans="1:11" x14ac:dyDescent="0.25">
      <c r="A120" s="6"/>
      <c r="B120" s="1"/>
      <c r="C120" s="1"/>
      <c r="D120" s="1"/>
      <c r="K120" s="2"/>
    </row>
    <row r="121" spans="1:11" x14ac:dyDescent="0.25">
      <c r="A121" s="6"/>
      <c r="B121" s="1"/>
      <c r="C121" s="1"/>
      <c r="D121" s="1"/>
      <c r="K121" s="2"/>
    </row>
    <row r="122" spans="1:11" x14ac:dyDescent="0.25">
      <c r="A122" s="6"/>
      <c r="B122" s="1"/>
      <c r="C122" s="1"/>
      <c r="D122" s="1"/>
      <c r="K122" s="2"/>
    </row>
    <row r="123" spans="1:11" x14ac:dyDescent="0.25">
      <c r="A123" s="6"/>
      <c r="B123" s="1"/>
      <c r="C123" s="1"/>
      <c r="D123" s="1"/>
      <c r="K123" s="2"/>
    </row>
    <row r="124" spans="1:11" x14ac:dyDescent="0.25">
      <c r="A124" s="6"/>
      <c r="B124" s="1"/>
      <c r="C124" s="1"/>
      <c r="D124" s="1"/>
      <c r="K124" s="2"/>
    </row>
    <row r="125" spans="1:11" x14ac:dyDescent="0.25">
      <c r="A125" s="6"/>
      <c r="B125" s="1"/>
      <c r="C125" s="1"/>
      <c r="D125" s="1"/>
      <c r="K125" s="2"/>
    </row>
    <row r="126" spans="1:11" x14ac:dyDescent="0.25">
      <c r="A126" s="6"/>
      <c r="B126" s="1"/>
      <c r="C126" s="1"/>
      <c r="D126" s="1"/>
      <c r="K126" s="2"/>
    </row>
    <row r="127" spans="1:11" x14ac:dyDescent="0.25">
      <c r="A127" s="6"/>
      <c r="B127" s="1"/>
      <c r="C127" s="1"/>
      <c r="D127" s="1"/>
      <c r="K127" s="2"/>
    </row>
    <row r="128" spans="1:11" x14ac:dyDescent="0.25">
      <c r="A128" s="6"/>
      <c r="B128" s="1"/>
      <c r="C128" s="1"/>
      <c r="D128" s="1"/>
      <c r="K128" s="2"/>
    </row>
    <row r="129" spans="1:11" x14ac:dyDescent="0.25">
      <c r="A129" s="6"/>
      <c r="B129" s="1"/>
      <c r="C129" s="1"/>
      <c r="D129" s="1"/>
      <c r="K129" s="2"/>
    </row>
    <row r="130" spans="1:11" x14ac:dyDescent="0.25">
      <c r="A130" s="6"/>
      <c r="B130" s="1"/>
      <c r="C130" s="1"/>
      <c r="D130" s="1"/>
      <c r="K130" s="2"/>
    </row>
    <row r="131" spans="1:11" x14ac:dyDescent="0.25">
      <c r="A131" s="6"/>
      <c r="B131" s="1"/>
      <c r="C131" s="1"/>
      <c r="D131" s="1"/>
      <c r="K131" s="2"/>
    </row>
    <row r="132" spans="1:11" x14ac:dyDescent="0.25">
      <c r="A132" s="6"/>
      <c r="B132" s="1"/>
      <c r="C132" s="1"/>
      <c r="D132" s="1"/>
      <c r="K132" s="2"/>
    </row>
    <row r="133" spans="1:11" x14ac:dyDescent="0.25">
      <c r="A133" s="6"/>
      <c r="B133" s="1"/>
      <c r="C133" s="1"/>
      <c r="D133" s="1"/>
      <c r="K133" s="2"/>
    </row>
    <row r="134" spans="1:11" x14ac:dyDescent="0.25">
      <c r="A134" s="6"/>
      <c r="B134" s="1"/>
      <c r="C134" s="1"/>
      <c r="D134" s="1"/>
      <c r="K134" s="2"/>
    </row>
    <row r="135" spans="1:11" x14ac:dyDescent="0.25">
      <c r="A135" s="6"/>
      <c r="B135" s="1"/>
      <c r="C135" s="1"/>
      <c r="D135" s="1"/>
      <c r="K135" s="2"/>
    </row>
    <row r="136" spans="1:11" x14ac:dyDescent="0.25">
      <c r="A136" s="6"/>
      <c r="B136" s="1"/>
      <c r="C136" s="1"/>
      <c r="D136" s="1"/>
      <c r="K136" s="2"/>
    </row>
    <row r="137" spans="1:11" x14ac:dyDescent="0.25">
      <c r="A137" s="6"/>
      <c r="B137" s="1"/>
      <c r="C137" s="1"/>
      <c r="D137" s="1"/>
      <c r="K137" s="2"/>
    </row>
    <row r="138" spans="1:11" x14ac:dyDescent="0.25">
      <c r="A138" s="6"/>
      <c r="B138" s="1"/>
      <c r="C138" s="1"/>
      <c r="D138" s="1"/>
      <c r="K138" s="2"/>
    </row>
    <row r="139" spans="1:11" x14ac:dyDescent="0.25">
      <c r="A139" s="6"/>
      <c r="B139" s="1"/>
      <c r="C139" s="1"/>
      <c r="D139" s="1"/>
      <c r="K139" s="2"/>
    </row>
    <row r="140" spans="1:11" x14ac:dyDescent="0.25">
      <c r="A140" s="6"/>
      <c r="B140" s="1"/>
      <c r="C140" s="1"/>
      <c r="D140" s="1"/>
      <c r="K140" s="2"/>
    </row>
    <row r="141" spans="1:11" x14ac:dyDescent="0.25">
      <c r="A141" s="6"/>
      <c r="B141" s="1"/>
      <c r="C141" s="1"/>
      <c r="D141" s="1"/>
      <c r="K141" s="2"/>
    </row>
    <row r="142" spans="1:11" x14ac:dyDescent="0.25">
      <c r="A142" s="6"/>
      <c r="B142" s="1"/>
      <c r="C142" s="1"/>
      <c r="D142" s="1"/>
      <c r="K142" s="2"/>
    </row>
    <row r="143" spans="1:11" x14ac:dyDescent="0.25">
      <c r="A143" s="6"/>
      <c r="B143" s="1"/>
      <c r="C143" s="1"/>
      <c r="D143" s="1"/>
      <c r="K143" s="2"/>
    </row>
    <row r="144" spans="1:11" x14ac:dyDescent="0.25">
      <c r="A144" s="6"/>
      <c r="B144" s="1"/>
      <c r="C144" s="1"/>
      <c r="D144" s="1"/>
      <c r="K144" s="2"/>
    </row>
    <row r="145" spans="1:11" x14ac:dyDescent="0.25">
      <c r="A145" s="6"/>
      <c r="B145" s="1"/>
      <c r="C145" s="1"/>
      <c r="D145" s="1"/>
      <c r="K145" s="2"/>
    </row>
    <row r="146" spans="1:11" x14ac:dyDescent="0.25">
      <c r="A146" s="6"/>
      <c r="B146" s="1"/>
      <c r="C146" s="1"/>
      <c r="D146" s="1"/>
      <c r="K146" s="2"/>
    </row>
    <row r="147" spans="1:11" x14ac:dyDescent="0.25">
      <c r="A147" s="6"/>
      <c r="B147" s="1"/>
      <c r="C147" s="1"/>
      <c r="D147" s="1"/>
      <c r="K147" s="2"/>
    </row>
    <row r="148" spans="1:11" x14ac:dyDescent="0.25">
      <c r="A148" s="6"/>
      <c r="B148" s="1"/>
      <c r="C148" s="1"/>
      <c r="D148" s="1"/>
      <c r="K148" s="2"/>
    </row>
    <row r="149" spans="1:11" x14ac:dyDescent="0.25">
      <c r="A149" s="6"/>
      <c r="B149" s="1"/>
      <c r="C149" s="1"/>
      <c r="D149" s="1"/>
      <c r="K149" s="2"/>
    </row>
    <row r="150" spans="1:11" x14ac:dyDescent="0.25">
      <c r="A150" s="6"/>
      <c r="B150" s="1"/>
      <c r="C150" s="1"/>
      <c r="D150" s="1"/>
      <c r="K150" s="2"/>
    </row>
    <row r="151" spans="1:11" x14ac:dyDescent="0.25">
      <c r="A151" s="6"/>
      <c r="B151" s="1"/>
      <c r="C151" s="1"/>
      <c r="D151" s="1"/>
      <c r="K151" s="2"/>
    </row>
    <row r="152" spans="1:11" x14ac:dyDescent="0.25">
      <c r="A152" s="6"/>
      <c r="B152" s="1"/>
      <c r="C152" s="1"/>
      <c r="D152" s="1"/>
      <c r="K152" s="2"/>
    </row>
    <row r="153" spans="1:11" x14ac:dyDescent="0.25">
      <c r="A153" s="6"/>
      <c r="B153" s="1"/>
      <c r="C153" s="1"/>
      <c r="D153" s="1"/>
      <c r="K153" s="2"/>
    </row>
    <row r="154" spans="1:11" x14ac:dyDescent="0.25">
      <c r="A154" s="6"/>
      <c r="B154" s="1"/>
      <c r="C154" s="1"/>
      <c r="D154" s="1"/>
      <c r="K154" s="2"/>
    </row>
    <row r="155" spans="1:11" x14ac:dyDescent="0.25">
      <c r="A155" s="6"/>
      <c r="B155" s="1"/>
      <c r="C155" s="1"/>
      <c r="D155" s="1"/>
      <c r="K155" s="2"/>
    </row>
    <row r="156" spans="1:11" x14ac:dyDescent="0.25">
      <c r="A156" s="6"/>
      <c r="B156" s="1"/>
      <c r="C156" s="1"/>
      <c r="D156" s="1"/>
      <c r="K156" s="2"/>
    </row>
    <row r="157" spans="1:11" x14ac:dyDescent="0.25">
      <c r="A157" s="6"/>
      <c r="B157" s="1"/>
      <c r="C157" s="1"/>
      <c r="D157" s="1"/>
      <c r="K157" s="2"/>
    </row>
    <row r="158" spans="1:11" x14ac:dyDescent="0.25">
      <c r="A158" s="6"/>
      <c r="B158" s="1"/>
      <c r="C158" s="1"/>
      <c r="D158" s="1"/>
      <c r="K158" s="2"/>
    </row>
    <row r="159" spans="1:11" x14ac:dyDescent="0.25">
      <c r="A159" s="6"/>
      <c r="B159" s="1"/>
      <c r="C159" s="1"/>
      <c r="D159" s="1"/>
      <c r="K159" s="2"/>
    </row>
    <row r="160" spans="1:11" x14ac:dyDescent="0.25">
      <c r="A160" s="6"/>
      <c r="B160" s="1"/>
      <c r="C160" s="1"/>
      <c r="D160" s="1"/>
      <c r="K160" s="2"/>
    </row>
    <row r="161" spans="1:11" x14ac:dyDescent="0.25">
      <c r="A161" s="6"/>
      <c r="B161" s="1"/>
      <c r="C161" s="1"/>
      <c r="D161" s="1"/>
      <c r="K161" s="2"/>
    </row>
    <row r="162" spans="1:11" x14ac:dyDescent="0.25">
      <c r="A162" s="6"/>
      <c r="B162" s="1"/>
      <c r="C162" s="1"/>
      <c r="D162" s="1"/>
      <c r="K162" s="2"/>
    </row>
    <row r="163" spans="1:11" x14ac:dyDescent="0.25">
      <c r="A163" s="6"/>
      <c r="B163" s="1"/>
      <c r="C163" s="1"/>
      <c r="D163" s="1"/>
      <c r="K163" s="2"/>
    </row>
    <row r="164" spans="1:11" x14ac:dyDescent="0.25">
      <c r="A164" s="6"/>
      <c r="B164" s="1"/>
      <c r="C164" s="1"/>
      <c r="D164" s="1"/>
      <c r="K164" s="2"/>
    </row>
    <row r="165" spans="1:11" x14ac:dyDescent="0.25">
      <c r="A165" s="6"/>
      <c r="B165" s="1"/>
      <c r="C165" s="1"/>
      <c r="D165" s="1"/>
      <c r="K165" s="2"/>
    </row>
    <row r="166" spans="1:11" x14ac:dyDescent="0.25">
      <c r="A166" s="6"/>
      <c r="B166" s="1"/>
      <c r="C166" s="1"/>
      <c r="D166" s="1"/>
      <c r="K166" s="2"/>
    </row>
    <row r="167" spans="1:11" x14ac:dyDescent="0.25">
      <c r="A167" s="6"/>
      <c r="B167" s="1"/>
      <c r="C167" s="1"/>
      <c r="D167" s="1"/>
      <c r="K167" s="2"/>
    </row>
    <row r="168" spans="1:11" x14ac:dyDescent="0.25">
      <c r="A168" s="6"/>
      <c r="B168" s="1"/>
      <c r="C168" s="1"/>
      <c r="D168" s="1"/>
      <c r="K168" s="2"/>
    </row>
    <row r="169" spans="1:11" x14ac:dyDescent="0.25">
      <c r="A169" s="6"/>
      <c r="B169" s="1"/>
      <c r="C169" s="1"/>
      <c r="D169" s="1"/>
      <c r="K169" s="2"/>
    </row>
    <row r="170" spans="1:11" x14ac:dyDescent="0.25">
      <c r="A170" s="6"/>
      <c r="B170" s="1"/>
      <c r="C170" s="1"/>
      <c r="D170" s="1"/>
      <c r="K170" s="2"/>
    </row>
    <row r="171" spans="1:11" x14ac:dyDescent="0.25">
      <c r="A171" s="6"/>
      <c r="B171" s="1"/>
      <c r="C171" s="1"/>
      <c r="D171" s="1"/>
      <c r="K171" s="2"/>
    </row>
    <row r="172" spans="1:11" x14ac:dyDescent="0.25">
      <c r="A172" s="6"/>
      <c r="B172" s="1"/>
      <c r="C172" s="1"/>
      <c r="D172" s="1"/>
      <c r="K172" s="2"/>
    </row>
    <row r="173" spans="1:11" x14ac:dyDescent="0.25">
      <c r="A173" s="6"/>
      <c r="B173" s="1"/>
      <c r="C173" s="1"/>
      <c r="D173" s="1"/>
      <c r="K173" s="2"/>
    </row>
    <row r="174" spans="1:11" x14ac:dyDescent="0.25">
      <c r="A174" s="6"/>
      <c r="B174" s="1"/>
      <c r="C174" s="1"/>
      <c r="D174" s="1"/>
      <c r="K174" s="2"/>
    </row>
    <row r="175" spans="1:11" x14ac:dyDescent="0.25">
      <c r="A175" s="6"/>
      <c r="B175" s="1"/>
      <c r="C175" s="1"/>
      <c r="D175" s="1"/>
      <c r="K175" s="2"/>
    </row>
    <row r="176" spans="1:11" x14ac:dyDescent="0.25">
      <c r="A176" s="6"/>
      <c r="B176" s="1"/>
      <c r="C176" s="1"/>
      <c r="D176" s="1"/>
      <c r="K176" s="2"/>
    </row>
    <row r="177" spans="1:11" x14ac:dyDescent="0.25">
      <c r="A177" s="6"/>
      <c r="B177" s="1"/>
      <c r="C177" s="1"/>
      <c r="D177" s="1"/>
      <c r="K177" s="2"/>
    </row>
    <row r="178" spans="1:11" x14ac:dyDescent="0.25">
      <c r="A178" s="6"/>
      <c r="B178" s="1"/>
      <c r="C178" s="1"/>
      <c r="D178" s="1"/>
      <c r="K178" s="2"/>
    </row>
    <row r="179" spans="1:11" x14ac:dyDescent="0.25">
      <c r="A179" s="6"/>
      <c r="B179" s="1"/>
      <c r="C179" s="1"/>
      <c r="D179" s="1"/>
      <c r="K179" s="2"/>
    </row>
    <row r="180" spans="1:11" x14ac:dyDescent="0.25">
      <c r="A180" s="6"/>
      <c r="B180" s="1"/>
      <c r="C180" s="1"/>
      <c r="D180" s="1"/>
      <c r="K180" s="2"/>
    </row>
    <row r="181" spans="1:11" x14ac:dyDescent="0.25">
      <c r="A181" s="6"/>
      <c r="B181" s="1"/>
      <c r="C181" s="1"/>
      <c r="D181" s="1"/>
      <c r="K181" s="2"/>
    </row>
    <row r="182" spans="1:11" x14ac:dyDescent="0.25">
      <c r="A182" s="6"/>
      <c r="B182" s="1"/>
      <c r="C182" s="1"/>
      <c r="D182" s="1"/>
      <c r="K182" s="2"/>
    </row>
    <row r="183" spans="1:11" x14ac:dyDescent="0.25">
      <c r="A183" s="6"/>
      <c r="B183" s="1"/>
      <c r="C183" s="1"/>
      <c r="D183" s="1"/>
      <c r="K183" s="2"/>
    </row>
    <row r="184" spans="1:11" x14ac:dyDescent="0.25">
      <c r="A184" s="6"/>
      <c r="B184" s="1"/>
      <c r="C184" s="1"/>
      <c r="D184" s="1"/>
      <c r="K184" s="2"/>
    </row>
    <row r="185" spans="1:11" x14ac:dyDescent="0.25">
      <c r="A185" s="6"/>
      <c r="B185" s="1"/>
      <c r="C185" s="1"/>
      <c r="D185" s="1"/>
      <c r="K185" s="2"/>
    </row>
    <row r="186" spans="1:11" x14ac:dyDescent="0.25">
      <c r="A186" s="6"/>
      <c r="B186" s="1"/>
      <c r="C186" s="1"/>
      <c r="D186" s="1"/>
      <c r="K186" s="2"/>
    </row>
    <row r="187" spans="1:11" x14ac:dyDescent="0.25">
      <c r="A187" s="6"/>
      <c r="B187" s="1"/>
      <c r="C187" s="1"/>
      <c r="D187" s="1"/>
      <c r="K187" s="2"/>
    </row>
    <row r="188" spans="1:11" x14ac:dyDescent="0.25">
      <c r="A188" s="6"/>
      <c r="B188" s="1"/>
      <c r="C188" s="1"/>
      <c r="D188" s="1"/>
      <c r="K188" s="2"/>
    </row>
    <row r="189" spans="1:11" x14ac:dyDescent="0.25">
      <c r="A189" s="6"/>
      <c r="B189" s="1"/>
      <c r="C189" s="1"/>
      <c r="D189" s="1"/>
      <c r="K189" s="2"/>
    </row>
    <row r="190" spans="1:11" x14ac:dyDescent="0.25">
      <c r="A190" s="6"/>
      <c r="B190" s="1"/>
      <c r="C190" s="1"/>
      <c r="D190" s="1"/>
      <c r="K190" s="2"/>
    </row>
    <row r="191" spans="1:11" x14ac:dyDescent="0.25">
      <c r="A191" s="6"/>
      <c r="B191" s="1"/>
      <c r="C191" s="1"/>
      <c r="D191" s="1"/>
      <c r="K191" s="2"/>
    </row>
    <row r="192" spans="1:11" x14ac:dyDescent="0.25">
      <c r="A192" s="6"/>
      <c r="B192" s="1"/>
      <c r="C192" s="1"/>
      <c r="D192" s="1"/>
      <c r="K192" s="2"/>
    </row>
    <row r="193" spans="1:11" x14ac:dyDescent="0.25">
      <c r="A193" s="6"/>
      <c r="B193" s="1"/>
      <c r="C193" s="1"/>
      <c r="D193" s="1"/>
      <c r="K193" s="2"/>
    </row>
    <row r="194" spans="1:11" x14ac:dyDescent="0.25">
      <c r="A194" s="6"/>
      <c r="B194" s="1"/>
      <c r="C194" s="1"/>
      <c r="D194" s="1"/>
      <c r="K194" s="2"/>
    </row>
    <row r="195" spans="1:11" x14ac:dyDescent="0.25">
      <c r="A195" s="6"/>
      <c r="B195" s="1"/>
      <c r="C195" s="1"/>
      <c r="D195" s="1"/>
      <c r="K195" s="2"/>
    </row>
    <row r="196" spans="1:11" x14ac:dyDescent="0.25">
      <c r="A196" s="6"/>
      <c r="B196" s="1"/>
      <c r="C196" s="1"/>
      <c r="D196" s="1"/>
      <c r="K196" s="2"/>
    </row>
    <row r="197" spans="1:11" x14ac:dyDescent="0.25">
      <c r="A197" s="6"/>
      <c r="B197" s="1"/>
      <c r="C197" s="1"/>
      <c r="D197" s="1"/>
      <c r="K197" s="2"/>
    </row>
    <row r="198" spans="1:11" x14ac:dyDescent="0.25">
      <c r="A198" s="6"/>
      <c r="B198" s="1"/>
      <c r="C198" s="1"/>
      <c r="D198" s="1"/>
      <c r="K198" s="2"/>
    </row>
    <row r="199" spans="1:11" x14ac:dyDescent="0.25">
      <c r="A199" s="6"/>
      <c r="B199" s="1"/>
      <c r="C199" s="1"/>
      <c r="D199" s="1"/>
      <c r="K199" s="2"/>
    </row>
    <row r="200" spans="1:11" x14ac:dyDescent="0.25">
      <c r="A200" s="6">
        <f ca="1">TODAY()</f>
        <v>46295</v>
      </c>
      <c r="B200" s="1"/>
      <c r="C200" s="1"/>
      <c r="D200" s="1"/>
      <c r="K200" s="3">
        <f>Overview!W3</f>
        <v>321.39999999999998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BFC8-0464-4FBD-B63D-67027D1B217E}">
  <dimension ref="A1:Z53"/>
  <sheetViews>
    <sheetView workbookViewId="0">
      <selection activeCell="I3" sqref="I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91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46295</v>
      </c>
      <c r="E3" s="13">
        <v>46295</v>
      </c>
      <c r="F3" s="20">
        <f>IF(E3&gt;0,E3-D3,"")</f>
        <v>0</v>
      </c>
      <c r="G3" s="3">
        <v>0</v>
      </c>
      <c r="H3" s="3">
        <v>0.16</v>
      </c>
      <c r="I3" s="3">
        <v>0</v>
      </c>
      <c r="J3" s="15"/>
      <c r="K3" s="3">
        <f>G53</f>
        <v>0</v>
      </c>
      <c r="L3" s="3">
        <f>H53</f>
        <v>0.16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46280</v>
      </c>
      <c r="Y3" s="3">
        <f>B16*-1</f>
        <v>-30.16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/>
      <c r="E4" s="13"/>
      <c r="F4" s="20" t="str">
        <f>IF(E4&gt;0,E4-D4,"")</f>
        <v/>
      </c>
      <c r="G4" s="3"/>
      <c r="H4" s="2"/>
      <c r="I4" s="3"/>
      <c r="J4" s="9"/>
      <c r="X4" s="6">
        <f>E3</f>
        <v>46295</v>
      </c>
      <c r="Y4" s="3">
        <f>G3+H3-I3</f>
        <v>0.16</v>
      </c>
    </row>
    <row r="5" spans="1:26" x14ac:dyDescent="0.25">
      <c r="A5" s="5" t="s">
        <v>43</v>
      </c>
      <c r="B5" s="2" t="s">
        <v>92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16" t="s">
        <v>32</v>
      </c>
      <c r="B6" s="3" t="s">
        <v>33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17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46280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46265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46631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336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30.16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0.16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9" priority="1">
      <formula>$Z$3="+"</formula>
    </cfRule>
    <cfRule type="expression" dxfId="78" priority="2">
      <formula>$B$16=$K$3</formula>
    </cfRule>
  </conditionalFormatting>
  <conditionalFormatting sqref="P3">
    <cfRule type="expression" dxfId="77" priority="3">
      <formula>$Z$3="+"</formula>
    </cfRule>
  </conditionalFormatting>
  <conditionalFormatting sqref="Z3">
    <cfRule type="expression" dxfId="76" priority="4">
      <formula>$Z$3="+"</formula>
    </cfRule>
  </conditionalFormatting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FA52-D5F4-4146-A1F6-DA2097B133B1}">
  <dimension ref="A1:Z53"/>
  <sheetViews>
    <sheetView workbookViewId="0">
      <selection activeCell="I3" sqref="I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89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30</v>
      </c>
      <c r="D3" s="13">
        <v>46295</v>
      </c>
      <c r="E3" s="13">
        <v>46295</v>
      </c>
      <c r="F3" s="20">
        <f>IF(E3&gt;0,E3-D3,"")</f>
        <v>0</v>
      </c>
      <c r="G3" s="3">
        <v>0</v>
      </c>
      <c r="H3" s="3">
        <v>0.17</v>
      </c>
      <c r="I3" s="3">
        <v>0</v>
      </c>
      <c r="J3" s="15"/>
      <c r="K3" s="3">
        <f>G53</f>
        <v>0</v>
      </c>
      <c r="L3" s="3">
        <f>H53</f>
        <v>0.17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46273</v>
      </c>
      <c r="Y3" s="3">
        <f>B16*-1</f>
        <v>-21.85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/>
      <c r="E4" s="13"/>
      <c r="F4" s="20" t="str">
        <f>IF(E4&gt;0,E4-D4,"")</f>
        <v/>
      </c>
      <c r="G4" s="3"/>
      <c r="H4" s="2"/>
      <c r="I4" s="3"/>
      <c r="J4" s="9"/>
      <c r="X4" s="6">
        <f>E3</f>
        <v>46295</v>
      </c>
      <c r="Y4" s="3">
        <f>G3+H3-I3</f>
        <v>0.17</v>
      </c>
    </row>
    <row r="5" spans="1:26" x14ac:dyDescent="0.25">
      <c r="A5" s="5" t="s">
        <v>43</v>
      </c>
      <c r="B5" s="2" t="s">
        <v>90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16" t="s">
        <v>32</v>
      </c>
      <c r="B6" s="3" t="s">
        <v>33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1 m. 6 mėn. 4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46273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46261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46824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529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21.85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0.17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5" priority="1">
      <formula>$Z$3="+"</formula>
    </cfRule>
    <cfRule type="expression" dxfId="74" priority="2">
      <formula>$B$16=$K$3</formula>
    </cfRule>
  </conditionalFormatting>
  <conditionalFormatting sqref="P3">
    <cfRule type="expression" dxfId="73" priority="3">
      <formula>$Z$3="+"</formula>
    </cfRule>
  </conditionalFormatting>
  <conditionalFormatting sqref="Z3">
    <cfRule type="expression" dxfId="72" priority="4">
      <formula>$Z$3="+"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9651-9E7F-47FA-89E2-B7637691904F}">
  <dimension ref="A1:Z53"/>
  <sheetViews>
    <sheetView workbookViewId="0">
      <selection activeCell="I3" sqref="I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88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17</v>
      </c>
      <c r="D3" s="13">
        <v>46295</v>
      </c>
      <c r="E3" s="13">
        <v>46295</v>
      </c>
      <c r="F3" s="20">
        <f>IF(E3&gt;0,E3-D3,"")</f>
        <v>0</v>
      </c>
      <c r="G3" s="3">
        <v>0</v>
      </c>
      <c r="H3" s="3">
        <v>0.16</v>
      </c>
      <c r="I3" s="3">
        <v>0</v>
      </c>
      <c r="J3" s="15"/>
      <c r="K3" s="3">
        <f>G53</f>
        <v>0</v>
      </c>
      <c r="L3" s="3">
        <f>H53</f>
        <v>0.16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46272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18</v>
      </c>
      <c r="D4" s="13"/>
      <c r="E4" s="13"/>
      <c r="F4" s="20" t="str">
        <f>IF(E4&gt;0,E4-D4,"")</f>
        <v/>
      </c>
      <c r="G4" s="3"/>
      <c r="H4" s="3"/>
      <c r="I4" s="3"/>
      <c r="J4" s="9"/>
      <c r="X4" s="6">
        <f>E3</f>
        <v>46295</v>
      </c>
      <c r="Y4" s="3">
        <f>G3+H3-I3</f>
        <v>0.16</v>
      </c>
    </row>
    <row r="5" spans="1:26" x14ac:dyDescent="0.25">
      <c r="A5" s="5" t="s">
        <v>43</v>
      </c>
      <c r="B5" s="33" t="s">
        <v>87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16" t="s">
        <v>32</v>
      </c>
      <c r="B6" s="3" t="s">
        <v>34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30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46272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46269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46636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341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0.16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1" priority="1">
      <formula>$Z$3="+"</formula>
    </cfRule>
    <cfRule type="expression" dxfId="70" priority="2">
      <formula>$B$16=$K$3</formula>
    </cfRule>
  </conditionalFormatting>
  <conditionalFormatting sqref="P3">
    <cfRule type="expression" dxfId="69" priority="3">
      <formula>$Z$3="+"</formula>
    </cfRule>
  </conditionalFormatting>
  <conditionalFormatting sqref="Z3">
    <cfRule type="expression" dxfId="6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EA53-16B6-45F2-B035-4529FFA6AF81}">
  <dimension ref="A1:Z53"/>
  <sheetViews>
    <sheetView workbookViewId="0">
      <selection activeCell="H4" sqref="H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85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84</v>
      </c>
      <c r="D3" s="13" t="s">
        <v>93</v>
      </c>
      <c r="E3" s="13">
        <v>46295</v>
      </c>
      <c r="F3" s="20">
        <f>IF(E3&gt;0,E3-D3,"")</f>
        <v>0</v>
      </c>
      <c r="G3" s="3">
        <v>0</v>
      </c>
      <c r="H3" s="3">
        <v>0.19</v>
      </c>
      <c r="I3" s="3">
        <v>0</v>
      </c>
      <c r="J3" s="15"/>
      <c r="K3" s="3">
        <f>G53</f>
        <v>0</v>
      </c>
      <c r="L3" s="3">
        <f>H53</f>
        <v>0.19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46267</v>
      </c>
      <c r="Y3" s="3">
        <f>B16*-1</f>
        <v>-22.59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/>
      <c r="E4" s="13"/>
      <c r="F4" s="20" t="str">
        <f>IF(E4&gt;0,E4-D4,"")</f>
        <v/>
      </c>
      <c r="G4" s="3"/>
      <c r="H4" s="2"/>
      <c r="I4" s="3"/>
      <c r="J4" s="9"/>
      <c r="X4" s="6">
        <f>E3</f>
        <v>46295</v>
      </c>
      <c r="Y4" s="3">
        <f>G3+H3-I3</f>
        <v>0.19</v>
      </c>
    </row>
    <row r="5" spans="1:26" x14ac:dyDescent="0.25">
      <c r="A5" s="5" t="s">
        <v>43</v>
      </c>
      <c r="B5" s="2" t="s">
        <v>83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16" t="s">
        <v>32</v>
      </c>
      <c r="B6" s="3" t="s">
        <v>86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13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46267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46246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46614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319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22.59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0.19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67" priority="1">
      <formula>$Z$3="+"</formula>
    </cfRule>
    <cfRule type="expression" dxfId="66" priority="2">
      <formula>$B$16=$K$3</formula>
    </cfRule>
  </conditionalFormatting>
  <conditionalFormatting sqref="P3">
    <cfRule type="expression" dxfId="65" priority="3">
      <formula>$Z$3="+"</formula>
    </cfRule>
  </conditionalFormatting>
  <conditionalFormatting sqref="Z3">
    <cfRule type="expression" dxfId="64" priority="4">
      <formula>$Z$3="+"</formula>
    </cfRule>
  </conditionalFormatting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8EB8-C653-4CFD-8FC0-5A474A16F5BC}">
  <dimension ref="A1:Z53"/>
  <sheetViews>
    <sheetView workbookViewId="0">
      <selection activeCell="H5" sqref="H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82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0.04</v>
      </c>
      <c r="I3" s="3">
        <v>0</v>
      </c>
      <c r="J3" s="15"/>
      <c r="K3" s="3">
        <f>G53</f>
        <v>0</v>
      </c>
      <c r="L3" s="3">
        <f>H53</f>
        <v>0.26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46258</v>
      </c>
      <c r="Y3" s="3">
        <f>B16*-1</f>
        <v>-20.14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3">
        <v>0.22</v>
      </c>
      <c r="I4" s="3">
        <v>0</v>
      </c>
      <c r="J4" s="9"/>
      <c r="X4" s="6">
        <f>E3</f>
        <v>46265</v>
      </c>
      <c r="Y4" s="3">
        <f>G3+H3-I3</f>
        <v>0.04</v>
      </c>
    </row>
    <row r="5" spans="1:26" x14ac:dyDescent="0.25">
      <c r="A5" s="5" t="s">
        <v>43</v>
      </c>
      <c r="B5" s="2" t="s">
        <v>81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0.22</v>
      </c>
    </row>
    <row r="6" spans="1:26" x14ac:dyDescent="0.25">
      <c r="A6" s="16" t="s">
        <v>32</v>
      </c>
      <c r="B6" s="3" t="s">
        <v>33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1 m. 4 mėn. 27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46258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46205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46772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477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20.14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0.26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63" priority="1">
      <formula>$Z$3="+"</formula>
    </cfRule>
    <cfRule type="expression" dxfId="62" priority="2">
      <formula>$B$16=$K$3</formula>
    </cfRule>
  </conditionalFormatting>
  <conditionalFormatting sqref="P3">
    <cfRule type="expression" dxfId="61" priority="3">
      <formula>$Z$3="+"</formula>
    </cfRule>
  </conditionalFormatting>
  <conditionalFormatting sqref="Z3">
    <cfRule type="expression" dxfId="60" priority="4">
      <formula>$Z$3="+"</formula>
    </cfRule>
  </conditionalFormatting>
  <pageMargins left="0.7" right="0.7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17D1-1C48-4F44-A336-704CA12C8750}"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79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46265</v>
      </c>
      <c r="E3" s="13">
        <v>46265</v>
      </c>
      <c r="F3" s="20">
        <f>IF(E3&gt;0,E3-D3,"")</f>
        <v>0</v>
      </c>
      <c r="G3" s="3">
        <v>0</v>
      </c>
      <c r="H3" s="3">
        <v>0.2</v>
      </c>
      <c r="I3" s="3">
        <v>0</v>
      </c>
      <c r="J3" s="15"/>
      <c r="K3" s="3">
        <f>G53</f>
        <v>0</v>
      </c>
      <c r="L3" s="3">
        <f>H53</f>
        <v>0.43000000000000005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46237</v>
      </c>
      <c r="Y3" s="3">
        <f>B16*-1</f>
        <v>-22.39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46295</v>
      </c>
      <c r="E4" s="13">
        <v>46295</v>
      </c>
      <c r="F4" s="20">
        <f>IF(E4&gt;0,E4-D4,"")</f>
        <v>0</v>
      </c>
      <c r="G4" s="3">
        <v>0</v>
      </c>
      <c r="H4" s="2">
        <v>0.23</v>
      </c>
      <c r="I4" s="3">
        <v>0</v>
      </c>
      <c r="J4" s="9"/>
      <c r="X4" s="6">
        <f>E3</f>
        <v>46265</v>
      </c>
      <c r="Y4" s="3">
        <f>G3+H3-I3</f>
        <v>0.2</v>
      </c>
    </row>
    <row r="5" spans="1:26" x14ac:dyDescent="0.25">
      <c r="A5" s="5" t="s">
        <v>43</v>
      </c>
      <c r="B5" s="2" t="s">
        <v>80</v>
      </c>
      <c r="D5" s="13"/>
      <c r="E5" s="13"/>
      <c r="F5" s="20" t="str">
        <f t="shared" ref="F5:F52" si="0">IF(E5&gt;0,E5-D5,"")</f>
        <v/>
      </c>
      <c r="G5" s="3"/>
      <c r="H5" s="3"/>
      <c r="I5" s="3"/>
      <c r="J5" s="9"/>
      <c r="X5" s="6">
        <f t="shared" ref="X5:X52" si="1">E4</f>
        <v>46295</v>
      </c>
      <c r="Y5" s="3">
        <f t="shared" ref="Y5:Y52" si="2">G4+H4-I4</f>
        <v>0.23</v>
      </c>
    </row>
    <row r="6" spans="1:26" x14ac:dyDescent="0.25">
      <c r="A6" s="16" t="s">
        <v>32</v>
      </c>
      <c r="B6" s="3" t="s">
        <v>33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23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46237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46211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46594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299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22.39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0.43000000000000005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9" priority="1">
      <formula>$Z$3="+"</formula>
    </cfRule>
    <cfRule type="expression" dxfId="58" priority="2">
      <formula>$B$16=$K$3</formula>
    </cfRule>
  </conditionalFormatting>
  <conditionalFormatting sqref="P3">
    <cfRule type="expression" dxfId="57" priority="3">
      <formula>$Z$3="+"</formula>
    </cfRule>
  </conditionalFormatting>
  <conditionalFormatting sqref="Z3">
    <cfRule type="expression" dxfId="56" priority="4">
      <formula>$Z$3="+"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9371-01E4-44C5-B1C3-D248C92A6B32}">
  <dimension ref="A1:Z53"/>
  <sheetViews>
    <sheetView workbookViewId="0">
      <selection activeCell="I5" sqref="I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75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17</v>
      </c>
      <c r="D3" s="13">
        <v>46234</v>
      </c>
      <c r="E3" s="13">
        <v>46234</v>
      </c>
      <c r="F3" s="20">
        <f>IF(E3&gt;0,E3-D3,"")</f>
        <v>0</v>
      </c>
      <c r="G3" s="3">
        <v>0</v>
      </c>
      <c r="H3" s="3">
        <v>0.11</v>
      </c>
      <c r="I3" s="3">
        <v>0</v>
      </c>
      <c r="J3" s="15"/>
      <c r="K3" s="3">
        <f>G53</f>
        <v>0</v>
      </c>
      <c r="L3" s="3">
        <f>H53</f>
        <v>0.54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46217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18</v>
      </c>
      <c r="D4" s="13">
        <v>46265</v>
      </c>
      <c r="E4" s="13">
        <v>46265</v>
      </c>
      <c r="F4" s="20">
        <f>IF(E4&gt;0,E4-D4,"")</f>
        <v>0</v>
      </c>
      <c r="G4" s="3">
        <v>0</v>
      </c>
      <c r="H4" s="3">
        <v>0.22</v>
      </c>
      <c r="I4" s="3">
        <v>0</v>
      </c>
      <c r="J4" s="9"/>
      <c r="X4" s="6">
        <f>E3</f>
        <v>46234</v>
      </c>
      <c r="Y4" s="3">
        <f>G3+H3-I3</f>
        <v>0.11</v>
      </c>
    </row>
    <row r="5" spans="1:26" x14ac:dyDescent="0.25">
      <c r="A5" s="5" t="s">
        <v>43</v>
      </c>
      <c r="B5" s="2" t="s">
        <v>76</v>
      </c>
      <c r="D5" s="13">
        <v>46295</v>
      </c>
      <c r="E5" s="13">
        <v>46295</v>
      </c>
      <c r="F5" s="20">
        <f t="shared" ref="F5:F52" si="0">IF(E5&gt;0,E5-D5,"")</f>
        <v>0</v>
      </c>
      <c r="G5" s="3">
        <v>0</v>
      </c>
      <c r="H5" s="3">
        <v>0.21</v>
      </c>
      <c r="I5" s="3">
        <v>0</v>
      </c>
      <c r="J5" s="9"/>
      <c r="X5" s="6">
        <f t="shared" ref="X5:X52" si="1">E4</f>
        <v>46265</v>
      </c>
      <c r="Y5" s="3">
        <f t="shared" ref="Y5:Y52" si="2">G4+H4-I4</f>
        <v>0.22</v>
      </c>
    </row>
    <row r="6" spans="1:26" x14ac:dyDescent="0.25">
      <c r="A6" s="16" t="s">
        <v>32</v>
      </c>
      <c r="B6" s="3" t="s">
        <v>34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46295</v>
      </c>
      <c r="Y6" s="3">
        <f t="shared" si="2"/>
        <v>0.21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29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46217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46214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46581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286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0.54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5" priority="1">
      <formula>$Z$3="+"</formula>
    </cfRule>
    <cfRule type="expression" dxfId="54" priority="2">
      <formula>$B$16=$K$3</formula>
    </cfRule>
  </conditionalFormatting>
  <conditionalFormatting sqref="P3">
    <cfRule type="expression" dxfId="53" priority="3">
      <formula>$Z$3="+"</formula>
    </cfRule>
  </conditionalFormatting>
  <conditionalFormatting sqref="Z3">
    <cfRule type="expression" dxfId="5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81EE-D5B3-466D-8952-127372E3C737}">
  <dimension ref="A1:Z53"/>
  <sheetViews>
    <sheetView workbookViewId="0">
      <selection activeCell="H6" sqref="H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73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17</v>
      </c>
      <c r="D3" s="13">
        <v>46234</v>
      </c>
      <c r="E3" s="13">
        <v>46234</v>
      </c>
      <c r="F3" s="20">
        <f>IF(E3&gt;0,E3-D3,"")</f>
        <v>0</v>
      </c>
      <c r="G3" s="3">
        <v>0</v>
      </c>
      <c r="H3" s="3">
        <v>0.22</v>
      </c>
      <c r="I3" s="3">
        <v>0</v>
      </c>
      <c r="J3" s="15"/>
      <c r="K3" s="3">
        <f>G53</f>
        <v>0</v>
      </c>
      <c r="L3" s="3">
        <f>H53</f>
        <v>0.68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46205</v>
      </c>
      <c r="Y3" s="3">
        <f>B16*-1</f>
        <v>-22.02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18</v>
      </c>
      <c r="D4" s="13">
        <v>46265</v>
      </c>
      <c r="E4" s="13">
        <v>46265</v>
      </c>
      <c r="F4" s="20">
        <f>IF(E4&gt;0,E4-D4,"")</f>
        <v>0</v>
      </c>
      <c r="G4" s="3">
        <v>0</v>
      </c>
      <c r="H4" s="3">
        <v>0.23</v>
      </c>
      <c r="I4" s="3">
        <v>0</v>
      </c>
      <c r="J4" s="9"/>
      <c r="X4" s="6">
        <f>E3</f>
        <v>46234</v>
      </c>
      <c r="Y4" s="3">
        <f>G3+H3-I3</f>
        <v>0.22</v>
      </c>
    </row>
    <row r="5" spans="1:26" x14ac:dyDescent="0.25">
      <c r="A5" s="5" t="s">
        <v>43</v>
      </c>
      <c r="B5" s="2" t="s">
        <v>74</v>
      </c>
      <c r="D5" s="13">
        <v>46295</v>
      </c>
      <c r="E5" s="13">
        <v>46295</v>
      </c>
      <c r="F5" s="20">
        <f t="shared" ref="F5:F52" si="0">IF(E5&gt;0,E5-D5,"")</f>
        <v>0</v>
      </c>
      <c r="G5" s="3">
        <v>0</v>
      </c>
      <c r="H5" s="3">
        <v>0.23</v>
      </c>
      <c r="I5" s="3">
        <v>0</v>
      </c>
      <c r="J5" s="9"/>
      <c r="X5" s="6">
        <f t="shared" ref="X5:X52" si="1">E4</f>
        <v>46265</v>
      </c>
      <c r="Y5" s="3">
        <f t="shared" ref="Y5:Y52" si="2">G4+H4-I4</f>
        <v>0.23</v>
      </c>
    </row>
    <row r="6" spans="1:26" x14ac:dyDescent="0.25">
      <c r="A6" s="16" t="s">
        <v>32</v>
      </c>
      <c r="B6" s="3" t="s">
        <v>34</v>
      </c>
      <c r="D6" s="13"/>
      <c r="E6" s="13"/>
      <c r="F6" s="20" t="str">
        <f t="shared" si="0"/>
        <v/>
      </c>
      <c r="G6" s="3"/>
      <c r="H6" s="3"/>
      <c r="I6" s="3"/>
      <c r="J6" s="9"/>
      <c r="X6" s="6">
        <f t="shared" si="1"/>
        <v>46295</v>
      </c>
      <c r="Y6" s="3">
        <f t="shared" si="2"/>
        <v>0.23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0</v>
      </c>
      <c r="Y7" s="3">
        <f t="shared" si="2"/>
        <v>0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27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46205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46203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46567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272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22.02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0.68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51" priority="1">
      <formula>$Z$3="+"</formula>
    </cfRule>
    <cfRule type="expression" dxfId="50" priority="2">
      <formula>$B$16=$K$3</formula>
    </cfRule>
  </conditionalFormatting>
  <conditionalFormatting sqref="P3">
    <cfRule type="expression" dxfId="49" priority="3">
      <formula>$Z$3="+"</formula>
    </cfRule>
  </conditionalFormatting>
  <conditionalFormatting sqref="Z3">
    <cfRule type="expression" dxfId="4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3639-8ED4-49FC-A638-3EE50E456BE1}">
  <dimension ref="A1:Z53"/>
  <sheetViews>
    <sheetView workbookViewId="0">
      <selection activeCell="I7" sqref="I7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71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46203</v>
      </c>
      <c r="E3" s="13">
        <v>46203</v>
      </c>
      <c r="F3" s="20">
        <f>IF(E3&gt;0,E3-D3,"")</f>
        <v>0</v>
      </c>
      <c r="G3" s="3">
        <v>0</v>
      </c>
      <c r="H3" s="3">
        <v>0.13</v>
      </c>
      <c r="I3" s="3">
        <v>0</v>
      </c>
      <c r="J3" s="15"/>
      <c r="K3" s="3">
        <f>G53</f>
        <v>0</v>
      </c>
      <c r="L3" s="3">
        <f>H53</f>
        <v>0.77999999999999992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46186</v>
      </c>
      <c r="Y3" s="3">
        <f>B16*-1</f>
        <v>-22.92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46234</v>
      </c>
      <c r="E4" s="13">
        <v>46234</v>
      </c>
      <c r="F4" s="20">
        <f>IF(E4&gt;0,E4-D4,"")</f>
        <v>0</v>
      </c>
      <c r="G4" s="3">
        <v>0</v>
      </c>
      <c r="H4" s="2">
        <v>0.22</v>
      </c>
      <c r="I4" s="3">
        <v>0</v>
      </c>
      <c r="J4" s="9"/>
      <c r="X4" s="6">
        <f>E3</f>
        <v>46203</v>
      </c>
      <c r="Y4" s="3">
        <f>G3+H3-I3</f>
        <v>0.13</v>
      </c>
    </row>
    <row r="5" spans="1:26" x14ac:dyDescent="0.25">
      <c r="A5" s="5" t="s">
        <v>43</v>
      </c>
      <c r="B5" s="2" t="s">
        <v>72</v>
      </c>
      <c r="D5" s="13">
        <v>46265</v>
      </c>
      <c r="E5" s="13">
        <v>46265</v>
      </c>
      <c r="F5" s="20">
        <f t="shared" ref="F5:F52" si="0">IF(E5&gt;0,E5-D5,"")</f>
        <v>0</v>
      </c>
      <c r="G5" s="3">
        <v>0</v>
      </c>
      <c r="H5" s="3">
        <v>0.22</v>
      </c>
      <c r="I5" s="3">
        <v>0</v>
      </c>
      <c r="J5" s="9"/>
      <c r="X5" s="6">
        <f t="shared" ref="X5:X52" si="1">E4</f>
        <v>46234</v>
      </c>
      <c r="Y5" s="3">
        <f t="shared" ref="Y5:Y52" si="2">G4+H4-I4</f>
        <v>0.22</v>
      </c>
    </row>
    <row r="6" spans="1:26" x14ac:dyDescent="0.25">
      <c r="A6" s="16" t="s">
        <v>32</v>
      </c>
      <c r="B6" s="3" t="s">
        <v>33</v>
      </c>
      <c r="D6" s="13">
        <v>46295</v>
      </c>
      <c r="E6" s="13">
        <v>46295</v>
      </c>
      <c r="F6" s="20">
        <f t="shared" si="0"/>
        <v>0</v>
      </c>
      <c r="G6" s="3">
        <v>0</v>
      </c>
      <c r="H6" s="3">
        <v>0.21</v>
      </c>
      <c r="I6" s="3">
        <v>0</v>
      </c>
      <c r="J6" s="9"/>
      <c r="X6" s="6">
        <f t="shared" si="1"/>
        <v>46265</v>
      </c>
      <c r="Y6" s="3">
        <f t="shared" si="2"/>
        <v>0.22</v>
      </c>
    </row>
    <row r="7" spans="1:26" x14ac:dyDescent="0.25">
      <c r="A7" s="5"/>
      <c r="B7" s="6"/>
      <c r="D7" s="13"/>
      <c r="E7" s="13"/>
      <c r="F7" s="20" t="str">
        <f t="shared" si="0"/>
        <v/>
      </c>
      <c r="G7" s="3"/>
      <c r="H7" s="3"/>
      <c r="I7" s="3"/>
      <c r="J7" s="15"/>
      <c r="X7" s="6">
        <f t="shared" si="1"/>
        <v>46295</v>
      </c>
      <c r="Y7" s="3">
        <f t="shared" si="2"/>
        <v>0.21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8 mėn. 21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0</v>
      </c>
      <c r="Y8" s="3">
        <f t="shared" si="2"/>
        <v>0</v>
      </c>
    </row>
    <row r="9" spans="1:26" x14ac:dyDescent="0.25">
      <c r="A9" s="5" t="s">
        <v>9</v>
      </c>
      <c r="B9" s="6">
        <v>46186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46170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46452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157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22.92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0.77999999999999992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3">
      <formula>$Z$3="+"</formula>
    </cfRule>
  </conditionalFormatting>
  <conditionalFormatting sqref="Z3">
    <cfRule type="expression" dxfId="44" priority="4">
      <formula>$Z$3="+"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1E5F-C38A-4FC0-99B3-68CD33C3421B}"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69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30</v>
      </c>
      <c r="D3" s="13">
        <v>46171</v>
      </c>
      <c r="E3" s="13">
        <v>46171</v>
      </c>
      <c r="F3" s="20">
        <f>IF(E3&gt;0,E3-D3,"")</f>
        <v>0</v>
      </c>
      <c r="G3" s="3">
        <v>0</v>
      </c>
      <c r="H3" s="3">
        <v>0.01</v>
      </c>
      <c r="I3" s="3">
        <v>0</v>
      </c>
      <c r="J3" s="15"/>
      <c r="K3" s="3">
        <f>G53</f>
        <v>0</v>
      </c>
      <c r="L3" s="3">
        <f>H53</f>
        <v>1.1400000000000001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46169</v>
      </c>
      <c r="Y3" s="3">
        <f>B16*-1</f>
        <v>-30.48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46203</v>
      </c>
      <c r="E4" s="13">
        <v>46203</v>
      </c>
      <c r="F4" s="20">
        <f>IF(E4&gt;0,E4-D4,"")</f>
        <v>0</v>
      </c>
      <c r="G4" s="3">
        <v>0</v>
      </c>
      <c r="H4" s="2">
        <v>0.28999999999999998</v>
      </c>
      <c r="I4" s="3">
        <v>0</v>
      </c>
      <c r="J4" s="9"/>
      <c r="X4" s="6">
        <f>E3</f>
        <v>46171</v>
      </c>
      <c r="Y4" s="3">
        <f>G3+H3-I3</f>
        <v>0.01</v>
      </c>
    </row>
    <row r="5" spans="1:26" x14ac:dyDescent="0.25">
      <c r="A5" s="5" t="s">
        <v>43</v>
      </c>
      <c r="B5" s="2" t="s">
        <v>70</v>
      </c>
      <c r="D5" s="13">
        <v>46234</v>
      </c>
      <c r="E5" s="13">
        <v>46234</v>
      </c>
      <c r="F5" s="20">
        <f t="shared" ref="F5:F52" si="0">IF(E5&gt;0,E5-D5,"")</f>
        <v>0</v>
      </c>
      <c r="G5" s="3">
        <v>0</v>
      </c>
      <c r="H5" s="3">
        <v>0.28000000000000003</v>
      </c>
      <c r="I5" s="3">
        <v>0</v>
      </c>
      <c r="J5" s="9"/>
      <c r="X5" s="6">
        <f t="shared" ref="X5:X52" si="1">E4</f>
        <v>46203</v>
      </c>
      <c r="Y5" s="3">
        <f t="shared" ref="Y5:Y52" si="2">G4+H4-I4</f>
        <v>0.28999999999999998</v>
      </c>
    </row>
    <row r="6" spans="1:26" x14ac:dyDescent="0.25">
      <c r="A6" s="16" t="s">
        <v>32</v>
      </c>
      <c r="B6" s="3" t="s">
        <v>33</v>
      </c>
      <c r="D6" s="13">
        <v>46265</v>
      </c>
      <c r="E6" s="13">
        <v>46265</v>
      </c>
      <c r="F6" s="20">
        <f t="shared" si="0"/>
        <v>0</v>
      </c>
      <c r="G6" s="3">
        <v>0</v>
      </c>
      <c r="H6" s="3">
        <v>0.28999999999999998</v>
      </c>
      <c r="I6" s="3">
        <v>0</v>
      </c>
      <c r="J6" s="9"/>
      <c r="X6" s="6">
        <f t="shared" si="1"/>
        <v>46234</v>
      </c>
      <c r="Y6" s="3">
        <f t="shared" si="2"/>
        <v>0.28000000000000003</v>
      </c>
    </row>
    <row r="7" spans="1:26" x14ac:dyDescent="0.25">
      <c r="A7" s="5"/>
      <c r="B7" s="6"/>
      <c r="D7" s="13">
        <v>46295</v>
      </c>
      <c r="E7" s="13">
        <v>46295</v>
      </c>
      <c r="F7" s="20">
        <f t="shared" si="0"/>
        <v>0</v>
      </c>
      <c r="G7" s="3">
        <v>0</v>
      </c>
      <c r="H7" s="3">
        <v>0.27</v>
      </c>
      <c r="I7" s="3">
        <v>0</v>
      </c>
      <c r="J7" s="15"/>
      <c r="X7" s="6">
        <f t="shared" si="1"/>
        <v>46265</v>
      </c>
      <c r="Y7" s="3">
        <f t="shared" si="2"/>
        <v>0.28999999999999998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8 mėn. 24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46295</v>
      </c>
      <c r="Y8" s="3">
        <f t="shared" si="2"/>
        <v>0.27</v>
      </c>
    </row>
    <row r="9" spans="1:26" x14ac:dyDescent="0.25">
      <c r="A9" s="5" t="s">
        <v>9</v>
      </c>
      <c r="B9" s="6">
        <v>46169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46127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46438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143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0.1075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30.48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1.1400000000000001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3">
      <formula>$Z$3="+"</formula>
    </cfRule>
  </conditionalFormatting>
  <conditionalFormatting sqref="Z3">
    <cfRule type="expression" dxfId="40" priority="4">
      <formula>$Z$3="+"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E0CD-BB32-4316-A11E-B1A27ED36E9F}">
  <dimension ref="A1:Z53"/>
  <sheetViews>
    <sheetView workbookViewId="0">
      <selection activeCell="I8" sqref="I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67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30</v>
      </c>
      <c r="D3" s="13">
        <v>46171</v>
      </c>
      <c r="E3" s="13">
        <v>46171</v>
      </c>
      <c r="F3" s="20">
        <f>IF(E3&gt;0,E3-D3,"")</f>
        <v>0</v>
      </c>
      <c r="G3" s="3">
        <v>0</v>
      </c>
      <c r="H3" s="3">
        <v>0.15</v>
      </c>
      <c r="I3" s="3">
        <v>0</v>
      </c>
      <c r="J3" s="15"/>
      <c r="K3" s="3">
        <f>G53</f>
        <v>0</v>
      </c>
      <c r="L3" s="3">
        <f>H53</f>
        <v>0.95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46147</v>
      </c>
      <c r="Y3" s="3">
        <f>B16*-1</f>
        <v>-21.75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46203</v>
      </c>
      <c r="E4" s="13">
        <v>46203</v>
      </c>
      <c r="F4" s="20">
        <f>IF(E4&gt;0,E4-D4,"")</f>
        <v>0</v>
      </c>
      <c r="G4" s="3">
        <v>0</v>
      </c>
      <c r="H4" s="3">
        <v>0.2</v>
      </c>
      <c r="I4" s="3">
        <v>0</v>
      </c>
      <c r="J4" s="9"/>
      <c r="X4" s="6">
        <f>E3</f>
        <v>46171</v>
      </c>
      <c r="Y4" s="3">
        <f>G3+H3-I3</f>
        <v>0.15</v>
      </c>
    </row>
    <row r="5" spans="1:26" x14ac:dyDescent="0.25">
      <c r="A5" s="5" t="s">
        <v>43</v>
      </c>
      <c r="B5" s="2" t="s">
        <v>58</v>
      </c>
      <c r="D5" s="13">
        <v>46234</v>
      </c>
      <c r="E5" s="13">
        <v>46234</v>
      </c>
      <c r="F5" s="20">
        <f t="shared" ref="F5:F52" si="0">IF(E5&gt;0,E5-D5,"")</f>
        <v>0</v>
      </c>
      <c r="G5" s="3">
        <v>0</v>
      </c>
      <c r="H5" s="3">
        <v>0.2</v>
      </c>
      <c r="I5" s="3">
        <v>0</v>
      </c>
      <c r="J5" s="9"/>
      <c r="X5" s="6">
        <f t="shared" ref="X5:X52" si="1">E4</f>
        <v>46203</v>
      </c>
      <c r="Y5" s="3">
        <f t="shared" ref="Y5:Y52" si="2">G4+H4-I4</f>
        <v>0.2</v>
      </c>
    </row>
    <row r="6" spans="1:26" x14ac:dyDescent="0.25">
      <c r="A6" s="16" t="s">
        <v>32</v>
      </c>
      <c r="B6" s="3" t="s">
        <v>33</v>
      </c>
      <c r="D6" s="13">
        <v>46265</v>
      </c>
      <c r="E6" s="13">
        <v>46265</v>
      </c>
      <c r="F6" s="20">
        <f t="shared" si="0"/>
        <v>0</v>
      </c>
      <c r="G6" s="3">
        <v>0</v>
      </c>
      <c r="H6" s="3">
        <v>0.21</v>
      </c>
      <c r="I6" s="3">
        <v>0</v>
      </c>
      <c r="J6" s="9"/>
      <c r="X6" s="6">
        <f t="shared" si="1"/>
        <v>46234</v>
      </c>
      <c r="Y6" s="3">
        <f t="shared" si="2"/>
        <v>0.2</v>
      </c>
    </row>
    <row r="7" spans="1:26" x14ac:dyDescent="0.25">
      <c r="A7" s="5"/>
      <c r="B7" s="6"/>
      <c r="D7" s="13">
        <v>46295</v>
      </c>
      <c r="E7" s="13">
        <v>46295</v>
      </c>
      <c r="F7" s="20">
        <f t="shared" si="0"/>
        <v>0</v>
      </c>
      <c r="G7" s="3">
        <v>0</v>
      </c>
      <c r="H7" s="3">
        <v>0.19</v>
      </c>
      <c r="I7" s="3">
        <v>0</v>
      </c>
      <c r="J7" s="15"/>
      <c r="X7" s="6">
        <f t="shared" si="1"/>
        <v>46265</v>
      </c>
      <c r="Y7" s="3">
        <f t="shared" si="2"/>
        <v>0.21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8 mėn. 6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46295</v>
      </c>
      <c r="Y8" s="3">
        <f t="shared" si="2"/>
        <v>0.19</v>
      </c>
    </row>
    <row r="9" spans="1:26" x14ac:dyDescent="0.25">
      <c r="A9" s="5" t="s">
        <v>9</v>
      </c>
      <c r="B9" s="6">
        <v>46147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46120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46398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103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0.1075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21.75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0.95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1">
      <formula>$Z$3="+"</formula>
    </cfRule>
    <cfRule type="expression" dxfId="38" priority="2">
      <formula>$B$16=$K$3</formula>
    </cfRule>
  </conditionalFormatting>
  <conditionalFormatting sqref="P3">
    <cfRule type="expression" dxfId="37" priority="11">
      <formula>$Z$3="+"</formula>
    </cfRule>
  </conditionalFormatting>
  <conditionalFormatting sqref="Z3">
    <cfRule type="expression" dxfId="36" priority="12">
      <formula>$Z$3="+"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530F-70D3-4179-810B-A748738D37FC}">
  <dimension ref="A1:Z53"/>
  <sheetViews>
    <sheetView workbookViewId="0">
      <selection activeCell="A22" sqref="A22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51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46142</v>
      </c>
      <c r="E3" s="13">
        <v>46142</v>
      </c>
      <c r="F3" s="20">
        <f>IF(E3&gt;0,E3-D3,"")</f>
        <v>0</v>
      </c>
      <c r="G3" s="3">
        <v>0</v>
      </c>
      <c r="H3" s="3">
        <v>0.1</v>
      </c>
      <c r="I3" s="3">
        <v>0</v>
      </c>
      <c r="J3" s="15"/>
      <c r="K3" s="3">
        <f>G53</f>
        <v>0</v>
      </c>
      <c r="L3" s="3">
        <f>H53</f>
        <v>1.2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46128</v>
      </c>
      <c r="Y3" s="3">
        <f>B16*-1</f>
        <v>-21.84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46171</v>
      </c>
      <c r="E4" s="13">
        <v>46171</v>
      </c>
      <c r="F4" s="20">
        <f>IF(E4&gt;0,E4-D4,"")</f>
        <v>0</v>
      </c>
      <c r="G4" s="3">
        <v>0</v>
      </c>
      <c r="H4" s="2">
        <v>0.21</v>
      </c>
      <c r="I4" s="3">
        <v>0</v>
      </c>
      <c r="J4" s="9"/>
      <c r="X4" s="6">
        <f>E3</f>
        <v>46142</v>
      </c>
      <c r="Y4" s="3">
        <f>G3+H3-I3</f>
        <v>0.1</v>
      </c>
    </row>
    <row r="5" spans="1:26" x14ac:dyDescent="0.25">
      <c r="A5" s="5" t="s">
        <v>43</v>
      </c>
      <c r="B5" s="2" t="s">
        <v>52</v>
      </c>
      <c r="D5" s="13">
        <v>46203</v>
      </c>
      <c r="E5" s="13">
        <v>46203</v>
      </c>
      <c r="F5" s="20">
        <f t="shared" ref="F5:F52" si="0">IF(E5&gt;0,E5-D5,"")</f>
        <v>0</v>
      </c>
      <c r="G5" s="3">
        <v>0</v>
      </c>
      <c r="H5" s="3">
        <v>0.23</v>
      </c>
      <c r="I5" s="3">
        <v>0</v>
      </c>
      <c r="J5" s="9"/>
      <c r="X5" s="6">
        <f t="shared" ref="X5:X52" si="1">E4</f>
        <v>46171</v>
      </c>
      <c r="Y5" s="3">
        <f t="shared" ref="Y5:Y52" si="2">G4+H4-I4</f>
        <v>0.21</v>
      </c>
    </row>
    <row r="6" spans="1:26" x14ac:dyDescent="0.25">
      <c r="A6" s="16" t="s">
        <v>32</v>
      </c>
      <c r="B6" s="3" t="s">
        <v>33</v>
      </c>
      <c r="D6" s="13">
        <v>46234</v>
      </c>
      <c r="E6" s="13">
        <v>46234</v>
      </c>
      <c r="F6" s="20">
        <f t="shared" si="0"/>
        <v>0</v>
      </c>
      <c r="G6" s="3">
        <v>0</v>
      </c>
      <c r="H6" s="3">
        <v>0.22</v>
      </c>
      <c r="I6" s="3">
        <v>0</v>
      </c>
      <c r="J6" s="9"/>
      <c r="X6" s="6">
        <f t="shared" si="1"/>
        <v>46203</v>
      </c>
      <c r="Y6" s="3">
        <f t="shared" si="2"/>
        <v>0.23</v>
      </c>
    </row>
    <row r="7" spans="1:26" x14ac:dyDescent="0.25">
      <c r="A7" s="5"/>
      <c r="B7" s="6"/>
      <c r="D7" s="13">
        <v>46265</v>
      </c>
      <c r="E7" s="13">
        <v>46265</v>
      </c>
      <c r="F7" s="20">
        <f t="shared" si="0"/>
        <v>0</v>
      </c>
      <c r="G7" s="3">
        <v>0</v>
      </c>
      <c r="H7" s="3">
        <v>0.23</v>
      </c>
      <c r="I7" s="3">
        <v>0</v>
      </c>
      <c r="J7" s="15"/>
      <c r="X7" s="6">
        <f t="shared" si="1"/>
        <v>46234</v>
      </c>
      <c r="Y7" s="3">
        <f t="shared" si="2"/>
        <v>0.22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1 m. 0 mėn. 12 d.</v>
      </c>
      <c r="D8" s="13">
        <v>46295</v>
      </c>
      <c r="E8" s="13">
        <v>46295</v>
      </c>
      <c r="F8" s="20">
        <f t="shared" si="0"/>
        <v>0</v>
      </c>
      <c r="G8" s="3">
        <v>0</v>
      </c>
      <c r="H8" s="3">
        <v>0.21</v>
      </c>
      <c r="I8" s="3">
        <v>0</v>
      </c>
      <c r="J8" s="9"/>
      <c r="X8" s="6">
        <f t="shared" si="1"/>
        <v>46265</v>
      </c>
      <c r="Y8" s="3">
        <f t="shared" si="2"/>
        <v>0.23</v>
      </c>
    </row>
    <row r="9" spans="1:26" x14ac:dyDescent="0.25">
      <c r="A9" s="5" t="s">
        <v>9</v>
      </c>
      <c r="B9" s="6">
        <v>46128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46295</v>
      </c>
      <c r="Y9" s="3">
        <f t="shared" si="2"/>
        <v>0.21</v>
      </c>
    </row>
    <row r="10" spans="1:26" x14ac:dyDescent="0.25">
      <c r="A10" s="5" t="s">
        <v>62</v>
      </c>
      <c r="B10" s="6">
        <v>46125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46505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>
        <f ca="1">IF(B16&lt;&gt;K3,(TODAY()-B11)*-1,"")</f>
        <v>210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0.12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21.84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1.2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9">
      <formula>$Z$3="+"</formula>
    </cfRule>
  </conditionalFormatting>
  <conditionalFormatting sqref="Z3">
    <cfRule type="expression" dxfId="32" priority="10">
      <formula>$Z$3="+"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6F67-985C-4768-BD4D-EDE383AEA945}">
  <sheetPr>
    <tabColor rgb="FF92D050"/>
  </sheetPr>
  <dimension ref="A1:Z53"/>
  <sheetViews>
    <sheetView workbookViewId="0">
      <selection activeCell="I10" sqref="I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35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46112</v>
      </c>
      <c r="E3" s="13">
        <v>46112</v>
      </c>
      <c r="F3" s="20">
        <f>IF(E3&gt;0,E3-D3,"")</f>
        <v>0</v>
      </c>
      <c r="G3" s="3">
        <v>0</v>
      </c>
      <c r="H3" s="3">
        <v>0.2</v>
      </c>
      <c r="I3" s="3">
        <v>0</v>
      </c>
      <c r="J3" s="15"/>
      <c r="K3" s="3">
        <f>G53</f>
        <v>21.8</v>
      </c>
      <c r="L3" s="3">
        <f>H53</f>
        <v>1.26</v>
      </c>
      <c r="M3" s="3">
        <f>I53</f>
        <v>0</v>
      </c>
      <c r="N3" s="7">
        <f>IF(B16=K3,XIRR(Y3:Y52,X3:X52),"")</f>
        <v>0.11689513325691223</v>
      </c>
      <c r="O3" s="6">
        <f>IF(B16=K3,MAX(E:E),"")</f>
        <v>46273</v>
      </c>
      <c r="P3" s="2" t="str">
        <f ca="1">IF(Z3="+",TODAY()-B11,"")</f>
        <v/>
      </c>
      <c r="Q3" s="2">
        <f>IF(B16=K3,MAX(E:E)-B11,"")</f>
        <v>0</v>
      </c>
      <c r="T3" s="14"/>
      <c r="X3" s="6">
        <f>B9</f>
        <v>46083</v>
      </c>
      <c r="Y3" s="3">
        <f>B16*-1</f>
        <v>-21.8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46142</v>
      </c>
      <c r="E4" s="13">
        <v>46142</v>
      </c>
      <c r="F4" s="20">
        <f>IF(E4&gt;0,E4-D4,"")</f>
        <v>0</v>
      </c>
      <c r="G4" s="3">
        <v>0</v>
      </c>
      <c r="H4" s="2">
        <v>0.19</v>
      </c>
      <c r="I4" s="3">
        <v>0</v>
      </c>
      <c r="J4" s="9"/>
      <c r="X4" s="6">
        <f>E3</f>
        <v>46112</v>
      </c>
      <c r="Y4" s="3">
        <f>G3+H3-I3</f>
        <v>0.2</v>
      </c>
    </row>
    <row r="5" spans="1:26" x14ac:dyDescent="0.25">
      <c r="A5" s="5" t="s">
        <v>43</v>
      </c>
      <c r="B5" s="2" t="s">
        <v>50</v>
      </c>
      <c r="D5" s="13">
        <v>46171</v>
      </c>
      <c r="E5" s="13">
        <v>46171</v>
      </c>
      <c r="F5" s="20">
        <f t="shared" ref="F5:F52" si="0">IF(E5&gt;0,E5-D5,"")</f>
        <v>0</v>
      </c>
      <c r="G5" s="3">
        <v>0</v>
      </c>
      <c r="H5" s="3">
        <v>0.2</v>
      </c>
      <c r="I5" s="3">
        <v>0</v>
      </c>
      <c r="J5" s="9"/>
      <c r="X5" s="6">
        <f t="shared" ref="X5:X52" si="1">E4</f>
        <v>46142</v>
      </c>
      <c r="Y5" s="3">
        <f t="shared" ref="Y5:Y52" si="2">G4+H4-I4</f>
        <v>0.19</v>
      </c>
    </row>
    <row r="6" spans="1:26" x14ac:dyDescent="0.25">
      <c r="A6" s="16" t="s">
        <v>32</v>
      </c>
      <c r="B6" s="3" t="s">
        <v>33</v>
      </c>
      <c r="D6" s="13">
        <v>46203</v>
      </c>
      <c r="E6" s="13">
        <v>46203</v>
      </c>
      <c r="F6" s="20">
        <f t="shared" si="0"/>
        <v>0</v>
      </c>
      <c r="G6" s="3">
        <v>0</v>
      </c>
      <c r="H6" s="3">
        <v>0.21</v>
      </c>
      <c r="I6" s="3">
        <v>0</v>
      </c>
      <c r="J6" s="9"/>
      <c r="X6" s="6">
        <f t="shared" si="1"/>
        <v>46171</v>
      </c>
      <c r="Y6" s="3">
        <f t="shared" si="2"/>
        <v>0.2</v>
      </c>
    </row>
    <row r="7" spans="1:26" x14ac:dyDescent="0.25">
      <c r="A7" s="5"/>
      <c r="B7" s="6"/>
      <c r="D7" s="13">
        <v>46234</v>
      </c>
      <c r="E7" s="13">
        <v>46234</v>
      </c>
      <c r="F7" s="20">
        <f t="shared" si="0"/>
        <v>0</v>
      </c>
      <c r="G7" s="3">
        <v>0</v>
      </c>
      <c r="H7" s="3">
        <v>0.2</v>
      </c>
      <c r="I7" s="3">
        <v>0</v>
      </c>
      <c r="J7" s="15"/>
      <c r="X7" s="6">
        <f t="shared" si="1"/>
        <v>46203</v>
      </c>
      <c r="Y7" s="3">
        <f t="shared" si="2"/>
        <v>0.21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6 mėn. 6 d.</v>
      </c>
      <c r="D8" s="13">
        <v>46265</v>
      </c>
      <c r="E8" s="13">
        <v>46265</v>
      </c>
      <c r="F8" s="20">
        <v>0</v>
      </c>
      <c r="G8" s="3">
        <v>0</v>
      </c>
      <c r="H8" s="3">
        <v>0.21</v>
      </c>
      <c r="I8" s="3">
        <v>0</v>
      </c>
      <c r="J8" s="9"/>
      <c r="X8" s="6">
        <f t="shared" si="1"/>
        <v>46234</v>
      </c>
      <c r="Y8" s="3">
        <f t="shared" si="2"/>
        <v>0.2</v>
      </c>
    </row>
    <row r="9" spans="1:26" x14ac:dyDescent="0.25">
      <c r="A9" s="5" t="s">
        <v>9</v>
      </c>
      <c r="B9" s="6">
        <v>46083</v>
      </c>
      <c r="D9" s="13">
        <v>46273</v>
      </c>
      <c r="E9" s="13">
        <v>46273</v>
      </c>
      <c r="F9" s="20">
        <f t="shared" si="0"/>
        <v>0</v>
      </c>
      <c r="G9" s="3">
        <v>21.8</v>
      </c>
      <c r="H9" s="3">
        <v>0.05</v>
      </c>
      <c r="I9" s="3">
        <v>0</v>
      </c>
      <c r="J9" s="15"/>
      <c r="X9" s="6">
        <f t="shared" si="1"/>
        <v>46265</v>
      </c>
      <c r="Y9" s="3">
        <f t="shared" si="2"/>
        <v>0.21</v>
      </c>
    </row>
    <row r="10" spans="1:26" x14ac:dyDescent="0.25">
      <c r="A10" s="5" t="s">
        <v>62</v>
      </c>
      <c r="B10" s="6">
        <v>46077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46273</v>
      </c>
      <c r="Y10" s="3">
        <f t="shared" si="2"/>
        <v>21.85</v>
      </c>
    </row>
    <row r="11" spans="1:26" x14ac:dyDescent="0.25">
      <c r="A11" s="5" t="s">
        <v>8</v>
      </c>
      <c r="B11" s="6">
        <v>46273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 t="str">
        <f ca="1">IF(B16&lt;&gt;K3,(TODAY()-B11)*-1,"")</f>
        <v/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21.8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21.8</v>
      </c>
      <c r="H53" s="3">
        <f t="shared" ref="H53:I53" si="3">SUM(H3:H52)</f>
        <v>1.26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7">
      <formula>$Z$3="+"</formula>
    </cfRule>
  </conditionalFormatting>
  <conditionalFormatting sqref="Z3">
    <cfRule type="expression" dxfId="28" priority="8">
      <formula>$Z$3="+"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85DF-B0F2-44DE-8D3A-4838A53EDA3D}">
  <dimension ref="A1:Z53"/>
  <sheetViews>
    <sheetView workbookViewId="0">
      <selection activeCell="I10" sqref="I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31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17</v>
      </c>
      <c r="D3" s="13">
        <v>46081</v>
      </c>
      <c r="E3" s="13">
        <v>46081</v>
      </c>
      <c r="F3" s="20">
        <f>IF(E3&gt;0,E3-D3,"")</f>
        <v>0</v>
      </c>
      <c r="G3" s="3">
        <v>0</v>
      </c>
      <c r="H3" s="3">
        <v>0.1</v>
      </c>
      <c r="I3" s="3">
        <v>0</v>
      </c>
      <c r="J3" s="15"/>
      <c r="K3" s="3">
        <f>G53</f>
        <v>0</v>
      </c>
      <c r="L3" s="3">
        <f>H53</f>
        <v>1.43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46064</v>
      </c>
      <c r="Y3" s="3">
        <f>B16*-1</f>
        <v>-21.43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18</v>
      </c>
      <c r="D4" s="13">
        <v>46112</v>
      </c>
      <c r="E4" s="13">
        <v>46112</v>
      </c>
      <c r="F4" s="20">
        <f>IF(E4&gt;0,E4-D4,"")</f>
        <v>0</v>
      </c>
      <c r="G4" s="3">
        <v>0</v>
      </c>
      <c r="H4" s="3">
        <v>0.2</v>
      </c>
      <c r="I4" s="3">
        <v>0</v>
      </c>
      <c r="J4" s="9"/>
      <c r="X4" s="6">
        <f>E3</f>
        <v>46081</v>
      </c>
      <c r="Y4" s="3">
        <f>G3+H3-I3</f>
        <v>0.1</v>
      </c>
    </row>
    <row r="5" spans="1:26" x14ac:dyDescent="0.25">
      <c r="A5" s="5" t="s">
        <v>43</v>
      </c>
      <c r="B5" s="2" t="s">
        <v>49</v>
      </c>
      <c r="D5" s="13">
        <v>46142</v>
      </c>
      <c r="E5" s="13">
        <v>46142</v>
      </c>
      <c r="F5" s="20">
        <f t="shared" ref="F5:F52" si="0">IF(E5&gt;0,E5-D5,"")</f>
        <v>0</v>
      </c>
      <c r="G5" s="3">
        <v>0</v>
      </c>
      <c r="H5" s="3">
        <v>0.19</v>
      </c>
      <c r="I5" s="3">
        <v>0</v>
      </c>
      <c r="J5" s="9"/>
      <c r="X5" s="6">
        <f t="shared" ref="X5:X52" si="1">E4</f>
        <v>46112</v>
      </c>
      <c r="Y5" s="3">
        <f t="shared" ref="Y5:Y52" si="2">G4+H4-I4</f>
        <v>0.2</v>
      </c>
    </row>
    <row r="6" spans="1:26" x14ac:dyDescent="0.25">
      <c r="A6" s="16" t="s">
        <v>32</v>
      </c>
      <c r="B6" s="3" t="s">
        <v>34</v>
      </c>
      <c r="D6" s="13">
        <v>46171</v>
      </c>
      <c r="E6" s="13">
        <v>46171</v>
      </c>
      <c r="F6" s="20">
        <f t="shared" si="0"/>
        <v>0</v>
      </c>
      <c r="G6" s="3">
        <v>0</v>
      </c>
      <c r="H6" s="3">
        <v>0.18</v>
      </c>
      <c r="I6" s="3">
        <v>0</v>
      </c>
      <c r="J6" s="9"/>
      <c r="X6" s="6">
        <f t="shared" si="1"/>
        <v>46142</v>
      </c>
      <c r="Y6" s="3">
        <f t="shared" si="2"/>
        <v>0.19</v>
      </c>
    </row>
    <row r="7" spans="1:26" x14ac:dyDescent="0.25">
      <c r="A7" s="5"/>
      <c r="B7" s="6"/>
      <c r="D7" s="13">
        <v>46203</v>
      </c>
      <c r="E7" s="13">
        <v>46203</v>
      </c>
      <c r="F7" s="20">
        <f t="shared" si="0"/>
        <v>0</v>
      </c>
      <c r="G7" s="3">
        <v>0</v>
      </c>
      <c r="H7" s="3">
        <v>0.2</v>
      </c>
      <c r="I7" s="3">
        <v>0</v>
      </c>
      <c r="J7" s="15"/>
      <c r="X7" s="6">
        <f t="shared" si="1"/>
        <v>46171</v>
      </c>
      <c r="Y7" s="3">
        <f t="shared" si="2"/>
        <v>0.18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22 d.</v>
      </c>
      <c r="D8" s="13">
        <v>46234</v>
      </c>
      <c r="E8" s="13">
        <v>46234</v>
      </c>
      <c r="F8" s="20">
        <f t="shared" si="0"/>
        <v>0</v>
      </c>
      <c r="G8" s="3">
        <v>0</v>
      </c>
      <c r="H8" s="3">
        <v>0.19</v>
      </c>
      <c r="I8" s="3">
        <v>0</v>
      </c>
      <c r="J8" s="9"/>
      <c r="X8" s="6">
        <f t="shared" si="1"/>
        <v>46203</v>
      </c>
      <c r="Y8" s="3">
        <f t="shared" si="2"/>
        <v>0.2</v>
      </c>
    </row>
    <row r="9" spans="1:26" x14ac:dyDescent="0.25">
      <c r="A9" s="5" t="s">
        <v>9</v>
      </c>
      <c r="B9" s="6">
        <v>46064</v>
      </c>
      <c r="D9" s="13">
        <v>46265</v>
      </c>
      <c r="E9" s="13">
        <v>46265</v>
      </c>
      <c r="F9" s="20">
        <f t="shared" si="0"/>
        <v>0</v>
      </c>
      <c r="G9" s="3">
        <v>0</v>
      </c>
      <c r="H9" s="3">
        <v>0.19</v>
      </c>
      <c r="I9" s="3">
        <v>0</v>
      </c>
      <c r="J9" s="15"/>
      <c r="X9" s="6">
        <f t="shared" si="1"/>
        <v>46234</v>
      </c>
      <c r="Y9" s="3">
        <f t="shared" si="2"/>
        <v>0.19</v>
      </c>
    </row>
    <row r="10" spans="1:26" x14ac:dyDescent="0.25">
      <c r="A10" s="5" t="s">
        <v>62</v>
      </c>
      <c r="B10" s="6">
        <v>46084</v>
      </c>
      <c r="D10" s="13">
        <v>46295</v>
      </c>
      <c r="E10" s="13">
        <v>46295</v>
      </c>
      <c r="F10" s="20">
        <f t="shared" si="0"/>
        <v>0</v>
      </c>
      <c r="G10" s="3">
        <v>0</v>
      </c>
      <c r="H10" s="2">
        <v>0.18</v>
      </c>
      <c r="I10" s="3">
        <v>0</v>
      </c>
      <c r="J10" s="15"/>
      <c r="X10" s="6">
        <f t="shared" si="1"/>
        <v>46265</v>
      </c>
      <c r="Y10" s="3">
        <f t="shared" si="2"/>
        <v>0.19</v>
      </c>
    </row>
    <row r="11" spans="1:26" x14ac:dyDescent="0.25">
      <c r="A11" s="5" t="s">
        <v>8</v>
      </c>
      <c r="B11" s="6">
        <v>46420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46295</v>
      </c>
      <c r="Y11" s="3">
        <f t="shared" si="2"/>
        <v>0.18</v>
      </c>
    </row>
    <row r="12" spans="1:26" x14ac:dyDescent="0.25">
      <c r="A12" s="5" t="s">
        <v>63</v>
      </c>
      <c r="B12" s="20">
        <f ca="1">IF(B16&lt;&gt;K3,(TODAY()-B11)*-1,"")</f>
        <v>125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0.105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21.43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1.43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9">
      <formula>$Z$3="+"</formula>
    </cfRule>
  </conditionalFormatting>
  <conditionalFormatting sqref="Z3">
    <cfRule type="expression" dxfId="24" priority="10">
      <formula>$Z$3="+"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AE8D-71CD-4B37-8927-10E7D3C24754}"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29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30</v>
      </c>
      <c r="D3" s="13">
        <v>46053</v>
      </c>
      <c r="E3" s="13">
        <v>46053</v>
      </c>
      <c r="F3" s="20">
        <f>IF(E3&gt;0,E3-D3,"")</f>
        <v>0</v>
      </c>
      <c r="G3" s="3">
        <v>0</v>
      </c>
      <c r="H3" s="3">
        <v>0.16</v>
      </c>
      <c r="I3" s="3">
        <v>0</v>
      </c>
      <c r="J3" s="15"/>
      <c r="K3" s="3">
        <f>G53</f>
        <v>0</v>
      </c>
      <c r="L3" s="3">
        <f>H53</f>
        <v>1.7399999999999998</v>
      </c>
      <c r="M3" s="3">
        <f>I53</f>
        <v>0</v>
      </c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4"/>
      <c r="X3" s="6">
        <f>B9</f>
        <v>46029</v>
      </c>
      <c r="Y3" s="3">
        <f>B16*-1</f>
        <v>-21.01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46081</v>
      </c>
      <c r="E4" s="13">
        <v>46081</v>
      </c>
      <c r="F4" s="20">
        <f>IF(E4&gt;0,E4-D4,"")</f>
        <v>0</v>
      </c>
      <c r="G4" s="3">
        <v>0</v>
      </c>
      <c r="H4" s="2">
        <v>0.19</v>
      </c>
      <c r="I4" s="3">
        <v>0</v>
      </c>
      <c r="J4" s="9"/>
      <c r="X4" s="6">
        <f>E3</f>
        <v>46053</v>
      </c>
      <c r="Y4" s="3">
        <f>G3+H3-I3</f>
        <v>0.16</v>
      </c>
    </row>
    <row r="5" spans="1:26" x14ac:dyDescent="0.25">
      <c r="A5" s="5" t="s">
        <v>43</v>
      </c>
      <c r="B5" s="2" t="s">
        <v>48</v>
      </c>
      <c r="D5" s="13">
        <v>46112</v>
      </c>
      <c r="E5" s="13">
        <v>46112</v>
      </c>
      <c r="F5" s="20">
        <f t="shared" ref="F5:F52" si="0">IF(E5&gt;0,E5-D5,"")</f>
        <v>0</v>
      </c>
      <c r="G5" s="3">
        <v>0</v>
      </c>
      <c r="H5" s="3">
        <v>0.21</v>
      </c>
      <c r="I5" s="3">
        <v>0</v>
      </c>
      <c r="J5" s="9"/>
      <c r="X5" s="6">
        <f t="shared" ref="X5:X52" si="1">E4</f>
        <v>46081</v>
      </c>
      <c r="Y5" s="3">
        <f t="shared" ref="Y5:Y52" si="2">G4+H4-I4</f>
        <v>0.19</v>
      </c>
    </row>
    <row r="6" spans="1:26" x14ac:dyDescent="0.25">
      <c r="A6" s="16" t="s">
        <v>32</v>
      </c>
      <c r="B6" s="3" t="s">
        <v>33</v>
      </c>
      <c r="D6" s="13">
        <v>46142</v>
      </c>
      <c r="E6" s="13">
        <v>46142</v>
      </c>
      <c r="F6" s="20">
        <f t="shared" si="0"/>
        <v>0</v>
      </c>
      <c r="G6" s="3">
        <v>0</v>
      </c>
      <c r="H6" s="3">
        <v>0.19</v>
      </c>
      <c r="I6" s="3">
        <v>0</v>
      </c>
      <c r="J6" s="9"/>
      <c r="X6" s="6">
        <f t="shared" si="1"/>
        <v>46112</v>
      </c>
      <c r="Y6" s="3">
        <f t="shared" si="2"/>
        <v>0.21</v>
      </c>
    </row>
    <row r="7" spans="1:26" x14ac:dyDescent="0.25">
      <c r="A7" s="5"/>
      <c r="B7" s="6"/>
      <c r="D7" s="13">
        <v>46171</v>
      </c>
      <c r="E7" s="13">
        <v>46171</v>
      </c>
      <c r="F7" s="20">
        <f t="shared" si="0"/>
        <v>0</v>
      </c>
      <c r="G7" s="3">
        <v>0</v>
      </c>
      <c r="H7" s="3">
        <v>0.19</v>
      </c>
      <c r="I7" s="3">
        <v>0</v>
      </c>
      <c r="J7" s="15"/>
      <c r="X7" s="6">
        <f t="shared" si="1"/>
        <v>46142</v>
      </c>
      <c r="Y7" s="3">
        <f t="shared" si="2"/>
        <v>0.19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21 d.</v>
      </c>
      <c r="D8" s="13">
        <v>46203</v>
      </c>
      <c r="E8" s="13">
        <v>46203</v>
      </c>
      <c r="F8" s="20">
        <f t="shared" si="0"/>
        <v>0</v>
      </c>
      <c r="G8" s="3">
        <v>0</v>
      </c>
      <c r="H8" s="3">
        <v>0.21</v>
      </c>
      <c r="I8" s="3">
        <v>0</v>
      </c>
      <c r="J8" s="9"/>
      <c r="X8" s="6">
        <f t="shared" si="1"/>
        <v>46171</v>
      </c>
      <c r="Y8" s="3">
        <f t="shared" si="2"/>
        <v>0.19</v>
      </c>
    </row>
    <row r="9" spans="1:26" x14ac:dyDescent="0.25">
      <c r="A9" s="5" t="s">
        <v>9</v>
      </c>
      <c r="B9" s="6">
        <v>46029</v>
      </c>
      <c r="D9" s="13">
        <v>46234</v>
      </c>
      <c r="E9" s="13">
        <v>46234</v>
      </c>
      <c r="F9" s="20">
        <f t="shared" si="0"/>
        <v>0</v>
      </c>
      <c r="G9" s="3">
        <v>0</v>
      </c>
      <c r="H9" s="3">
        <v>0.2</v>
      </c>
      <c r="I9" s="3">
        <v>0</v>
      </c>
      <c r="J9" s="15"/>
      <c r="X9" s="6">
        <f t="shared" si="1"/>
        <v>46203</v>
      </c>
      <c r="Y9" s="3">
        <f t="shared" si="2"/>
        <v>0.21</v>
      </c>
    </row>
    <row r="10" spans="1:26" x14ac:dyDescent="0.25">
      <c r="A10" s="5" t="s">
        <v>62</v>
      </c>
      <c r="B10" s="6">
        <v>46013</v>
      </c>
      <c r="D10" s="13">
        <v>46265</v>
      </c>
      <c r="E10" s="13">
        <v>46265</v>
      </c>
      <c r="F10" s="20">
        <f t="shared" si="0"/>
        <v>0</v>
      </c>
      <c r="G10" s="3">
        <v>0</v>
      </c>
      <c r="H10" s="3">
        <v>0.2</v>
      </c>
      <c r="I10" s="3">
        <v>0</v>
      </c>
      <c r="J10" s="15"/>
      <c r="X10" s="6">
        <f t="shared" si="1"/>
        <v>46234</v>
      </c>
      <c r="Y10" s="3">
        <f t="shared" si="2"/>
        <v>0.2</v>
      </c>
    </row>
    <row r="11" spans="1:26" x14ac:dyDescent="0.25">
      <c r="A11" s="5" t="s">
        <v>8</v>
      </c>
      <c r="B11" s="6">
        <v>46384</v>
      </c>
      <c r="D11" s="13">
        <v>46295</v>
      </c>
      <c r="E11" s="6">
        <v>46295</v>
      </c>
      <c r="F11" s="20">
        <f t="shared" si="0"/>
        <v>0</v>
      </c>
      <c r="G11" s="3">
        <v>0</v>
      </c>
      <c r="H11" s="2">
        <v>0.19</v>
      </c>
      <c r="I11" s="3">
        <v>0</v>
      </c>
      <c r="J11" s="15"/>
      <c r="X11" s="6">
        <f t="shared" si="1"/>
        <v>46265</v>
      </c>
      <c r="Y11" s="3">
        <f t="shared" si="2"/>
        <v>0.2</v>
      </c>
    </row>
    <row r="12" spans="1:26" x14ac:dyDescent="0.25">
      <c r="A12" s="5" t="s">
        <v>63</v>
      </c>
      <c r="B12" s="20">
        <f ca="1">IF(B16&lt;&gt;K3,(TODAY()-B11)*-1,"")</f>
        <v>89</v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46295</v>
      </c>
      <c r="Y12" s="3">
        <f t="shared" si="2"/>
        <v>0.19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0.1125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21.01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0</v>
      </c>
      <c r="H53" s="3">
        <f t="shared" ref="H53:I53" si="3">SUM(H3:H52)</f>
        <v>1.7399999999999998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3">
      <formula>$Z$3="+"</formula>
    </cfRule>
  </conditionalFormatting>
  <conditionalFormatting sqref="Z3">
    <cfRule type="expression" dxfId="2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0F01-4188-44EC-8BB0-625647DD9250}">
  <sheetPr>
    <tabColor rgb="FF92D050"/>
  </sheetPr>
  <dimension ref="A1:Z53"/>
  <sheetViews>
    <sheetView workbookViewId="0">
      <selection activeCell="L4" sqref="L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25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46022</v>
      </c>
      <c r="E3" s="13">
        <v>46022</v>
      </c>
      <c r="F3" s="20">
        <f>IF(E3&gt;0,E3-D3,"")</f>
        <v>0</v>
      </c>
      <c r="G3" s="3">
        <v>0</v>
      </c>
      <c r="H3" s="3">
        <v>0.1</v>
      </c>
      <c r="I3" s="3">
        <v>0</v>
      </c>
      <c r="J3" s="15"/>
      <c r="K3" s="3">
        <f>G53</f>
        <v>20.99</v>
      </c>
      <c r="L3" s="3">
        <f>H53</f>
        <v>1.1400000000000001</v>
      </c>
      <c r="M3" s="3">
        <f>I53</f>
        <v>0</v>
      </c>
      <c r="N3" s="7">
        <f>IF(B16=K3,XIRR(Y3:Y52,X3:X52),"")</f>
        <v>0.11731390357017515</v>
      </c>
      <c r="O3" s="6">
        <v>46185</v>
      </c>
      <c r="P3" s="2" t="str">
        <f ca="1">IF(Z3="+",TODAY()-B11,"")</f>
        <v/>
      </c>
      <c r="Q3" s="2">
        <f>IF(B16=K3,MAX(E:E)-B11,"")</f>
        <v>1</v>
      </c>
      <c r="T3" s="14"/>
      <c r="X3" s="6">
        <f>B9</f>
        <v>46007</v>
      </c>
      <c r="Y3" s="3">
        <f>B16*-1</f>
        <v>-20.99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46053</v>
      </c>
      <c r="E4" s="13">
        <v>46053</v>
      </c>
      <c r="F4" s="20">
        <f>IF(E4&gt;0,E4-D4,"")</f>
        <v>0</v>
      </c>
      <c r="G4" s="3">
        <v>0</v>
      </c>
      <c r="H4" s="3">
        <v>0.2</v>
      </c>
      <c r="I4" s="3">
        <v>0</v>
      </c>
      <c r="J4" s="9"/>
      <c r="X4" s="6">
        <f>E3</f>
        <v>46022</v>
      </c>
      <c r="Y4" s="3">
        <f>G3+H3-I3</f>
        <v>0.1</v>
      </c>
    </row>
    <row r="5" spans="1:26" x14ac:dyDescent="0.25">
      <c r="A5" s="5" t="s">
        <v>43</v>
      </c>
      <c r="B5" s="2" t="s">
        <v>47</v>
      </c>
      <c r="D5" s="13">
        <v>46081</v>
      </c>
      <c r="E5" s="13">
        <v>46081</v>
      </c>
      <c r="F5" s="20">
        <f t="shared" ref="F5:F52" si="0">IF(E5&gt;0,E5-D5,"")</f>
        <v>0</v>
      </c>
      <c r="G5" s="3">
        <v>0</v>
      </c>
      <c r="H5" s="3">
        <v>0.18</v>
      </c>
      <c r="I5" s="3">
        <v>0</v>
      </c>
      <c r="J5" s="9"/>
      <c r="X5" s="6">
        <f t="shared" ref="X5:X52" si="1">E4</f>
        <v>46053</v>
      </c>
      <c r="Y5" s="3">
        <f t="shared" ref="Y5:Y52" si="2">G4+H4-I4</f>
        <v>0.2</v>
      </c>
    </row>
    <row r="6" spans="1:26" x14ac:dyDescent="0.25">
      <c r="A6" s="16" t="s">
        <v>32</v>
      </c>
      <c r="B6" s="3" t="s">
        <v>33</v>
      </c>
      <c r="D6" s="13">
        <v>46112</v>
      </c>
      <c r="E6" s="13">
        <v>46112</v>
      </c>
      <c r="F6" s="20">
        <f t="shared" si="0"/>
        <v>0</v>
      </c>
      <c r="G6" s="3">
        <v>0</v>
      </c>
      <c r="H6" s="3">
        <v>0.2</v>
      </c>
      <c r="I6" s="3">
        <v>0</v>
      </c>
      <c r="J6" s="9"/>
      <c r="X6" s="6">
        <f t="shared" si="1"/>
        <v>46081</v>
      </c>
      <c r="Y6" s="3">
        <f t="shared" si="2"/>
        <v>0.18</v>
      </c>
    </row>
    <row r="7" spans="1:26" x14ac:dyDescent="0.25">
      <c r="A7" s="5"/>
      <c r="B7" s="6"/>
      <c r="D7" s="13">
        <v>46142</v>
      </c>
      <c r="E7" s="13">
        <v>46142</v>
      </c>
      <c r="F7" s="20">
        <f t="shared" si="0"/>
        <v>0</v>
      </c>
      <c r="G7" s="3">
        <v>0</v>
      </c>
      <c r="H7" s="3">
        <v>0.18</v>
      </c>
      <c r="I7" s="3">
        <v>0</v>
      </c>
      <c r="J7" s="15"/>
      <c r="X7" s="6">
        <f t="shared" si="1"/>
        <v>46112</v>
      </c>
      <c r="Y7" s="3">
        <f t="shared" si="2"/>
        <v>0.2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5 mėn. 26 d.</v>
      </c>
      <c r="D8" s="13">
        <v>46171</v>
      </c>
      <c r="E8" s="13">
        <v>46171</v>
      </c>
      <c r="F8" s="20">
        <f t="shared" si="0"/>
        <v>0</v>
      </c>
      <c r="G8" s="3">
        <v>0</v>
      </c>
      <c r="H8" s="3">
        <v>0.2</v>
      </c>
      <c r="I8" s="3">
        <v>0</v>
      </c>
      <c r="J8" s="9"/>
      <c r="X8" s="6">
        <f t="shared" si="1"/>
        <v>46142</v>
      </c>
      <c r="Y8" s="3">
        <f t="shared" si="2"/>
        <v>0.18</v>
      </c>
    </row>
    <row r="9" spans="1:26" x14ac:dyDescent="0.25">
      <c r="A9" s="5" t="s">
        <v>9</v>
      </c>
      <c r="B9" s="6">
        <v>46007</v>
      </c>
      <c r="D9" s="13">
        <v>46184</v>
      </c>
      <c r="E9" s="13">
        <v>46185</v>
      </c>
      <c r="F9" s="20">
        <f t="shared" si="0"/>
        <v>1</v>
      </c>
      <c r="G9" s="3">
        <v>20.99</v>
      </c>
      <c r="H9" s="3">
        <v>0.08</v>
      </c>
      <c r="I9" s="3">
        <v>0</v>
      </c>
      <c r="J9" s="15"/>
      <c r="X9" s="6">
        <f t="shared" si="1"/>
        <v>46171</v>
      </c>
      <c r="Y9" s="3">
        <f t="shared" si="2"/>
        <v>0.2</v>
      </c>
    </row>
    <row r="10" spans="1:26" x14ac:dyDescent="0.25">
      <c r="A10" s="5" t="s">
        <v>62</v>
      </c>
      <c r="B10" s="6">
        <v>46001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46185</v>
      </c>
      <c r="Y10" s="3">
        <f t="shared" si="2"/>
        <v>21.069999999999997</v>
      </c>
    </row>
    <row r="11" spans="1:26" x14ac:dyDescent="0.25">
      <c r="A11" s="5" t="s">
        <v>8</v>
      </c>
      <c r="B11" s="6">
        <v>46184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 t="str">
        <f ca="1">IF(B16&lt;&gt;K3,(TODAY()-B11)*-1,"")</f>
        <v/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20.99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20.99</v>
      </c>
      <c r="H53" s="3">
        <f t="shared" ref="H53:I53" si="3">SUM(H3:H52)</f>
        <v>1.1400000000000001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3">
      <formula>$Z$3="+"</formula>
    </cfRule>
  </conditionalFormatting>
  <conditionalFormatting sqref="Z3">
    <cfRule type="expression" dxfId="16" priority="4">
      <formula>$Z$3="+"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090C-ED9C-4156-B8D2-0D82F3DE697D}">
  <sheetPr>
    <tabColor rgb="FF92D050"/>
  </sheetPr>
  <dimension ref="A1:Z53"/>
  <sheetViews>
    <sheetView workbookViewId="0">
      <selection activeCell="L4" sqref="L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21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45991</v>
      </c>
      <c r="E3" s="13">
        <v>45991</v>
      </c>
      <c r="F3" s="20">
        <f>IF(E3&gt;0,E3-D3,"")</f>
        <v>0</v>
      </c>
      <c r="G3" s="3">
        <v>0</v>
      </c>
      <c r="H3" s="3">
        <v>0.11</v>
      </c>
      <c r="I3" s="3">
        <v>0</v>
      </c>
      <c r="J3" s="15"/>
      <c r="K3" s="3">
        <f>G53</f>
        <v>20.64</v>
      </c>
      <c r="L3" s="3">
        <f>H53</f>
        <v>0.66</v>
      </c>
      <c r="M3" s="3">
        <f>I53</f>
        <v>0</v>
      </c>
      <c r="N3" s="7">
        <f>IF(B16=K3,XIRR(Y3:Y52,X3:X52),"")</f>
        <v>0.11148106455802917</v>
      </c>
      <c r="O3" s="6">
        <f>IF(B16=K3,MAX(E:E),"")</f>
        <v>46083</v>
      </c>
      <c r="P3" s="2" t="str">
        <f ca="1">IF(Z3="+",TODAY()-B11,"")</f>
        <v/>
      </c>
      <c r="Q3" s="2">
        <f>IF(B16=K3,MAX(E:E)-B11,"")</f>
        <v>-1</v>
      </c>
      <c r="T3" s="14"/>
      <c r="X3" s="6">
        <f>B9</f>
        <v>45973</v>
      </c>
      <c r="Y3" s="3">
        <f>B16*-1</f>
        <v>-20.64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46022</v>
      </c>
      <c r="E4" s="13">
        <v>46022</v>
      </c>
      <c r="F4" s="20">
        <f>IF(E4&gt;0,E4-D4,"")</f>
        <v>0</v>
      </c>
      <c r="G4" s="3">
        <v>0</v>
      </c>
      <c r="H4" s="2">
        <v>0.19</v>
      </c>
      <c r="I4" s="3">
        <v>0</v>
      </c>
      <c r="J4" s="9"/>
      <c r="X4" s="6">
        <f>E3</f>
        <v>45991</v>
      </c>
      <c r="Y4" s="3">
        <f>G3+H3-I3</f>
        <v>0.11</v>
      </c>
    </row>
    <row r="5" spans="1:26" x14ac:dyDescent="0.25">
      <c r="A5" s="5" t="s">
        <v>43</v>
      </c>
      <c r="B5" s="2" t="s">
        <v>46</v>
      </c>
      <c r="D5" s="13">
        <v>46053</v>
      </c>
      <c r="E5" s="13">
        <v>46053</v>
      </c>
      <c r="F5" s="20">
        <f t="shared" ref="F5:F52" si="0">IF(E5&gt;0,E5-D5,"")</f>
        <v>0</v>
      </c>
      <c r="G5" s="3">
        <v>0</v>
      </c>
      <c r="H5" s="3">
        <v>0.18</v>
      </c>
      <c r="I5" s="3">
        <v>0</v>
      </c>
      <c r="J5" s="9"/>
      <c r="X5" s="6">
        <f t="shared" ref="X5:X52" si="1">E4</f>
        <v>46022</v>
      </c>
      <c r="Y5" s="3">
        <f t="shared" ref="Y5:Y52" si="2">G4+H4-I4</f>
        <v>0.19</v>
      </c>
    </row>
    <row r="6" spans="1:26" x14ac:dyDescent="0.25">
      <c r="A6" s="16" t="s">
        <v>32</v>
      </c>
      <c r="B6" s="3" t="s">
        <v>33</v>
      </c>
      <c r="D6" s="13">
        <v>46081</v>
      </c>
      <c r="E6" s="13">
        <v>46081</v>
      </c>
      <c r="F6" s="20">
        <f t="shared" si="0"/>
        <v>0</v>
      </c>
      <c r="G6" s="3">
        <v>0</v>
      </c>
      <c r="H6" s="3">
        <v>0.17</v>
      </c>
      <c r="I6" s="3">
        <v>0</v>
      </c>
      <c r="J6" s="9"/>
      <c r="X6" s="6">
        <f t="shared" si="1"/>
        <v>46053</v>
      </c>
      <c r="Y6" s="3">
        <f t="shared" si="2"/>
        <v>0.18</v>
      </c>
    </row>
    <row r="7" spans="1:26" x14ac:dyDescent="0.25">
      <c r="A7" s="5"/>
      <c r="B7" s="6"/>
      <c r="D7" s="13">
        <v>46083</v>
      </c>
      <c r="E7" s="13">
        <v>46083</v>
      </c>
      <c r="F7" s="20">
        <f t="shared" si="0"/>
        <v>0</v>
      </c>
      <c r="G7" s="3">
        <v>20.64</v>
      </c>
      <c r="H7" s="3">
        <v>0.01</v>
      </c>
      <c r="I7" s="3">
        <v>0</v>
      </c>
      <c r="J7" s="15"/>
      <c r="X7" s="6">
        <f t="shared" si="1"/>
        <v>46081</v>
      </c>
      <c r="Y7" s="3">
        <f t="shared" si="2"/>
        <v>0.17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3 mėn. 19 d.</v>
      </c>
      <c r="D8" s="13"/>
      <c r="E8" s="13"/>
      <c r="F8" s="20" t="str">
        <f t="shared" si="0"/>
        <v/>
      </c>
      <c r="G8" s="3"/>
      <c r="H8" s="3"/>
      <c r="I8" s="3"/>
      <c r="J8" s="9"/>
      <c r="X8" s="6">
        <f t="shared" si="1"/>
        <v>46083</v>
      </c>
      <c r="Y8" s="3">
        <f t="shared" si="2"/>
        <v>20.650000000000002</v>
      </c>
    </row>
    <row r="9" spans="1:26" x14ac:dyDescent="0.25">
      <c r="A9" s="5" t="s">
        <v>9</v>
      </c>
      <c r="B9" s="6">
        <v>45973</v>
      </c>
      <c r="D9" s="13"/>
      <c r="E9" s="13"/>
      <c r="F9" s="20" t="str">
        <f t="shared" si="0"/>
        <v/>
      </c>
      <c r="G9" s="3"/>
      <c r="H9" s="3"/>
      <c r="I9" s="3"/>
      <c r="J9" s="15"/>
      <c r="X9" s="6">
        <f t="shared" si="1"/>
        <v>0</v>
      </c>
      <c r="Y9" s="3">
        <f t="shared" si="2"/>
        <v>0</v>
      </c>
    </row>
    <row r="10" spans="1:26" x14ac:dyDescent="0.25">
      <c r="A10" s="5" t="s">
        <v>62</v>
      </c>
      <c r="B10" s="6">
        <v>45964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0</v>
      </c>
      <c r="Y10" s="3">
        <f t="shared" si="2"/>
        <v>0</v>
      </c>
    </row>
    <row r="11" spans="1:26" x14ac:dyDescent="0.25">
      <c r="A11" s="5" t="s">
        <v>8</v>
      </c>
      <c r="B11" s="6">
        <v>46084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 t="str">
        <f ca="1">IF(B16&lt;&gt;K3,(TODAY()-B11)*-1,"")</f>
        <v/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0.104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20.64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20.64</v>
      </c>
      <c r="H53" s="3">
        <f t="shared" ref="H53:I53" si="3">SUM(H3:H52)</f>
        <v>0.66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13">
      <formula>$Z$3="+"</formula>
    </cfRule>
  </conditionalFormatting>
  <conditionalFormatting sqref="Z3">
    <cfRule type="expression" dxfId="12" priority="14">
      <formula>$Z$3="+"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BB66-CDBB-4A5C-BDD5-6A761E934230}">
  <sheetPr>
    <tabColor rgb="FF92D050"/>
  </sheetPr>
  <dimension ref="A1:Z53"/>
  <sheetViews>
    <sheetView workbookViewId="0">
      <selection activeCell="H10" sqref="H10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20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45991</v>
      </c>
      <c r="E3" s="13">
        <v>45991</v>
      </c>
      <c r="F3" s="20">
        <f>IF(E3&gt;0,E3-D3,"")</f>
        <v>0</v>
      </c>
      <c r="G3" s="3">
        <v>0</v>
      </c>
      <c r="H3" s="3">
        <v>0.18</v>
      </c>
      <c r="I3" s="3">
        <v>0</v>
      </c>
      <c r="J3" s="15"/>
      <c r="K3" s="3">
        <f>G53</f>
        <v>30</v>
      </c>
      <c r="L3" s="3">
        <f>H53</f>
        <v>1.8</v>
      </c>
      <c r="M3" s="3">
        <f>I53</f>
        <v>0</v>
      </c>
      <c r="N3" s="7">
        <f>IF(B16=K3,XIRR(Y3:Y52,X3:X52),"")</f>
        <v>0.11771559119224548</v>
      </c>
      <c r="O3" s="6">
        <f>IF(B16=K3,MAX(E:E),"")</f>
        <v>46169</v>
      </c>
      <c r="P3" s="2" t="str">
        <f ca="1">IF(Z3="+",TODAY()-B11,"")</f>
        <v/>
      </c>
      <c r="Q3" s="2">
        <f>IF(B16=K3,MAX(E:E)-B11,"")</f>
        <v>0</v>
      </c>
      <c r="T3" s="14"/>
      <c r="X3" s="6">
        <f>B9</f>
        <v>45973</v>
      </c>
      <c r="Y3" s="3">
        <f>B16*-1</f>
        <v>-30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46022</v>
      </c>
      <c r="E4" s="13">
        <v>46022</v>
      </c>
      <c r="F4" s="20">
        <f>IF(E4&gt;0,E4-D4,"")</f>
        <v>0</v>
      </c>
      <c r="G4" s="3">
        <v>0</v>
      </c>
      <c r="H4" s="2">
        <v>0.28000000000000003</v>
      </c>
      <c r="I4" s="3">
        <v>0</v>
      </c>
      <c r="J4" s="9"/>
      <c r="X4" s="6">
        <f>E3</f>
        <v>45991</v>
      </c>
      <c r="Y4" s="3">
        <f>G3+H3-I3</f>
        <v>0.18</v>
      </c>
    </row>
    <row r="5" spans="1:26" x14ac:dyDescent="0.25">
      <c r="A5" s="5" t="s">
        <v>43</v>
      </c>
      <c r="B5" s="2" t="s">
        <v>45</v>
      </c>
      <c r="D5" s="13">
        <v>46053</v>
      </c>
      <c r="E5" s="13">
        <v>46053</v>
      </c>
      <c r="F5" s="20">
        <f t="shared" ref="F5:F52" si="0">IF(E5&gt;0,E5-D5,"")</f>
        <v>0</v>
      </c>
      <c r="G5" s="3">
        <v>0</v>
      </c>
      <c r="H5" s="3">
        <v>0.28999999999999998</v>
      </c>
      <c r="I5" s="3">
        <v>0</v>
      </c>
      <c r="J5" s="9"/>
      <c r="X5" s="6">
        <f t="shared" ref="X5:X52" si="1">E4</f>
        <v>46022</v>
      </c>
      <c r="Y5" s="3">
        <f t="shared" ref="Y5:Y52" si="2">G4+H4-I4</f>
        <v>0.28000000000000003</v>
      </c>
    </row>
    <row r="6" spans="1:26" x14ac:dyDescent="0.25">
      <c r="A6" s="16" t="s">
        <v>32</v>
      </c>
      <c r="B6" s="3" t="s">
        <v>33</v>
      </c>
      <c r="D6" s="13">
        <v>46081</v>
      </c>
      <c r="E6" s="13">
        <v>46081</v>
      </c>
      <c r="F6" s="20">
        <f t="shared" si="0"/>
        <v>0</v>
      </c>
      <c r="G6" s="3">
        <v>0</v>
      </c>
      <c r="H6" s="3">
        <v>0.25</v>
      </c>
      <c r="I6" s="3">
        <v>0</v>
      </c>
      <c r="J6" s="9"/>
      <c r="X6" s="6">
        <f t="shared" si="1"/>
        <v>46053</v>
      </c>
      <c r="Y6" s="3">
        <f t="shared" si="2"/>
        <v>0.28999999999999998</v>
      </c>
    </row>
    <row r="7" spans="1:26" x14ac:dyDescent="0.25">
      <c r="A7" s="5"/>
      <c r="B7" s="6"/>
      <c r="D7" s="13">
        <v>46112</v>
      </c>
      <c r="E7" s="13">
        <v>46112</v>
      </c>
      <c r="F7" s="20">
        <f t="shared" si="0"/>
        <v>0</v>
      </c>
      <c r="G7" s="3">
        <v>0</v>
      </c>
      <c r="H7" s="3">
        <v>0.3</v>
      </c>
      <c r="I7" s="3">
        <v>0</v>
      </c>
      <c r="J7" s="15"/>
      <c r="X7" s="6">
        <f t="shared" si="1"/>
        <v>46081</v>
      </c>
      <c r="Y7" s="3">
        <f t="shared" si="2"/>
        <v>0.25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6 mėn. 15 d.</v>
      </c>
      <c r="D8" s="13">
        <v>46142</v>
      </c>
      <c r="E8" s="13">
        <v>46142</v>
      </c>
      <c r="F8" s="20">
        <f t="shared" si="0"/>
        <v>0</v>
      </c>
      <c r="G8" s="3">
        <v>0</v>
      </c>
      <c r="H8" s="3">
        <v>0.25</v>
      </c>
      <c r="I8" s="3">
        <v>0</v>
      </c>
      <c r="J8" s="9"/>
      <c r="X8" s="6">
        <f t="shared" si="1"/>
        <v>46112</v>
      </c>
      <c r="Y8" s="3">
        <f t="shared" si="2"/>
        <v>0.3</v>
      </c>
    </row>
    <row r="9" spans="1:26" x14ac:dyDescent="0.25">
      <c r="A9" s="5" t="s">
        <v>9</v>
      </c>
      <c r="B9" s="6">
        <v>45973</v>
      </c>
      <c r="D9" s="13">
        <v>46169</v>
      </c>
      <c r="E9" s="13">
        <v>46169</v>
      </c>
      <c r="F9" s="20">
        <f t="shared" si="0"/>
        <v>0</v>
      </c>
      <c r="G9" s="3">
        <v>30</v>
      </c>
      <c r="H9" s="3">
        <v>0.25</v>
      </c>
      <c r="I9" s="3">
        <v>0</v>
      </c>
      <c r="J9" s="15"/>
      <c r="X9" s="6">
        <f t="shared" si="1"/>
        <v>46142</v>
      </c>
      <c r="Y9" s="3">
        <f t="shared" si="2"/>
        <v>0.25</v>
      </c>
    </row>
    <row r="10" spans="1:26" x14ac:dyDescent="0.25">
      <c r="A10" s="5" t="s">
        <v>62</v>
      </c>
      <c r="B10" s="6">
        <v>45966</v>
      </c>
      <c r="D10" s="13"/>
      <c r="E10" s="13"/>
      <c r="F10" s="20" t="str">
        <f t="shared" si="0"/>
        <v/>
      </c>
      <c r="G10" s="3"/>
      <c r="H10" s="2"/>
      <c r="I10" s="2"/>
      <c r="J10" s="15"/>
      <c r="X10" s="6">
        <f t="shared" si="1"/>
        <v>46169</v>
      </c>
      <c r="Y10" s="3">
        <f t="shared" si="2"/>
        <v>30.25</v>
      </c>
    </row>
    <row r="11" spans="1:26" x14ac:dyDescent="0.25">
      <c r="A11" s="5" t="s">
        <v>8</v>
      </c>
      <c r="B11" s="6">
        <v>46169</v>
      </c>
      <c r="D11" s="13"/>
      <c r="E11" s="6"/>
      <c r="F11" s="20" t="str">
        <f t="shared" si="0"/>
        <v/>
      </c>
      <c r="G11" s="2"/>
      <c r="H11" s="2"/>
      <c r="I11" s="2"/>
      <c r="J11" s="15"/>
      <c r="X11" s="6">
        <f t="shared" si="1"/>
        <v>0</v>
      </c>
      <c r="Y11" s="3">
        <f t="shared" si="2"/>
        <v>0</v>
      </c>
    </row>
    <row r="12" spans="1:26" x14ac:dyDescent="0.25">
      <c r="A12" s="5" t="s">
        <v>63</v>
      </c>
      <c r="B12" s="20" t="str">
        <f ca="1">IF(B16&lt;&gt;K3,(TODAY()-B11)*-1,"")</f>
        <v/>
      </c>
      <c r="D12" s="13"/>
      <c r="E12" s="6"/>
      <c r="F12" s="20" t="str">
        <f t="shared" si="0"/>
        <v/>
      </c>
      <c r="G12" s="2"/>
      <c r="H12" s="2"/>
      <c r="I12" s="2"/>
      <c r="J12" s="15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3"/>
      <c r="E13" s="6"/>
      <c r="F13" s="20" t="str">
        <f t="shared" si="0"/>
        <v/>
      </c>
      <c r="G13" s="2"/>
      <c r="H13" s="2"/>
      <c r="I13" s="2"/>
      <c r="J13" s="15"/>
      <c r="N13" s="14"/>
      <c r="X13" s="6">
        <f t="shared" si="1"/>
        <v>0</v>
      </c>
      <c r="Y13" s="3">
        <f t="shared" si="2"/>
        <v>0</v>
      </c>
    </row>
    <row r="14" spans="1:26" x14ac:dyDescent="0.25">
      <c r="A14" s="1"/>
      <c r="B14" s="25"/>
      <c r="D14" s="13"/>
      <c r="E14" s="6"/>
      <c r="F14" s="20" t="str">
        <f t="shared" si="0"/>
        <v/>
      </c>
      <c r="G14" s="2"/>
      <c r="H14" s="2"/>
      <c r="I14" s="2"/>
      <c r="J14" s="15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0.11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0</v>
      </c>
      <c r="Y15" s="3">
        <f t="shared" si="2"/>
        <v>0</v>
      </c>
    </row>
    <row r="16" spans="1:26" x14ac:dyDescent="0.25">
      <c r="A16" s="5" t="s">
        <v>64</v>
      </c>
      <c r="B16" s="3">
        <v>30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30</v>
      </c>
      <c r="H53" s="3">
        <f t="shared" ref="H53:I53" si="3">SUM(H3:H52)</f>
        <v>1.8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11">
      <formula>$Z$3="+"</formula>
    </cfRule>
  </conditionalFormatting>
  <conditionalFormatting sqref="Z3">
    <cfRule type="expression" dxfId="8" priority="12">
      <formula>$Z$3="+"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776B-CEAC-4360-A7CD-7A59F308D19B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16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17</v>
      </c>
      <c r="D3" s="13">
        <v>45930</v>
      </c>
      <c r="E3" s="13">
        <v>45930</v>
      </c>
      <c r="F3" s="20">
        <f>IF(E3&gt;0,E3-D3,"")</f>
        <v>0</v>
      </c>
      <c r="G3" s="3">
        <v>0</v>
      </c>
      <c r="H3" s="3">
        <v>0.05</v>
      </c>
      <c r="I3" s="3">
        <v>0</v>
      </c>
      <c r="J3" s="15"/>
      <c r="K3" s="3">
        <f>G53</f>
        <v>20</v>
      </c>
      <c r="L3" s="3">
        <f>H53</f>
        <v>1.9499999999999997</v>
      </c>
      <c r="M3" s="3">
        <f>I53</f>
        <v>0</v>
      </c>
      <c r="N3" s="7">
        <f>IF(B16=K3,XIRR(Y3:Y52,X3:X52),"")</f>
        <v>0.11158277392387392</v>
      </c>
      <c r="O3" s="6">
        <f>IF(B16=K3,MAX(E:E),"")</f>
        <v>46258</v>
      </c>
      <c r="P3" s="2" t="str">
        <f ca="1">IF(Z3="+",TODAY()-B11,"")</f>
        <v/>
      </c>
      <c r="Q3" s="2">
        <f>IF(B16=K3,MAX(E:E)-B11,"")</f>
        <v>-28</v>
      </c>
      <c r="T3" s="14"/>
      <c r="X3" s="6">
        <f>B9</f>
        <v>45923</v>
      </c>
      <c r="Y3" s="3">
        <f>B16*-1</f>
        <v>-20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18</v>
      </c>
      <c r="D4" s="13">
        <v>45961</v>
      </c>
      <c r="E4" s="13">
        <v>45961</v>
      </c>
      <c r="F4" s="20">
        <f>IF(E4&gt;0,E4-D4,"")</f>
        <v>0</v>
      </c>
      <c r="G4" s="3">
        <v>0</v>
      </c>
      <c r="H4" s="2">
        <v>0.18</v>
      </c>
      <c r="I4" s="3">
        <v>0</v>
      </c>
      <c r="J4" s="9"/>
      <c r="X4" s="6">
        <f>E3</f>
        <v>45930</v>
      </c>
      <c r="Y4" s="3">
        <f>G3+H3-I3</f>
        <v>0.05</v>
      </c>
    </row>
    <row r="5" spans="1:26" x14ac:dyDescent="0.25">
      <c r="A5" s="5" t="s">
        <v>43</v>
      </c>
      <c r="B5" s="2" t="s">
        <v>42</v>
      </c>
      <c r="D5" s="13">
        <v>45989</v>
      </c>
      <c r="E5" s="13">
        <v>45989</v>
      </c>
      <c r="F5" s="20">
        <f t="shared" ref="F5:F52" si="0">IF(E5&gt;0,E5-D5,"")</f>
        <v>0</v>
      </c>
      <c r="G5" s="3">
        <v>0</v>
      </c>
      <c r="H5" s="3">
        <v>0.16</v>
      </c>
      <c r="I5" s="3">
        <v>0</v>
      </c>
      <c r="J5" s="9"/>
      <c r="X5" s="6">
        <f t="shared" ref="X5:X52" si="1">E4</f>
        <v>45961</v>
      </c>
      <c r="Y5" s="3">
        <f t="shared" ref="Y5:Y52" si="2">G4+H4-I4</f>
        <v>0.18</v>
      </c>
    </row>
    <row r="6" spans="1:26" x14ac:dyDescent="0.25">
      <c r="A6" s="16" t="s">
        <v>32</v>
      </c>
      <c r="B6" s="3" t="s">
        <v>34</v>
      </c>
      <c r="D6" s="13">
        <v>46022</v>
      </c>
      <c r="E6" s="13">
        <v>46022</v>
      </c>
      <c r="F6" s="20">
        <f t="shared" si="0"/>
        <v>0</v>
      </c>
      <c r="G6" s="3">
        <v>0</v>
      </c>
      <c r="H6" s="3">
        <v>0.19</v>
      </c>
      <c r="I6" s="3">
        <v>0</v>
      </c>
      <c r="J6" s="9"/>
      <c r="X6" s="6">
        <f t="shared" si="1"/>
        <v>45989</v>
      </c>
      <c r="Y6" s="3">
        <f t="shared" si="2"/>
        <v>0.16</v>
      </c>
    </row>
    <row r="7" spans="1:26" x14ac:dyDescent="0.25">
      <c r="A7" s="5"/>
      <c r="B7" s="6"/>
      <c r="D7" s="13">
        <v>46052</v>
      </c>
      <c r="E7" s="13">
        <v>46052</v>
      </c>
      <c r="F7" s="20">
        <f t="shared" si="0"/>
        <v>0</v>
      </c>
      <c r="G7" s="3">
        <v>0</v>
      </c>
      <c r="H7" s="3">
        <v>0.17</v>
      </c>
      <c r="I7" s="3">
        <v>0</v>
      </c>
      <c r="J7" s="15"/>
      <c r="X7" s="6">
        <f t="shared" si="1"/>
        <v>46022</v>
      </c>
      <c r="Y7" s="3">
        <f t="shared" si="2"/>
        <v>0.19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29 d.</v>
      </c>
      <c r="D8" s="13">
        <v>46080</v>
      </c>
      <c r="E8" s="13">
        <v>46080</v>
      </c>
      <c r="F8" s="20">
        <f t="shared" si="0"/>
        <v>0</v>
      </c>
      <c r="G8" s="3">
        <v>0</v>
      </c>
      <c r="H8" s="3">
        <v>0.17</v>
      </c>
      <c r="I8" s="3">
        <v>0</v>
      </c>
      <c r="J8" s="9"/>
      <c r="X8" s="6">
        <f t="shared" si="1"/>
        <v>46052</v>
      </c>
      <c r="Y8" s="3">
        <f t="shared" si="2"/>
        <v>0.17</v>
      </c>
    </row>
    <row r="9" spans="1:26" x14ac:dyDescent="0.25">
      <c r="A9" s="5" t="s">
        <v>9</v>
      </c>
      <c r="B9" s="6">
        <v>45923</v>
      </c>
      <c r="D9" s="13">
        <v>46112</v>
      </c>
      <c r="E9" s="13">
        <v>46112</v>
      </c>
      <c r="F9" s="20">
        <f t="shared" si="0"/>
        <v>0</v>
      </c>
      <c r="G9" s="3">
        <v>0</v>
      </c>
      <c r="H9" s="3">
        <v>0.18</v>
      </c>
      <c r="I9" s="3">
        <v>0</v>
      </c>
      <c r="J9" s="15"/>
      <c r="X9" s="6">
        <f t="shared" si="1"/>
        <v>46080</v>
      </c>
      <c r="Y9" s="3">
        <f t="shared" si="2"/>
        <v>0.17</v>
      </c>
    </row>
    <row r="10" spans="1:26" x14ac:dyDescent="0.25">
      <c r="A10" s="5" t="s">
        <v>62</v>
      </c>
      <c r="B10" s="6">
        <v>45918</v>
      </c>
      <c r="D10" s="13">
        <v>46142</v>
      </c>
      <c r="E10" s="13">
        <v>46142</v>
      </c>
      <c r="F10" s="20">
        <f t="shared" si="0"/>
        <v>0</v>
      </c>
      <c r="G10" s="3">
        <v>0</v>
      </c>
      <c r="H10" s="2">
        <v>0.17</v>
      </c>
      <c r="I10" s="3">
        <v>0</v>
      </c>
      <c r="J10" s="15"/>
      <c r="X10" s="6">
        <f t="shared" si="1"/>
        <v>46112</v>
      </c>
      <c r="Y10" s="3">
        <f t="shared" si="2"/>
        <v>0.18</v>
      </c>
    </row>
    <row r="11" spans="1:26" x14ac:dyDescent="0.25">
      <c r="A11" s="5" t="s">
        <v>8</v>
      </c>
      <c r="B11" s="6">
        <v>46286</v>
      </c>
      <c r="D11" s="13">
        <v>46171</v>
      </c>
      <c r="E11" s="6">
        <v>46171</v>
      </c>
      <c r="F11" s="20">
        <f t="shared" si="0"/>
        <v>0</v>
      </c>
      <c r="G11" s="3">
        <v>0</v>
      </c>
      <c r="H11" s="2">
        <v>0.16</v>
      </c>
      <c r="I11" s="3">
        <v>0</v>
      </c>
      <c r="J11" s="15"/>
      <c r="X11" s="6">
        <f t="shared" si="1"/>
        <v>46142</v>
      </c>
      <c r="Y11" s="3">
        <f t="shared" si="2"/>
        <v>0.17</v>
      </c>
    </row>
    <row r="12" spans="1:26" x14ac:dyDescent="0.25">
      <c r="A12" s="5" t="s">
        <v>63</v>
      </c>
      <c r="B12" s="20" t="str">
        <f ca="1">IF(B16&lt;&gt;K3,(TODAY()-B11)*-1,"")</f>
        <v/>
      </c>
      <c r="D12" s="13">
        <v>46203</v>
      </c>
      <c r="E12" s="6">
        <v>46203</v>
      </c>
      <c r="F12" s="20">
        <f t="shared" si="0"/>
        <v>0</v>
      </c>
      <c r="G12" s="3">
        <v>0</v>
      </c>
      <c r="H12" s="3">
        <v>0.2</v>
      </c>
      <c r="I12" s="3">
        <v>0</v>
      </c>
      <c r="J12" s="15"/>
      <c r="X12" s="6">
        <f t="shared" si="1"/>
        <v>46171</v>
      </c>
      <c r="Y12" s="3">
        <f t="shared" si="2"/>
        <v>0.16</v>
      </c>
    </row>
    <row r="13" spans="1:26" x14ac:dyDescent="0.25">
      <c r="A13" s="5"/>
      <c r="B13" s="3"/>
      <c r="D13" s="13">
        <v>46234</v>
      </c>
      <c r="E13" s="6">
        <v>46234</v>
      </c>
      <c r="F13" s="20">
        <f t="shared" si="0"/>
        <v>0</v>
      </c>
      <c r="G13" s="3">
        <v>0</v>
      </c>
      <c r="H13" s="2">
        <v>0.18</v>
      </c>
      <c r="I13" s="3">
        <v>0</v>
      </c>
      <c r="J13" s="15"/>
      <c r="N13" s="14"/>
      <c r="X13" s="6">
        <f t="shared" si="1"/>
        <v>46203</v>
      </c>
      <c r="Y13" s="3">
        <f t="shared" si="2"/>
        <v>0.2</v>
      </c>
    </row>
    <row r="14" spans="1:26" x14ac:dyDescent="0.25">
      <c r="A14" s="1"/>
      <c r="B14" s="25"/>
      <c r="D14" s="13">
        <v>46258</v>
      </c>
      <c r="E14" s="6">
        <v>46258</v>
      </c>
      <c r="F14" s="20">
        <f t="shared" si="0"/>
        <v>0</v>
      </c>
      <c r="G14" s="3">
        <v>20</v>
      </c>
      <c r="H14" s="2">
        <v>0.14000000000000001</v>
      </c>
      <c r="I14" s="3">
        <v>0</v>
      </c>
      <c r="J14" s="15"/>
      <c r="X14" s="6">
        <f t="shared" si="1"/>
        <v>46234</v>
      </c>
      <c r="Y14" s="3">
        <f t="shared" si="2"/>
        <v>0.18</v>
      </c>
    </row>
    <row r="15" spans="1:26" x14ac:dyDescent="0.25">
      <c r="A15" s="5" t="s">
        <v>1</v>
      </c>
      <c r="B15" s="7">
        <v>0.1</v>
      </c>
      <c r="D15" s="13"/>
      <c r="E15" s="6"/>
      <c r="F15" s="20" t="str">
        <f t="shared" si="0"/>
        <v/>
      </c>
      <c r="G15" s="2"/>
      <c r="H15" s="2"/>
      <c r="I15" s="2"/>
      <c r="J15" s="15"/>
      <c r="K15" s="17"/>
      <c r="L15" s="17"/>
      <c r="M15" s="17"/>
      <c r="N15" s="17"/>
      <c r="O15" s="17"/>
      <c r="P15" s="17"/>
      <c r="Q15" s="17"/>
      <c r="X15" s="6">
        <f t="shared" si="1"/>
        <v>46258</v>
      </c>
      <c r="Y15" s="3">
        <f t="shared" si="2"/>
        <v>20.14</v>
      </c>
    </row>
    <row r="16" spans="1:26" x14ac:dyDescent="0.25">
      <c r="A16" s="5" t="s">
        <v>64</v>
      </c>
      <c r="B16" s="3">
        <v>20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0</v>
      </c>
      <c r="Y16" s="3">
        <f t="shared" si="2"/>
        <v>0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20</v>
      </c>
      <c r="H53" s="3">
        <f t="shared" ref="H53:I53" si="3">SUM(H3:H52)</f>
        <v>1.9499999999999997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9">
      <formula>$Z$3="+"</formula>
    </cfRule>
  </conditionalFormatting>
  <conditionalFormatting sqref="Z3">
    <cfRule type="expression" dxfId="4" priority="10">
      <formula>$Z$3="+"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E9AB-D170-4AA6-8FF9-C3077023F2B7}">
  <sheetPr>
    <tabColor rgb="FF92D050"/>
  </sheetPr>
  <dimension ref="A1:Z53"/>
  <sheetViews>
    <sheetView workbookViewId="0">
      <selection activeCell="I15" sqref="I15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5" customWidth="1"/>
    <col min="25" max="25" width="10.7109375" style="15" customWidth="1"/>
    <col min="26" max="26" width="10.7109375" customWidth="1"/>
  </cols>
  <sheetData>
    <row r="1" spans="1:26" x14ac:dyDescent="0.25">
      <c r="A1" s="5" t="s">
        <v>59</v>
      </c>
      <c r="B1" s="6" t="s">
        <v>14</v>
      </c>
      <c r="D1" s="34" t="s">
        <v>2</v>
      </c>
      <c r="E1" s="35"/>
      <c r="F1" s="36"/>
      <c r="G1" s="34" t="s">
        <v>0</v>
      </c>
      <c r="H1" s="35"/>
      <c r="I1" s="36"/>
      <c r="J1" s="17"/>
      <c r="K1" s="34" t="s">
        <v>41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60</v>
      </c>
      <c r="B2" s="6" t="s">
        <v>65</v>
      </c>
      <c r="D2" s="10" t="s">
        <v>27</v>
      </c>
      <c r="E2" s="10" t="s">
        <v>28</v>
      </c>
      <c r="F2" s="24" t="s">
        <v>56</v>
      </c>
      <c r="G2" s="10" t="s">
        <v>36</v>
      </c>
      <c r="H2" s="10" t="s">
        <v>37</v>
      </c>
      <c r="I2" s="10" t="s">
        <v>38</v>
      </c>
      <c r="J2" s="9"/>
      <c r="K2" s="10" t="s">
        <v>0</v>
      </c>
      <c r="L2" s="10" t="s">
        <v>1</v>
      </c>
      <c r="M2" s="10" t="s">
        <v>39</v>
      </c>
      <c r="N2" s="10" t="s">
        <v>40</v>
      </c>
      <c r="O2" s="10" t="s">
        <v>2</v>
      </c>
      <c r="P2" s="10" t="s">
        <v>53</v>
      </c>
      <c r="Q2" s="10" t="s">
        <v>56</v>
      </c>
      <c r="X2" s="10" t="s">
        <v>2</v>
      </c>
      <c r="Y2" s="10" t="s">
        <v>26</v>
      </c>
      <c r="Z2" s="10" t="s">
        <v>53</v>
      </c>
    </row>
    <row r="3" spans="1:26" x14ac:dyDescent="0.25">
      <c r="A3" s="5" t="s">
        <v>61</v>
      </c>
      <c r="B3" s="6" t="s">
        <v>15</v>
      </c>
      <c r="D3" s="13">
        <v>45930</v>
      </c>
      <c r="E3" s="13">
        <v>45930</v>
      </c>
      <c r="F3" s="20">
        <f>IF(E3&gt;0,E3-D3,"")</f>
        <v>0</v>
      </c>
      <c r="G3" s="3">
        <v>0</v>
      </c>
      <c r="H3" s="2">
        <v>0.08</v>
      </c>
      <c r="I3" s="3">
        <v>0</v>
      </c>
      <c r="J3" s="15"/>
      <c r="K3" s="3">
        <f>G53</f>
        <v>30</v>
      </c>
      <c r="L3" s="3">
        <f>H53</f>
        <v>3.87</v>
      </c>
      <c r="M3" s="3">
        <f>I53</f>
        <v>0</v>
      </c>
      <c r="N3" s="7">
        <f>IF(B16=K3,XIRR(Y3:Y52,X3:X52),"")</f>
        <v>0.14020970463752747</v>
      </c>
      <c r="O3" s="6">
        <f>IF(B16=K3,MAX(E:E),"")</f>
        <v>46280</v>
      </c>
      <c r="P3" s="2" t="str">
        <f ca="1">IF(Z3="+",TODAY()-B11,"")</f>
        <v/>
      </c>
      <c r="Q3" s="2">
        <f>IF(B16=K3,MAX(E:E)-B11,"")</f>
        <v>1</v>
      </c>
      <c r="T3" s="14"/>
      <c r="X3" s="6">
        <f>B9</f>
        <v>45923</v>
      </c>
      <c r="Y3" s="3">
        <f>B16*-1</f>
        <v>-30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66</v>
      </c>
      <c r="D4" s="13">
        <v>45961</v>
      </c>
      <c r="E4" s="13">
        <v>45961</v>
      </c>
      <c r="F4" s="20">
        <f>IF(E4&gt;0,E4-D4,"")</f>
        <v>0</v>
      </c>
      <c r="G4" s="3">
        <v>0</v>
      </c>
      <c r="H4" s="2">
        <v>0.33</v>
      </c>
      <c r="I4" s="3">
        <v>0</v>
      </c>
      <c r="J4" s="9"/>
      <c r="X4" s="6">
        <f>E3</f>
        <v>45930</v>
      </c>
      <c r="Y4" s="3">
        <f>G3+H3-I3</f>
        <v>0.08</v>
      </c>
    </row>
    <row r="5" spans="1:26" x14ac:dyDescent="0.25">
      <c r="A5" s="5" t="s">
        <v>43</v>
      </c>
      <c r="B5" s="2" t="s">
        <v>44</v>
      </c>
      <c r="D5" s="13">
        <v>45989</v>
      </c>
      <c r="E5" s="13">
        <v>45989</v>
      </c>
      <c r="F5" s="20">
        <f t="shared" ref="F5:F52" si="0">IF(E5&gt;0,E5-D5,"")</f>
        <v>0</v>
      </c>
      <c r="G5" s="3">
        <v>0</v>
      </c>
      <c r="H5" s="2">
        <v>0.31</v>
      </c>
      <c r="I5" s="3">
        <v>0</v>
      </c>
      <c r="J5" s="9"/>
      <c r="X5" s="6">
        <f t="shared" ref="X5:X52" si="1">E4</f>
        <v>45961</v>
      </c>
      <c r="Y5" s="3">
        <f t="shared" ref="Y5:Y52" si="2">G4+H4-I4</f>
        <v>0.33</v>
      </c>
    </row>
    <row r="6" spans="1:26" x14ac:dyDescent="0.25">
      <c r="A6" s="16" t="s">
        <v>32</v>
      </c>
      <c r="B6" s="3" t="s">
        <v>33</v>
      </c>
      <c r="D6" s="13">
        <v>46022</v>
      </c>
      <c r="E6" s="13">
        <v>46022</v>
      </c>
      <c r="F6" s="20">
        <f t="shared" si="0"/>
        <v>0</v>
      </c>
      <c r="G6" s="3">
        <v>0</v>
      </c>
      <c r="H6" s="2">
        <v>0.36</v>
      </c>
      <c r="I6" s="3">
        <v>0</v>
      </c>
      <c r="J6" s="9"/>
      <c r="X6" s="6">
        <f t="shared" si="1"/>
        <v>45989</v>
      </c>
      <c r="Y6" s="3">
        <f t="shared" si="2"/>
        <v>0.31</v>
      </c>
    </row>
    <row r="7" spans="1:26" x14ac:dyDescent="0.25">
      <c r="A7" s="5"/>
      <c r="B7" s="6"/>
      <c r="D7" s="13">
        <v>46052</v>
      </c>
      <c r="E7" s="13">
        <v>46052</v>
      </c>
      <c r="F7" s="20">
        <f t="shared" si="0"/>
        <v>0</v>
      </c>
      <c r="G7" s="3">
        <v>0</v>
      </c>
      <c r="H7" s="2">
        <v>0.32</v>
      </c>
      <c r="I7" s="3">
        <v>0</v>
      </c>
      <c r="J7" s="15"/>
      <c r="X7" s="6">
        <f t="shared" si="1"/>
        <v>46022</v>
      </c>
      <c r="Y7" s="3">
        <f t="shared" si="2"/>
        <v>0.36</v>
      </c>
    </row>
    <row r="8" spans="1:26" x14ac:dyDescent="0.25">
      <c r="A8" s="5" t="s">
        <v>57</v>
      </c>
      <c r="B8" s="6" t="str">
        <f>DATEDIF(B9,B11,"y") &amp; " m. " &amp; DATEDIF(B9,B11,"ym") &amp; " mėn. " &amp; DATEDIF(B9,B11,"md") &amp; " d."</f>
        <v>0 m. 11 mėn. 22 d.</v>
      </c>
      <c r="D8" s="13">
        <v>46080</v>
      </c>
      <c r="E8" s="13">
        <v>46080</v>
      </c>
      <c r="F8" s="20">
        <f t="shared" si="0"/>
        <v>0</v>
      </c>
      <c r="G8" s="3">
        <v>0</v>
      </c>
      <c r="H8" s="2">
        <v>0.31</v>
      </c>
      <c r="I8" s="3">
        <v>0</v>
      </c>
      <c r="J8" s="9"/>
      <c r="X8" s="6">
        <f t="shared" si="1"/>
        <v>46052</v>
      </c>
      <c r="Y8" s="3">
        <f t="shared" si="2"/>
        <v>0.32</v>
      </c>
    </row>
    <row r="9" spans="1:26" x14ac:dyDescent="0.25">
      <c r="A9" s="5" t="s">
        <v>9</v>
      </c>
      <c r="B9" s="6">
        <v>45923</v>
      </c>
      <c r="D9" s="13">
        <v>46112</v>
      </c>
      <c r="E9" s="13">
        <v>46112</v>
      </c>
      <c r="F9" s="20">
        <f t="shared" si="0"/>
        <v>0</v>
      </c>
      <c r="G9" s="3">
        <v>0</v>
      </c>
      <c r="H9" s="2">
        <v>0.34</v>
      </c>
      <c r="I9" s="3">
        <v>0</v>
      </c>
      <c r="J9" s="15"/>
      <c r="X9" s="6">
        <f t="shared" si="1"/>
        <v>46080</v>
      </c>
      <c r="Y9" s="3">
        <f t="shared" si="2"/>
        <v>0.31</v>
      </c>
    </row>
    <row r="10" spans="1:26" x14ac:dyDescent="0.25">
      <c r="A10" s="5" t="s">
        <v>62</v>
      </c>
      <c r="B10" s="6">
        <v>45896</v>
      </c>
      <c r="D10" s="13">
        <v>46142</v>
      </c>
      <c r="E10" s="13">
        <v>46142</v>
      </c>
      <c r="F10" s="20">
        <f t="shared" si="0"/>
        <v>0</v>
      </c>
      <c r="G10" s="3">
        <v>0</v>
      </c>
      <c r="H10" s="2">
        <v>0.32</v>
      </c>
      <c r="I10" s="3">
        <v>0</v>
      </c>
      <c r="J10" s="15"/>
      <c r="X10" s="6">
        <f t="shared" si="1"/>
        <v>46112</v>
      </c>
      <c r="Y10" s="3">
        <f t="shared" si="2"/>
        <v>0.34</v>
      </c>
    </row>
    <row r="11" spans="1:26" x14ac:dyDescent="0.25">
      <c r="A11" s="5" t="s">
        <v>8</v>
      </c>
      <c r="B11" s="6">
        <v>46279</v>
      </c>
      <c r="D11" s="13">
        <v>46171</v>
      </c>
      <c r="E11" s="6">
        <v>46171</v>
      </c>
      <c r="F11" s="20">
        <v>0</v>
      </c>
      <c r="G11" s="3">
        <v>0</v>
      </c>
      <c r="H11" s="2">
        <v>0.32</v>
      </c>
      <c r="I11" s="3">
        <v>0</v>
      </c>
      <c r="J11" s="15"/>
      <c r="X11" s="6">
        <f t="shared" si="1"/>
        <v>46142</v>
      </c>
      <c r="Y11" s="3">
        <f t="shared" si="2"/>
        <v>0.32</v>
      </c>
    </row>
    <row r="12" spans="1:26" x14ac:dyDescent="0.25">
      <c r="A12" s="5" t="s">
        <v>63</v>
      </c>
      <c r="B12" s="20" t="str">
        <f ca="1">IF(B16&lt;&gt;K3,(TODAY()-B11)*-1,"")</f>
        <v/>
      </c>
      <c r="D12" s="13">
        <v>46203</v>
      </c>
      <c r="E12" s="6">
        <v>46203</v>
      </c>
      <c r="F12" s="20">
        <f t="shared" si="0"/>
        <v>0</v>
      </c>
      <c r="G12" s="3">
        <v>0</v>
      </c>
      <c r="H12" s="2">
        <v>0.36</v>
      </c>
      <c r="I12" s="3">
        <v>0</v>
      </c>
      <c r="J12" s="15"/>
      <c r="X12" s="6">
        <f t="shared" si="1"/>
        <v>46171</v>
      </c>
      <c r="Y12" s="3">
        <f t="shared" si="2"/>
        <v>0.32</v>
      </c>
    </row>
    <row r="13" spans="1:26" x14ac:dyDescent="0.25">
      <c r="A13" s="5"/>
      <c r="B13" s="3"/>
      <c r="D13" s="13">
        <v>46234</v>
      </c>
      <c r="E13" s="6">
        <v>46234</v>
      </c>
      <c r="F13" s="20">
        <f t="shared" si="0"/>
        <v>0</v>
      </c>
      <c r="G13" s="3">
        <v>0</v>
      </c>
      <c r="H13" s="2">
        <v>0.33</v>
      </c>
      <c r="I13" s="3">
        <v>0</v>
      </c>
      <c r="J13" s="15"/>
      <c r="N13" s="14"/>
      <c r="X13" s="6">
        <f t="shared" si="1"/>
        <v>46203</v>
      </c>
      <c r="Y13" s="3">
        <f t="shared" si="2"/>
        <v>0.36</v>
      </c>
    </row>
    <row r="14" spans="1:26" x14ac:dyDescent="0.25">
      <c r="A14" s="1"/>
      <c r="B14" s="25"/>
      <c r="D14" s="13">
        <v>46265</v>
      </c>
      <c r="E14" s="6">
        <v>46265</v>
      </c>
      <c r="F14" s="20">
        <f t="shared" si="0"/>
        <v>0</v>
      </c>
      <c r="G14" s="3">
        <v>0</v>
      </c>
      <c r="H14" s="2">
        <v>0.33</v>
      </c>
      <c r="I14" s="3">
        <v>0</v>
      </c>
      <c r="J14" s="15"/>
      <c r="X14" s="6">
        <f t="shared" si="1"/>
        <v>46234</v>
      </c>
      <c r="Y14" s="3">
        <f t="shared" si="2"/>
        <v>0.33</v>
      </c>
    </row>
    <row r="15" spans="1:26" x14ac:dyDescent="0.25">
      <c r="A15" s="5" t="s">
        <v>1</v>
      </c>
      <c r="B15" s="7">
        <v>0.13</v>
      </c>
      <c r="D15" s="13">
        <v>46279</v>
      </c>
      <c r="E15" s="6">
        <v>46280</v>
      </c>
      <c r="F15" s="20">
        <f t="shared" si="0"/>
        <v>1</v>
      </c>
      <c r="G15" s="3">
        <v>30</v>
      </c>
      <c r="H15" s="2">
        <v>0.16</v>
      </c>
      <c r="I15" s="3">
        <v>0</v>
      </c>
      <c r="J15" s="15"/>
      <c r="K15" s="17"/>
      <c r="L15" s="17"/>
      <c r="M15" s="17"/>
      <c r="N15" s="17"/>
      <c r="O15" s="17"/>
      <c r="P15" s="17"/>
      <c r="Q15" s="17"/>
      <c r="X15" s="6">
        <f t="shared" si="1"/>
        <v>46265</v>
      </c>
      <c r="Y15" s="3">
        <f t="shared" si="2"/>
        <v>0.33</v>
      </c>
    </row>
    <row r="16" spans="1:26" x14ac:dyDescent="0.25">
      <c r="A16" s="5" t="s">
        <v>64</v>
      </c>
      <c r="B16" s="3">
        <v>30</v>
      </c>
      <c r="D16" s="13"/>
      <c r="E16" s="6"/>
      <c r="F16" s="20" t="str">
        <f t="shared" si="0"/>
        <v/>
      </c>
      <c r="G16" s="2"/>
      <c r="H16" s="2"/>
      <c r="I16" s="2"/>
      <c r="J16" s="15"/>
      <c r="K16" s="9"/>
      <c r="L16" s="9"/>
      <c r="M16" s="9"/>
      <c r="N16" s="18"/>
      <c r="O16" s="19"/>
      <c r="P16" s="15"/>
      <c r="Q16" s="15"/>
      <c r="X16" s="6">
        <f t="shared" si="1"/>
        <v>46280</v>
      </c>
      <c r="Y16" s="3">
        <f t="shared" si="2"/>
        <v>30.16</v>
      </c>
    </row>
    <row r="17" spans="4:25" x14ac:dyDescent="0.25">
      <c r="D17" s="13"/>
      <c r="E17" s="6"/>
      <c r="F17" s="20" t="str">
        <f t="shared" si="0"/>
        <v/>
      </c>
      <c r="G17" s="2"/>
      <c r="H17" s="2"/>
      <c r="I17" s="2"/>
      <c r="J17" s="15"/>
      <c r="X17" s="6">
        <f t="shared" si="1"/>
        <v>0</v>
      </c>
      <c r="Y17" s="3">
        <f t="shared" si="2"/>
        <v>0</v>
      </c>
    </row>
    <row r="18" spans="4:25" x14ac:dyDescent="0.25">
      <c r="D18" s="13"/>
      <c r="E18" s="6"/>
      <c r="F18" s="20" t="str">
        <f t="shared" si="0"/>
        <v/>
      </c>
      <c r="G18" s="2"/>
      <c r="H18" s="2"/>
      <c r="I18" s="2"/>
      <c r="J18" s="15"/>
      <c r="X18" s="6">
        <f t="shared" si="1"/>
        <v>0</v>
      </c>
      <c r="Y18" s="3">
        <f t="shared" si="2"/>
        <v>0</v>
      </c>
    </row>
    <row r="19" spans="4:25" x14ac:dyDescent="0.25">
      <c r="D19" s="13"/>
      <c r="E19" s="6"/>
      <c r="F19" s="20" t="str">
        <f t="shared" si="0"/>
        <v/>
      </c>
      <c r="G19" s="2"/>
      <c r="H19" s="2"/>
      <c r="I19" s="2"/>
      <c r="J19" s="15"/>
      <c r="X19" s="6">
        <f t="shared" si="1"/>
        <v>0</v>
      </c>
      <c r="Y19" s="3">
        <f t="shared" si="2"/>
        <v>0</v>
      </c>
    </row>
    <row r="20" spans="4:25" x14ac:dyDescent="0.25">
      <c r="D20" s="13"/>
      <c r="E20" s="6"/>
      <c r="F20" s="20" t="str">
        <f t="shared" si="0"/>
        <v/>
      </c>
      <c r="G20" s="2"/>
      <c r="H20" s="2"/>
      <c r="I20" s="2"/>
      <c r="J20" s="15"/>
      <c r="X20" s="6">
        <f t="shared" si="1"/>
        <v>0</v>
      </c>
      <c r="Y20" s="3">
        <f t="shared" si="2"/>
        <v>0</v>
      </c>
    </row>
    <row r="21" spans="4:25" x14ac:dyDescent="0.25">
      <c r="D21" s="13"/>
      <c r="E21" s="6"/>
      <c r="F21" s="20" t="str">
        <f t="shared" si="0"/>
        <v/>
      </c>
      <c r="G21" s="2"/>
      <c r="H21" s="2"/>
      <c r="I21" s="2"/>
      <c r="J21" s="15"/>
      <c r="X21" s="6">
        <f t="shared" si="1"/>
        <v>0</v>
      </c>
      <c r="Y21" s="3">
        <f t="shared" si="2"/>
        <v>0</v>
      </c>
    </row>
    <row r="22" spans="4:25" x14ac:dyDescent="0.25">
      <c r="D22" s="13"/>
      <c r="E22" s="6"/>
      <c r="F22" s="20" t="str">
        <f t="shared" si="0"/>
        <v/>
      </c>
      <c r="G22" s="2"/>
      <c r="H22" s="2"/>
      <c r="I22" s="2"/>
      <c r="J22" s="15"/>
      <c r="X22" s="6">
        <f t="shared" si="1"/>
        <v>0</v>
      </c>
      <c r="Y22" s="3">
        <f t="shared" si="2"/>
        <v>0</v>
      </c>
    </row>
    <row r="23" spans="4:25" x14ac:dyDescent="0.25">
      <c r="D23" s="13"/>
      <c r="E23" s="6"/>
      <c r="F23" s="20" t="str">
        <f t="shared" si="0"/>
        <v/>
      </c>
      <c r="G23" s="2"/>
      <c r="H23" s="2"/>
      <c r="I23" s="2"/>
      <c r="J23" s="15"/>
      <c r="X23" s="6">
        <f t="shared" si="1"/>
        <v>0</v>
      </c>
      <c r="Y23" s="3">
        <f t="shared" si="2"/>
        <v>0</v>
      </c>
    </row>
    <row r="24" spans="4:25" x14ac:dyDescent="0.25">
      <c r="D24" s="13"/>
      <c r="E24" s="6"/>
      <c r="F24" s="20" t="str">
        <f t="shared" si="0"/>
        <v/>
      </c>
      <c r="G24" s="2"/>
      <c r="H24" s="2"/>
      <c r="I24" s="2"/>
      <c r="J24" s="15"/>
      <c r="X24" s="6">
        <f t="shared" si="1"/>
        <v>0</v>
      </c>
      <c r="Y24" s="3">
        <f t="shared" si="2"/>
        <v>0</v>
      </c>
    </row>
    <row r="25" spans="4:25" x14ac:dyDescent="0.25">
      <c r="D25" s="13"/>
      <c r="E25" s="6"/>
      <c r="F25" s="20" t="str">
        <f t="shared" si="0"/>
        <v/>
      </c>
      <c r="G25" s="2"/>
      <c r="H25" s="2"/>
      <c r="I25" s="2"/>
      <c r="J25" s="15"/>
      <c r="X25" s="6">
        <f t="shared" si="1"/>
        <v>0</v>
      </c>
      <c r="Y25" s="3">
        <f t="shared" si="2"/>
        <v>0</v>
      </c>
    </row>
    <row r="26" spans="4:25" x14ac:dyDescent="0.25">
      <c r="D26" s="13"/>
      <c r="E26" s="6"/>
      <c r="F26" s="20" t="str">
        <f t="shared" si="0"/>
        <v/>
      </c>
      <c r="G26" s="2"/>
      <c r="H26" s="2"/>
      <c r="I26" s="2"/>
      <c r="J26" s="15"/>
      <c r="X26" s="6">
        <f t="shared" si="1"/>
        <v>0</v>
      </c>
      <c r="Y26" s="3">
        <f t="shared" si="2"/>
        <v>0</v>
      </c>
    </row>
    <row r="27" spans="4:25" x14ac:dyDescent="0.25">
      <c r="D27" s="13"/>
      <c r="E27" s="6"/>
      <c r="F27" s="20" t="str">
        <f t="shared" si="0"/>
        <v/>
      </c>
      <c r="G27" s="2"/>
      <c r="H27" s="2"/>
      <c r="I27" s="2"/>
      <c r="J27" s="15"/>
      <c r="X27" s="6">
        <f t="shared" si="1"/>
        <v>0</v>
      </c>
      <c r="Y27" s="3">
        <f t="shared" si="2"/>
        <v>0</v>
      </c>
    </row>
    <row r="28" spans="4:25" x14ac:dyDescent="0.25">
      <c r="D28" s="13"/>
      <c r="E28" s="6"/>
      <c r="F28" s="20" t="str">
        <f t="shared" si="0"/>
        <v/>
      </c>
      <c r="G28" s="2"/>
      <c r="H28" s="2"/>
      <c r="I28" s="2"/>
      <c r="J28" s="15"/>
      <c r="X28" s="6">
        <f t="shared" si="1"/>
        <v>0</v>
      </c>
      <c r="Y28" s="3">
        <f t="shared" si="2"/>
        <v>0</v>
      </c>
    </row>
    <row r="29" spans="4:25" x14ac:dyDescent="0.25">
      <c r="D29" s="13"/>
      <c r="E29" s="6"/>
      <c r="F29" s="20" t="str">
        <f t="shared" si="0"/>
        <v/>
      </c>
      <c r="G29" s="2"/>
      <c r="H29" s="2"/>
      <c r="I29" s="2"/>
      <c r="J29" s="15"/>
      <c r="X29" s="6">
        <f t="shared" si="1"/>
        <v>0</v>
      </c>
      <c r="Y29" s="3">
        <f t="shared" si="2"/>
        <v>0</v>
      </c>
    </row>
    <row r="30" spans="4:25" x14ac:dyDescent="0.25">
      <c r="D30" s="13"/>
      <c r="E30" s="6"/>
      <c r="F30" s="20" t="str">
        <f t="shared" si="0"/>
        <v/>
      </c>
      <c r="G30" s="2"/>
      <c r="H30" s="2"/>
      <c r="I30" s="2"/>
      <c r="J30" s="15"/>
      <c r="X30" s="6">
        <f t="shared" si="1"/>
        <v>0</v>
      </c>
      <c r="Y30" s="3">
        <f t="shared" si="2"/>
        <v>0</v>
      </c>
    </row>
    <row r="31" spans="4:25" x14ac:dyDescent="0.25">
      <c r="D31" s="13"/>
      <c r="E31" s="6"/>
      <c r="F31" s="20" t="str">
        <f t="shared" si="0"/>
        <v/>
      </c>
      <c r="G31" s="2"/>
      <c r="H31" s="2"/>
      <c r="I31" s="2"/>
      <c r="J31" s="15"/>
      <c r="X31" s="6">
        <f t="shared" si="1"/>
        <v>0</v>
      </c>
      <c r="Y31" s="3">
        <f t="shared" si="2"/>
        <v>0</v>
      </c>
    </row>
    <row r="32" spans="4:25" x14ac:dyDescent="0.25">
      <c r="D32" s="13"/>
      <c r="E32" s="6"/>
      <c r="F32" s="20" t="str">
        <f t="shared" si="0"/>
        <v/>
      </c>
      <c r="G32" s="2"/>
      <c r="H32" s="2"/>
      <c r="I32" s="2"/>
      <c r="J32" s="15"/>
      <c r="X32" s="6">
        <f t="shared" si="1"/>
        <v>0</v>
      </c>
      <c r="Y32" s="3">
        <f t="shared" si="2"/>
        <v>0</v>
      </c>
    </row>
    <row r="33" spans="4:25" x14ac:dyDescent="0.25">
      <c r="D33" s="13"/>
      <c r="E33" s="6"/>
      <c r="F33" s="20" t="str">
        <f t="shared" si="0"/>
        <v/>
      </c>
      <c r="G33" s="2"/>
      <c r="H33" s="2"/>
      <c r="I33" s="2"/>
      <c r="J33" s="15"/>
      <c r="X33" s="6">
        <f t="shared" si="1"/>
        <v>0</v>
      </c>
      <c r="Y33" s="3">
        <f t="shared" si="2"/>
        <v>0</v>
      </c>
    </row>
    <row r="34" spans="4:25" x14ac:dyDescent="0.25">
      <c r="D34" s="13"/>
      <c r="E34" s="6"/>
      <c r="F34" s="20" t="str">
        <f t="shared" si="0"/>
        <v/>
      </c>
      <c r="G34" s="2"/>
      <c r="H34" s="2"/>
      <c r="I34" s="2"/>
      <c r="J34" s="15"/>
      <c r="X34" s="6">
        <f t="shared" si="1"/>
        <v>0</v>
      </c>
      <c r="Y34" s="3">
        <f t="shared" si="2"/>
        <v>0</v>
      </c>
    </row>
    <row r="35" spans="4:25" x14ac:dyDescent="0.25">
      <c r="D35" s="13"/>
      <c r="E35" s="6"/>
      <c r="F35" s="20" t="str">
        <f t="shared" si="0"/>
        <v/>
      </c>
      <c r="G35" s="2"/>
      <c r="H35" s="2"/>
      <c r="I35" s="2"/>
      <c r="J35" s="15"/>
      <c r="X35" s="6">
        <f t="shared" si="1"/>
        <v>0</v>
      </c>
      <c r="Y35" s="3">
        <f t="shared" si="2"/>
        <v>0</v>
      </c>
    </row>
    <row r="36" spans="4:25" x14ac:dyDescent="0.25">
      <c r="D36" s="13"/>
      <c r="E36" s="6"/>
      <c r="F36" s="20" t="str">
        <f t="shared" si="0"/>
        <v/>
      </c>
      <c r="G36" s="2"/>
      <c r="H36" s="2"/>
      <c r="I36" s="2"/>
      <c r="J36" s="15"/>
      <c r="X36" s="6">
        <f t="shared" si="1"/>
        <v>0</v>
      </c>
      <c r="Y36" s="3">
        <f t="shared" si="2"/>
        <v>0</v>
      </c>
    </row>
    <row r="37" spans="4:25" x14ac:dyDescent="0.25">
      <c r="D37" s="13"/>
      <c r="E37" s="6"/>
      <c r="F37" s="20" t="str">
        <f t="shared" si="0"/>
        <v/>
      </c>
      <c r="G37" s="2"/>
      <c r="H37" s="2"/>
      <c r="I37" s="2"/>
      <c r="J37" s="15"/>
      <c r="X37" s="6">
        <f t="shared" si="1"/>
        <v>0</v>
      </c>
      <c r="Y37" s="3">
        <f t="shared" si="2"/>
        <v>0</v>
      </c>
    </row>
    <row r="38" spans="4:25" x14ac:dyDescent="0.25">
      <c r="D38" s="13"/>
      <c r="E38" s="6"/>
      <c r="F38" s="20" t="str">
        <f t="shared" si="0"/>
        <v/>
      </c>
      <c r="G38" s="2"/>
      <c r="H38" s="2"/>
      <c r="I38" s="2"/>
      <c r="J38" s="15"/>
      <c r="X38" s="6">
        <f t="shared" si="1"/>
        <v>0</v>
      </c>
      <c r="Y38" s="3">
        <f t="shared" si="2"/>
        <v>0</v>
      </c>
    </row>
    <row r="39" spans="4:25" x14ac:dyDescent="0.25">
      <c r="D39" s="13"/>
      <c r="E39" s="6"/>
      <c r="F39" s="20" t="str">
        <f t="shared" si="0"/>
        <v/>
      </c>
      <c r="G39" s="2"/>
      <c r="H39" s="2"/>
      <c r="I39" s="2"/>
      <c r="J39" s="15"/>
      <c r="X39" s="6">
        <f t="shared" si="1"/>
        <v>0</v>
      </c>
      <c r="Y39" s="3">
        <f t="shared" si="2"/>
        <v>0</v>
      </c>
    </row>
    <row r="40" spans="4:25" x14ac:dyDescent="0.25">
      <c r="D40" s="13"/>
      <c r="E40" s="6"/>
      <c r="F40" s="20" t="str">
        <f t="shared" si="0"/>
        <v/>
      </c>
      <c r="G40" s="2"/>
      <c r="H40" s="2"/>
      <c r="I40" s="2"/>
      <c r="J40" s="15"/>
      <c r="X40" s="6">
        <f t="shared" si="1"/>
        <v>0</v>
      </c>
      <c r="Y40" s="3">
        <f t="shared" si="2"/>
        <v>0</v>
      </c>
    </row>
    <row r="41" spans="4:25" x14ac:dyDescent="0.25">
      <c r="D41" s="13"/>
      <c r="E41" s="6"/>
      <c r="F41" s="20" t="str">
        <f t="shared" si="0"/>
        <v/>
      </c>
      <c r="G41" s="2"/>
      <c r="H41" s="2"/>
      <c r="I41" s="2"/>
      <c r="J41" s="15"/>
      <c r="X41" s="6">
        <f t="shared" si="1"/>
        <v>0</v>
      </c>
      <c r="Y41" s="3">
        <f t="shared" si="2"/>
        <v>0</v>
      </c>
    </row>
    <row r="42" spans="4:25" x14ac:dyDescent="0.25">
      <c r="D42" s="13"/>
      <c r="E42" s="6"/>
      <c r="F42" s="20" t="str">
        <f t="shared" si="0"/>
        <v/>
      </c>
      <c r="G42" s="2"/>
      <c r="H42" s="2"/>
      <c r="I42" s="2"/>
      <c r="J42" s="15"/>
      <c r="X42" s="6">
        <f t="shared" si="1"/>
        <v>0</v>
      </c>
      <c r="Y42" s="3">
        <f t="shared" si="2"/>
        <v>0</v>
      </c>
    </row>
    <row r="43" spans="4:25" x14ac:dyDescent="0.25">
      <c r="D43" s="13"/>
      <c r="E43" s="6"/>
      <c r="F43" s="20" t="str">
        <f t="shared" si="0"/>
        <v/>
      </c>
      <c r="G43" s="2"/>
      <c r="H43" s="2"/>
      <c r="I43" s="2"/>
      <c r="J43" s="15"/>
      <c r="X43" s="6">
        <f t="shared" si="1"/>
        <v>0</v>
      </c>
      <c r="Y43" s="3">
        <f t="shared" si="2"/>
        <v>0</v>
      </c>
    </row>
    <row r="44" spans="4:25" x14ac:dyDescent="0.25">
      <c r="D44" s="13"/>
      <c r="E44" s="6"/>
      <c r="F44" s="20" t="str">
        <f t="shared" si="0"/>
        <v/>
      </c>
      <c r="G44" s="2"/>
      <c r="H44" s="2"/>
      <c r="I44" s="2"/>
      <c r="J44" s="15"/>
      <c r="X44" s="6">
        <f t="shared" si="1"/>
        <v>0</v>
      </c>
      <c r="Y44" s="3">
        <f t="shared" si="2"/>
        <v>0</v>
      </c>
    </row>
    <row r="45" spans="4:25" x14ac:dyDescent="0.25">
      <c r="D45" s="13"/>
      <c r="E45" s="6"/>
      <c r="F45" s="20" t="str">
        <f t="shared" si="0"/>
        <v/>
      </c>
      <c r="G45" s="2"/>
      <c r="H45" s="2"/>
      <c r="I45" s="2"/>
      <c r="J45" s="15"/>
      <c r="X45" s="6">
        <f t="shared" si="1"/>
        <v>0</v>
      </c>
      <c r="Y45" s="3">
        <f t="shared" si="2"/>
        <v>0</v>
      </c>
    </row>
    <row r="46" spans="4:25" x14ac:dyDescent="0.25">
      <c r="D46" s="13"/>
      <c r="E46" s="6"/>
      <c r="F46" s="20" t="str">
        <f t="shared" si="0"/>
        <v/>
      </c>
      <c r="G46" s="2"/>
      <c r="H46" s="2"/>
      <c r="I46" s="2"/>
      <c r="J46" s="15"/>
      <c r="X46" s="6">
        <f t="shared" si="1"/>
        <v>0</v>
      </c>
      <c r="Y46" s="3">
        <f t="shared" si="2"/>
        <v>0</v>
      </c>
    </row>
    <row r="47" spans="4:25" x14ac:dyDescent="0.25">
      <c r="D47" s="13"/>
      <c r="E47" s="6"/>
      <c r="F47" s="20" t="str">
        <f t="shared" si="0"/>
        <v/>
      </c>
      <c r="G47" s="2"/>
      <c r="H47" s="2"/>
      <c r="I47" s="2"/>
      <c r="J47" s="15"/>
      <c r="X47" s="6">
        <f t="shared" si="1"/>
        <v>0</v>
      </c>
      <c r="Y47" s="3">
        <f t="shared" si="2"/>
        <v>0</v>
      </c>
    </row>
    <row r="48" spans="4:25" x14ac:dyDescent="0.25">
      <c r="D48" s="13"/>
      <c r="E48" s="6"/>
      <c r="F48" s="20" t="str">
        <f t="shared" si="0"/>
        <v/>
      </c>
      <c r="G48" s="2"/>
      <c r="H48" s="2"/>
      <c r="I48" s="2"/>
      <c r="J48" s="15"/>
      <c r="X48" s="6">
        <f t="shared" si="1"/>
        <v>0</v>
      </c>
      <c r="Y48" s="3">
        <f t="shared" si="2"/>
        <v>0</v>
      </c>
    </row>
    <row r="49" spans="4:25" x14ac:dyDescent="0.25">
      <c r="D49" s="13"/>
      <c r="E49" s="6"/>
      <c r="F49" s="20" t="str">
        <f t="shared" si="0"/>
        <v/>
      </c>
      <c r="G49" s="2"/>
      <c r="H49" s="2"/>
      <c r="I49" s="2"/>
      <c r="J49" s="15"/>
      <c r="X49" s="6">
        <f t="shared" si="1"/>
        <v>0</v>
      </c>
      <c r="Y49" s="3">
        <f t="shared" si="2"/>
        <v>0</v>
      </c>
    </row>
    <row r="50" spans="4:25" x14ac:dyDescent="0.25">
      <c r="D50" s="13"/>
      <c r="E50" s="6"/>
      <c r="F50" s="20" t="str">
        <f t="shared" si="0"/>
        <v/>
      </c>
      <c r="G50" s="2"/>
      <c r="H50" s="2"/>
      <c r="I50" s="2"/>
      <c r="J50" s="15"/>
      <c r="X50" s="6">
        <f t="shared" si="1"/>
        <v>0</v>
      </c>
      <c r="Y50" s="3">
        <f t="shared" si="2"/>
        <v>0</v>
      </c>
    </row>
    <row r="51" spans="4:25" x14ac:dyDescent="0.25">
      <c r="D51" s="13"/>
      <c r="E51" s="6"/>
      <c r="F51" s="20" t="str">
        <f t="shared" si="0"/>
        <v/>
      </c>
      <c r="G51" s="2"/>
      <c r="H51" s="2"/>
      <c r="I51" s="2"/>
      <c r="J51" s="15"/>
      <c r="X51" s="6">
        <f t="shared" si="1"/>
        <v>0</v>
      </c>
      <c r="Y51" s="3">
        <f t="shared" si="2"/>
        <v>0</v>
      </c>
    </row>
    <row r="52" spans="4:25" x14ac:dyDescent="0.25">
      <c r="D52" s="13"/>
      <c r="E52" s="6"/>
      <c r="F52" s="20" t="str">
        <f t="shared" si="0"/>
        <v/>
      </c>
      <c r="G52" s="2"/>
      <c r="H52" s="2"/>
      <c r="I52" s="2"/>
      <c r="J52" s="9"/>
      <c r="X52" s="6">
        <f t="shared" si="1"/>
        <v>0</v>
      </c>
      <c r="Y52" s="3">
        <f t="shared" si="2"/>
        <v>0</v>
      </c>
    </row>
    <row r="53" spans="4:25" x14ac:dyDescent="0.25">
      <c r="D53" s="2" t="s">
        <v>13</v>
      </c>
      <c r="E53" s="26"/>
      <c r="F53" s="3"/>
      <c r="G53" s="3">
        <f>SUM(G3:G52)</f>
        <v>30</v>
      </c>
      <c r="H53" s="3">
        <f t="shared" ref="H53:I53" si="3">SUM(H3:H52)</f>
        <v>3.87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" priority="1">
      <formula>$Z$3="+"</formula>
    </cfRule>
    <cfRule type="expression" dxfId="2" priority="2">
      <formula>$B$16=$K$3</formula>
    </cfRule>
  </conditionalFormatting>
  <conditionalFormatting sqref="P3">
    <cfRule type="expression" dxfId="1" priority="9">
      <formula>$Z$3="+"</formula>
    </cfRule>
  </conditionalFormatting>
  <conditionalFormatting sqref="Z3">
    <cfRule type="expression" dxfId="0" priority="10">
      <formula>$Z$3="+"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</vt:lpstr>
      <vt:lpstr>Pinigai</vt:lpstr>
      <vt:lpstr>LV0000113298</vt:lpstr>
      <vt:lpstr>LV0000113207</vt:lpstr>
      <vt:lpstr>LV0000113389</vt:lpstr>
      <vt:lpstr>LV0000113066</vt:lpstr>
      <vt:lpstr>LV0000112365</vt:lpstr>
      <vt:lpstr>LV0000112548</vt:lpstr>
      <vt:lpstr>LV0000112639</vt:lpstr>
      <vt:lpstr>LV0000112340</vt:lpstr>
      <vt:lpstr>LV0000111847</vt:lpstr>
      <vt:lpstr>LV0000111698</vt:lpstr>
      <vt:lpstr>LV0000111060</vt:lpstr>
      <vt:lpstr>LV0000111102</vt:lpstr>
      <vt:lpstr>LV0000110328</vt:lpstr>
      <vt:lpstr>LV0000110047</vt:lpstr>
      <vt:lpstr>LV0000109064</vt:lpstr>
      <vt:lpstr>LV0000108736</vt:lpstr>
      <vt:lpstr>LV0000107886</vt:lpstr>
      <vt:lpstr>LV0000107902</vt:lpstr>
      <vt:lpstr>LV0000106920</vt:lpstr>
      <vt:lpstr>LV0000106516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2026-09-30T17:37:24Z</dcterms:modified>
</cp:coreProperties>
</file>