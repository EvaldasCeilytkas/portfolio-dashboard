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Investavimas 2026.06.03\SEB\Robo\"/>
    </mc:Choice>
  </mc:AlternateContent>
  <xr:revisionPtr revIDLastSave="0" documentId="13_ncr:1_{E31834EE-477B-47D3-809A-2FAC3E18232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žvalga" sheetId="77" r:id="rId1"/>
    <sheet name="SGAS" sheetId="89" r:id="rId2"/>
    <sheet name="SLMC" sheetId="97" r:id="rId3"/>
    <sheet name="AYEM" sheetId="98" r:id="rId4"/>
    <sheet name="SGAJ" sheetId="116" r:id="rId5"/>
    <sheet name="EDMU" sheetId="99" r:id="rId6"/>
    <sheet name="2026.07" sheetId="119" r:id="rId7"/>
    <sheet name="2026.06" sheetId="118" r:id="rId8"/>
    <sheet name="2026.05" sheetId="115" r:id="rId9"/>
    <sheet name="2026.04" sheetId="88" r:id="rId10"/>
    <sheet name="2026.03" sheetId="87" r:id="rId11"/>
    <sheet name="2026.02" sheetId="86" r:id="rId12"/>
    <sheet name="2026.01" sheetId="85" r:id="rId13"/>
    <sheet name="2025.12" sheetId="84" r:id="rId14"/>
    <sheet name="2025.11" sheetId="83" r:id="rId15"/>
    <sheet name="2025.10" sheetId="82" r:id="rId16"/>
    <sheet name="2025.09" sheetId="81" r:id="rId17"/>
    <sheet name="2025.08" sheetId="80" r:id="rId18"/>
    <sheet name="2025.07" sheetId="79" r:id="rId19"/>
    <sheet name="2025.06" sheetId="78" r:id="rId20"/>
    <sheet name="2025.05" sheetId="72" r:id="rId21"/>
    <sheet name="2025.04" sheetId="71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77" l="1"/>
  <c r="A18" i="77"/>
  <c r="B18" i="77"/>
  <c r="C18" i="77"/>
  <c r="D18" i="77"/>
  <c r="E18" i="77"/>
  <c r="F18" i="77"/>
  <c r="G18" i="77"/>
  <c r="H18" i="77"/>
  <c r="I18" i="77"/>
  <c r="J18" i="77"/>
  <c r="I55" i="119"/>
  <c r="J20" i="99"/>
  <c r="D20" i="99"/>
  <c r="B20" i="99"/>
  <c r="C20" i="99"/>
  <c r="A20" i="99"/>
  <c r="E20" i="99"/>
  <c r="G20" i="99" s="1"/>
  <c r="J20" i="116"/>
  <c r="D20" i="116"/>
  <c r="E20" i="116" s="1"/>
  <c r="G20" i="116" s="1"/>
  <c r="B20" i="116"/>
  <c r="C20" i="116"/>
  <c r="A20" i="116"/>
  <c r="I45" i="119"/>
  <c r="J20" i="98"/>
  <c r="D20" i="98"/>
  <c r="B20" i="98"/>
  <c r="C20" i="98"/>
  <c r="A20" i="98"/>
  <c r="E20" i="98"/>
  <c r="G20" i="98" s="1"/>
  <c r="I35" i="119"/>
  <c r="J20" i="89"/>
  <c r="J20" i="97"/>
  <c r="D20" i="97"/>
  <c r="E20" i="97" s="1"/>
  <c r="G20" i="97" s="1"/>
  <c r="B20" i="97"/>
  <c r="C20" i="97" s="1"/>
  <c r="A20" i="97"/>
  <c r="I25" i="119"/>
  <c r="D20" i="89"/>
  <c r="I15" i="119"/>
  <c r="B20" i="89"/>
  <c r="H20" i="99" l="1"/>
  <c r="I20" i="99"/>
  <c r="H20" i="116"/>
  <c r="I20" i="116"/>
  <c r="I20" i="98"/>
  <c r="H20" i="98"/>
  <c r="H20" i="97"/>
  <c r="I20" i="97"/>
  <c r="E20" i="89" l="1"/>
  <c r="G20" i="89" s="1"/>
  <c r="A20" i="89"/>
  <c r="L59" i="119"/>
  <c r="I59" i="119"/>
  <c r="G59" i="119"/>
  <c r="D59" i="119"/>
  <c r="B59" i="119"/>
  <c r="D55" i="119"/>
  <c r="C59" i="119" s="1"/>
  <c r="A55" i="119"/>
  <c r="L49" i="119"/>
  <c r="I49" i="119"/>
  <c r="G49" i="119"/>
  <c r="D49" i="119"/>
  <c r="C49" i="119"/>
  <c r="B49" i="119"/>
  <c r="D45" i="119"/>
  <c r="A45" i="119"/>
  <c r="L39" i="119"/>
  <c r="I39" i="119"/>
  <c r="G39" i="119"/>
  <c r="D39" i="119"/>
  <c r="C39" i="119"/>
  <c r="B39" i="119"/>
  <c r="D35" i="119"/>
  <c r="A35" i="119"/>
  <c r="L29" i="119"/>
  <c r="I29" i="119"/>
  <c r="G29" i="119"/>
  <c r="B29" i="119"/>
  <c r="D25" i="119"/>
  <c r="C29" i="119" s="1"/>
  <c r="A25" i="119"/>
  <c r="L19" i="119"/>
  <c r="S5" i="119" s="1"/>
  <c r="S9" i="119" s="1"/>
  <c r="I19" i="119"/>
  <c r="G19" i="119"/>
  <c r="D19" i="119"/>
  <c r="C19" i="119"/>
  <c r="B19" i="119"/>
  <c r="D15" i="119"/>
  <c r="A15" i="119"/>
  <c r="T9" i="119"/>
  <c r="O18" i="77" s="1"/>
  <c r="K18" i="77" s="1"/>
  <c r="L18" i="77" s="1"/>
  <c r="M18" i="77" s="1"/>
  <c r="O9" i="119"/>
  <c r="P5" i="119"/>
  <c r="P9" i="119" s="1"/>
  <c r="Q5" i="119" l="1"/>
  <c r="Q9" i="119" s="1"/>
  <c r="C20" i="89"/>
  <c r="H20" i="89" s="1"/>
  <c r="D29" i="119"/>
  <c r="R5" i="119" l="1"/>
  <c r="R9" i="119" s="1"/>
  <c r="I20" i="89"/>
  <c r="J19" i="99"/>
  <c r="A19" i="99"/>
  <c r="A19" i="116"/>
  <c r="A19" i="98"/>
  <c r="A19" i="97"/>
  <c r="AA19" i="89"/>
  <c r="D19" i="89"/>
  <c r="A19" i="89"/>
  <c r="L59" i="118"/>
  <c r="I59" i="118"/>
  <c r="G59" i="118"/>
  <c r="B59" i="118"/>
  <c r="B19" i="99" s="1"/>
  <c r="D55" i="118"/>
  <c r="D59" i="118" s="1"/>
  <c r="D19" i="99" s="1"/>
  <c r="A55" i="118"/>
  <c r="L49" i="118"/>
  <c r="J19" i="116" s="1"/>
  <c r="I49" i="118"/>
  <c r="D19" i="116" s="1"/>
  <c r="G49" i="118"/>
  <c r="B49" i="118"/>
  <c r="AA19" i="116" s="1"/>
  <c r="D45" i="118"/>
  <c r="D49" i="118" s="1"/>
  <c r="AC19" i="116" s="1"/>
  <c r="A45" i="118"/>
  <c r="L39" i="118"/>
  <c r="J19" i="98" s="1"/>
  <c r="I39" i="118"/>
  <c r="G39" i="118"/>
  <c r="B39" i="118"/>
  <c r="AA19" i="98" s="1"/>
  <c r="D35" i="118"/>
  <c r="D39" i="118" s="1"/>
  <c r="AC19" i="98" s="1"/>
  <c r="A35" i="118"/>
  <c r="L29" i="118"/>
  <c r="J19" i="97" s="1"/>
  <c r="I29" i="118"/>
  <c r="G29" i="118"/>
  <c r="B29" i="118"/>
  <c r="AA19" i="97" s="1"/>
  <c r="D25" i="118"/>
  <c r="D29" i="118" s="1"/>
  <c r="D19" i="97" s="1"/>
  <c r="A25" i="118"/>
  <c r="L19" i="118"/>
  <c r="J19" i="89" s="1"/>
  <c r="I19" i="118"/>
  <c r="G19" i="118"/>
  <c r="Q5" i="118" s="1"/>
  <c r="Q9" i="118" s="1"/>
  <c r="B19" i="118"/>
  <c r="B19" i="89" s="1"/>
  <c r="D15" i="118"/>
  <c r="D19" i="118" s="1"/>
  <c r="AC19" i="89" s="1"/>
  <c r="A15" i="118"/>
  <c r="T9" i="118"/>
  <c r="O17" i="77" s="1"/>
  <c r="O9" i="118"/>
  <c r="P5" i="118"/>
  <c r="O16" i="77"/>
  <c r="A16" i="77"/>
  <c r="AA18" i="99"/>
  <c r="A18" i="99"/>
  <c r="A18" i="116"/>
  <c r="J18" i="98"/>
  <c r="A18" i="98"/>
  <c r="A18" i="97"/>
  <c r="A18" i="89"/>
  <c r="L59" i="115"/>
  <c r="J18" i="99" s="1"/>
  <c r="R5" i="99" s="1"/>
  <c r="I59" i="115"/>
  <c r="D18" i="99" s="1"/>
  <c r="E18" i="99" s="1"/>
  <c r="G18" i="99" s="1"/>
  <c r="G59" i="115"/>
  <c r="D59" i="115"/>
  <c r="AC18" i="99" s="1"/>
  <c r="B59" i="115"/>
  <c r="B18" i="99" s="1"/>
  <c r="C18" i="99" s="1"/>
  <c r="D55" i="115"/>
  <c r="C59" i="115" s="1"/>
  <c r="AB18" i="99" s="1"/>
  <c r="A55" i="115"/>
  <c r="L49" i="115"/>
  <c r="J18" i="116" s="1"/>
  <c r="I49" i="115"/>
  <c r="G49" i="115"/>
  <c r="D49" i="115"/>
  <c r="AC18" i="116" s="1"/>
  <c r="C49" i="115"/>
  <c r="AB18" i="116" s="1"/>
  <c r="B49" i="115"/>
  <c r="AA18" i="116" s="1"/>
  <c r="D45" i="115"/>
  <c r="A45" i="115"/>
  <c r="L39" i="115"/>
  <c r="I39" i="115"/>
  <c r="G39" i="115"/>
  <c r="B39" i="115"/>
  <c r="AA18" i="98" s="1"/>
  <c r="D35" i="115"/>
  <c r="C39" i="115" s="1"/>
  <c r="AB18" i="98" s="1"/>
  <c r="A35" i="115"/>
  <c r="L29" i="115"/>
  <c r="J18" i="97" s="1"/>
  <c r="I29" i="115"/>
  <c r="D18" i="97" s="1"/>
  <c r="E18" i="97" s="1"/>
  <c r="G18" i="97" s="1"/>
  <c r="G29" i="115"/>
  <c r="D29" i="115"/>
  <c r="AC18" i="97" s="1"/>
  <c r="C29" i="115"/>
  <c r="AB18" i="97" s="1"/>
  <c r="B29" i="115"/>
  <c r="AA18" i="97" s="1"/>
  <c r="D25" i="115"/>
  <c r="A25" i="115"/>
  <c r="L19" i="115"/>
  <c r="I19" i="115"/>
  <c r="G19" i="115"/>
  <c r="Q5" i="115" s="1"/>
  <c r="Q9" i="115" s="1"/>
  <c r="C16" i="77" s="1"/>
  <c r="B19" i="115"/>
  <c r="AA18" i="89" s="1"/>
  <c r="D15" i="115"/>
  <c r="C19" i="115" s="1"/>
  <c r="AB18" i="89" s="1"/>
  <c r="A15" i="115"/>
  <c r="T9" i="115"/>
  <c r="O9" i="115"/>
  <c r="B16" i="77" s="1"/>
  <c r="P5" i="115"/>
  <c r="P9" i="115" s="1"/>
  <c r="O15" i="77"/>
  <c r="N15" i="77"/>
  <c r="D15" i="77"/>
  <c r="C15" i="77"/>
  <c r="B15" i="77"/>
  <c r="A15" i="77"/>
  <c r="E15" i="77"/>
  <c r="F15" i="77"/>
  <c r="G15" i="77"/>
  <c r="H15" i="77"/>
  <c r="I15" i="77"/>
  <c r="J15" i="77"/>
  <c r="K15" i="77" s="1"/>
  <c r="L15" i="77" s="1"/>
  <c r="M15" i="77" s="1"/>
  <c r="AC17" i="99"/>
  <c r="AB17" i="99"/>
  <c r="AA17" i="99"/>
  <c r="J17" i="99"/>
  <c r="G17" i="99"/>
  <c r="H17" i="99"/>
  <c r="I17" i="99"/>
  <c r="D17" i="99"/>
  <c r="B17" i="99"/>
  <c r="C17" i="99" s="1"/>
  <c r="A17" i="99"/>
  <c r="E17" i="99"/>
  <c r="AC17" i="116"/>
  <c r="AB17" i="116"/>
  <c r="AA17" i="116"/>
  <c r="J17" i="116"/>
  <c r="G17" i="116"/>
  <c r="H17" i="116"/>
  <c r="I17" i="116"/>
  <c r="D17" i="116"/>
  <c r="B17" i="116"/>
  <c r="A17" i="116"/>
  <c r="C17" i="116"/>
  <c r="E17" i="116"/>
  <c r="AC17" i="98"/>
  <c r="AB17" i="98"/>
  <c r="AA17" i="98"/>
  <c r="J17" i="98"/>
  <c r="G17" i="98"/>
  <c r="H17" i="98"/>
  <c r="I17" i="98"/>
  <c r="D17" i="98"/>
  <c r="B17" i="98"/>
  <c r="A17" i="98"/>
  <c r="C17" i="98"/>
  <c r="E17" i="98"/>
  <c r="AC17" i="97"/>
  <c r="AB17" i="97"/>
  <c r="AA17" i="97"/>
  <c r="J17" i="97"/>
  <c r="G17" i="97"/>
  <c r="H17" i="97"/>
  <c r="I17" i="97"/>
  <c r="D17" i="97"/>
  <c r="B17" i="97"/>
  <c r="C17" i="97" s="1"/>
  <c r="A17" i="97"/>
  <c r="E17" i="97"/>
  <c r="AC17" i="89"/>
  <c r="AB17" i="89"/>
  <c r="AA17" i="89"/>
  <c r="J17" i="89"/>
  <c r="G17" i="89"/>
  <c r="H17" i="89"/>
  <c r="I17" i="89"/>
  <c r="D17" i="89"/>
  <c r="B17" i="89"/>
  <c r="A17" i="89"/>
  <c r="C17" i="89"/>
  <c r="E17" i="89"/>
  <c r="L60" i="88"/>
  <c r="I60" i="88"/>
  <c r="G60" i="88"/>
  <c r="B60" i="88"/>
  <c r="D56" i="88"/>
  <c r="D60" i="88" s="1"/>
  <c r="A56" i="88"/>
  <c r="L50" i="88"/>
  <c r="I50" i="88"/>
  <c r="G50" i="88"/>
  <c r="D50" i="88"/>
  <c r="C50" i="88"/>
  <c r="B50" i="88"/>
  <c r="D46" i="88"/>
  <c r="A46" i="88"/>
  <c r="L40" i="88"/>
  <c r="I40" i="88"/>
  <c r="G40" i="88"/>
  <c r="B40" i="88"/>
  <c r="D36" i="88"/>
  <c r="D40" i="88" s="1"/>
  <c r="A36" i="88"/>
  <c r="L30" i="88"/>
  <c r="I30" i="88"/>
  <c r="G30" i="88"/>
  <c r="B30" i="88"/>
  <c r="D26" i="88"/>
  <c r="D30" i="88" s="1"/>
  <c r="A26" i="88"/>
  <c r="L20" i="88"/>
  <c r="S5" i="88" s="1"/>
  <c r="S9" i="88" s="1"/>
  <c r="I20" i="88"/>
  <c r="G20" i="88"/>
  <c r="Q5" i="88" s="1"/>
  <c r="B20" i="88"/>
  <c r="D16" i="88"/>
  <c r="D20" i="88" s="1"/>
  <c r="A16" i="88"/>
  <c r="T9" i="88"/>
  <c r="O9" i="88"/>
  <c r="P5" i="88"/>
  <c r="P9" i="88" s="1"/>
  <c r="O14" i="77"/>
  <c r="N14" i="77"/>
  <c r="D14" i="77"/>
  <c r="C14" i="77"/>
  <c r="B14" i="77"/>
  <c r="A14" i="77"/>
  <c r="E14" i="77"/>
  <c r="F14" i="77"/>
  <c r="G14" i="77"/>
  <c r="H14" i="77"/>
  <c r="I14" i="77"/>
  <c r="J14" i="77"/>
  <c r="K14" i="77" s="1"/>
  <c r="L14" i="77" s="1"/>
  <c r="M14" i="77" s="1"/>
  <c r="AC16" i="99"/>
  <c r="AB16" i="99"/>
  <c r="AA16" i="99"/>
  <c r="J16" i="99"/>
  <c r="G16" i="99"/>
  <c r="H16" i="99"/>
  <c r="I16" i="99"/>
  <c r="D16" i="99"/>
  <c r="E16" i="99" s="1"/>
  <c r="B16" i="99"/>
  <c r="A16" i="99"/>
  <c r="C16" i="99"/>
  <c r="AC16" i="116"/>
  <c r="AB16" i="116"/>
  <c r="AA16" i="116"/>
  <c r="J16" i="116"/>
  <c r="G16" i="116"/>
  <c r="H16" i="116" s="1"/>
  <c r="D16" i="116"/>
  <c r="B16" i="116"/>
  <c r="A16" i="116"/>
  <c r="C16" i="116"/>
  <c r="E16" i="116"/>
  <c r="AC16" i="98"/>
  <c r="AB16" i="98"/>
  <c r="AA16" i="98"/>
  <c r="J16" i="98"/>
  <c r="G16" i="98"/>
  <c r="H16" i="98"/>
  <c r="I16" i="98"/>
  <c r="D16" i="98"/>
  <c r="B16" i="98"/>
  <c r="A16" i="98"/>
  <c r="C16" i="98"/>
  <c r="E16" i="98"/>
  <c r="AC16" i="97"/>
  <c r="AB16" i="97"/>
  <c r="AA16" i="97"/>
  <c r="J16" i="97"/>
  <c r="G16" i="97"/>
  <c r="H16" i="97" s="1"/>
  <c r="I16" i="97"/>
  <c r="D16" i="97"/>
  <c r="B16" i="97"/>
  <c r="A16" i="97"/>
  <c r="C16" i="97"/>
  <c r="E16" i="97"/>
  <c r="AC16" i="89"/>
  <c r="AB16" i="89"/>
  <c r="AA16" i="89"/>
  <c r="J16" i="89"/>
  <c r="G16" i="89"/>
  <c r="H16" i="89"/>
  <c r="I16" i="89"/>
  <c r="D16" i="89"/>
  <c r="B16" i="89"/>
  <c r="A16" i="89"/>
  <c r="C16" i="89"/>
  <c r="E16" i="89"/>
  <c r="L60" i="87"/>
  <c r="I60" i="87"/>
  <c r="G60" i="87"/>
  <c r="B60" i="87"/>
  <c r="D56" i="87"/>
  <c r="D60" i="87" s="1"/>
  <c r="A56" i="87"/>
  <c r="L50" i="87"/>
  <c r="I50" i="87"/>
  <c r="G50" i="87"/>
  <c r="D50" i="87"/>
  <c r="C50" i="87"/>
  <c r="B50" i="87"/>
  <c r="D46" i="87"/>
  <c r="A46" i="87"/>
  <c r="L40" i="87"/>
  <c r="I40" i="87"/>
  <c r="G40" i="87"/>
  <c r="B40" i="87"/>
  <c r="D36" i="87"/>
  <c r="D40" i="87" s="1"/>
  <c r="A36" i="87"/>
  <c r="L30" i="87"/>
  <c r="I30" i="87"/>
  <c r="G30" i="87"/>
  <c r="B30" i="87"/>
  <c r="D26" i="87"/>
  <c r="D30" i="87" s="1"/>
  <c r="A26" i="87"/>
  <c r="L20" i="87"/>
  <c r="S5" i="87" s="1"/>
  <c r="S9" i="87" s="1"/>
  <c r="I20" i="87"/>
  <c r="G20" i="87"/>
  <c r="Q5" i="87" s="1"/>
  <c r="B20" i="87"/>
  <c r="D16" i="87"/>
  <c r="D20" i="87" s="1"/>
  <c r="A16" i="87"/>
  <c r="T9" i="87"/>
  <c r="O9" i="87"/>
  <c r="P5" i="87"/>
  <c r="P9" i="87" s="1"/>
  <c r="O13" i="77"/>
  <c r="N13" i="77"/>
  <c r="D13" i="77"/>
  <c r="C13" i="77"/>
  <c r="B13" i="77"/>
  <c r="A13" i="77"/>
  <c r="E13" i="77"/>
  <c r="F13" i="77"/>
  <c r="G13" i="77"/>
  <c r="H13" i="77"/>
  <c r="I13" i="77"/>
  <c r="J13" i="77"/>
  <c r="K13" i="77" s="1"/>
  <c r="L13" i="77" s="1"/>
  <c r="M13" i="77" s="1"/>
  <c r="AC15" i="99"/>
  <c r="AB15" i="99"/>
  <c r="AA15" i="99"/>
  <c r="J15" i="99"/>
  <c r="G15" i="99"/>
  <c r="H15" i="99"/>
  <c r="I15" i="99"/>
  <c r="D15" i="99"/>
  <c r="B15" i="99"/>
  <c r="C15" i="99" s="1"/>
  <c r="A15" i="99"/>
  <c r="E15" i="99"/>
  <c r="AC15" i="116"/>
  <c r="AB15" i="116"/>
  <c r="AA15" i="116"/>
  <c r="J15" i="116"/>
  <c r="G15" i="116"/>
  <c r="I15" i="116" s="1"/>
  <c r="H15" i="116"/>
  <c r="D15" i="116"/>
  <c r="B15" i="116"/>
  <c r="A15" i="116"/>
  <c r="C15" i="116"/>
  <c r="E15" i="116"/>
  <c r="AC15" i="98"/>
  <c r="AB15" i="98"/>
  <c r="AA15" i="98"/>
  <c r="J15" i="98"/>
  <c r="G15" i="98"/>
  <c r="H15" i="98" s="1"/>
  <c r="D15" i="98"/>
  <c r="E15" i="98" s="1"/>
  <c r="B15" i="98"/>
  <c r="C15" i="98" s="1"/>
  <c r="A15" i="98"/>
  <c r="AC15" i="97"/>
  <c r="AB15" i="97"/>
  <c r="AA15" i="97"/>
  <c r="J15" i="97"/>
  <c r="G15" i="97"/>
  <c r="H15" i="97" s="1"/>
  <c r="I15" i="97"/>
  <c r="D15" i="97"/>
  <c r="B15" i="97"/>
  <c r="C15" i="97" s="1"/>
  <c r="A15" i="97"/>
  <c r="E15" i="97"/>
  <c r="AC15" i="89"/>
  <c r="AB15" i="89"/>
  <c r="AA15" i="89"/>
  <c r="J15" i="89"/>
  <c r="G15" i="89"/>
  <c r="H15" i="89"/>
  <c r="I15" i="89"/>
  <c r="D15" i="89"/>
  <c r="B15" i="89"/>
  <c r="A15" i="89"/>
  <c r="C15" i="89"/>
  <c r="E15" i="89"/>
  <c r="L60" i="86"/>
  <c r="I60" i="86"/>
  <c r="G60" i="86"/>
  <c r="B60" i="86"/>
  <c r="D56" i="86"/>
  <c r="D60" i="86" s="1"/>
  <c r="A56" i="86"/>
  <c r="L50" i="86"/>
  <c r="I50" i="86"/>
  <c r="G50" i="86"/>
  <c r="D50" i="86"/>
  <c r="C50" i="86"/>
  <c r="B50" i="86"/>
  <c r="D46" i="86"/>
  <c r="A46" i="86"/>
  <c r="L40" i="86"/>
  <c r="I40" i="86"/>
  <c r="G40" i="86"/>
  <c r="B40" i="86"/>
  <c r="D36" i="86"/>
  <c r="D40" i="86" s="1"/>
  <c r="A36" i="86"/>
  <c r="L30" i="86"/>
  <c r="I30" i="86"/>
  <c r="G30" i="86"/>
  <c r="B30" i="86"/>
  <c r="D26" i="86"/>
  <c r="D30" i="86" s="1"/>
  <c r="A26" i="86"/>
  <c r="L20" i="86"/>
  <c r="I20" i="86"/>
  <c r="G20" i="86"/>
  <c r="Q5" i="86" s="1"/>
  <c r="C20" i="86"/>
  <c r="B20" i="86"/>
  <c r="D16" i="86"/>
  <c r="D20" i="86" s="1"/>
  <c r="A16" i="86"/>
  <c r="T9" i="86"/>
  <c r="P9" i="86"/>
  <c r="O9" i="86"/>
  <c r="S5" i="86"/>
  <c r="S9" i="86" s="1"/>
  <c r="P5" i="86"/>
  <c r="O12" i="77"/>
  <c r="N12" i="77"/>
  <c r="D12" i="77"/>
  <c r="C12" i="77"/>
  <c r="B12" i="77"/>
  <c r="A12" i="77"/>
  <c r="E12" i="77"/>
  <c r="F12" i="77"/>
  <c r="G12" i="77"/>
  <c r="H12" i="77"/>
  <c r="I12" i="77"/>
  <c r="J12" i="77"/>
  <c r="K12" i="77" s="1"/>
  <c r="L12" i="77" s="1"/>
  <c r="M12" i="77" s="1"/>
  <c r="AC14" i="99"/>
  <c r="AB14" i="99"/>
  <c r="AA14" i="99"/>
  <c r="J14" i="99"/>
  <c r="G14" i="99"/>
  <c r="H14" i="99"/>
  <c r="I14" i="99"/>
  <c r="D14" i="99"/>
  <c r="E14" i="99" s="1"/>
  <c r="B14" i="99"/>
  <c r="C14" i="99" s="1"/>
  <c r="A14" i="99"/>
  <c r="AC14" i="116"/>
  <c r="AB14" i="116"/>
  <c r="AA14" i="116"/>
  <c r="J14" i="116"/>
  <c r="G14" i="116"/>
  <c r="H14" i="116"/>
  <c r="I14" i="116"/>
  <c r="D14" i="116"/>
  <c r="B14" i="116"/>
  <c r="C14" i="116" s="1"/>
  <c r="A14" i="116"/>
  <c r="E14" i="116"/>
  <c r="AC14" i="98"/>
  <c r="AB14" i="98"/>
  <c r="AA14" i="98"/>
  <c r="J14" i="98"/>
  <c r="G14" i="98"/>
  <c r="H14" i="98" s="1"/>
  <c r="I14" i="98"/>
  <c r="D14" i="98"/>
  <c r="B14" i="98"/>
  <c r="C14" i="98" s="1"/>
  <c r="A14" i="98"/>
  <c r="E14" i="98"/>
  <c r="AC14" i="97"/>
  <c r="AB14" i="97"/>
  <c r="AA14" i="97"/>
  <c r="J14" i="97"/>
  <c r="G14" i="97"/>
  <c r="H14" i="97" s="1"/>
  <c r="I14" i="97"/>
  <c r="D14" i="97"/>
  <c r="B14" i="97"/>
  <c r="C14" i="97" s="1"/>
  <c r="A14" i="97"/>
  <c r="E14" i="97"/>
  <c r="AC14" i="89"/>
  <c r="AB14" i="89"/>
  <c r="AA14" i="89"/>
  <c r="J14" i="89"/>
  <c r="G14" i="89"/>
  <c r="I14" i="89" s="1"/>
  <c r="H14" i="89"/>
  <c r="D14" i="89"/>
  <c r="B14" i="89"/>
  <c r="A14" i="89"/>
  <c r="C14" i="89"/>
  <c r="E14" i="89"/>
  <c r="L60" i="85"/>
  <c r="I60" i="85"/>
  <c r="G60" i="85"/>
  <c r="B60" i="85"/>
  <c r="D56" i="85"/>
  <c r="D60" i="85" s="1"/>
  <c r="A56" i="85"/>
  <c r="L50" i="85"/>
  <c r="I50" i="85"/>
  <c r="G50" i="85"/>
  <c r="D50" i="85"/>
  <c r="C50" i="85"/>
  <c r="B50" i="85"/>
  <c r="D46" i="85"/>
  <c r="A46" i="85"/>
  <c r="L40" i="85"/>
  <c r="I40" i="85"/>
  <c r="G40" i="85"/>
  <c r="D40" i="85"/>
  <c r="B40" i="85"/>
  <c r="D36" i="85"/>
  <c r="C40" i="85" s="1"/>
  <c r="A36" i="85"/>
  <c r="L30" i="85"/>
  <c r="I30" i="85"/>
  <c r="G30" i="85"/>
  <c r="B30" i="85"/>
  <c r="D26" i="85"/>
  <c r="D30" i="85" s="1"/>
  <c r="A26" i="85"/>
  <c r="L20" i="85"/>
  <c r="S5" i="85" s="1"/>
  <c r="S9" i="85" s="1"/>
  <c r="I20" i="85"/>
  <c r="G20" i="85"/>
  <c r="Q5" i="85" s="1"/>
  <c r="B20" i="85"/>
  <c r="D16" i="85"/>
  <c r="D20" i="85" s="1"/>
  <c r="A16" i="85"/>
  <c r="T9" i="85"/>
  <c r="O9" i="85"/>
  <c r="P5" i="85"/>
  <c r="P9" i="85" s="1"/>
  <c r="O11" i="77"/>
  <c r="N11" i="77"/>
  <c r="D11" i="77"/>
  <c r="C11" i="77"/>
  <c r="B11" i="77"/>
  <c r="A11" i="77"/>
  <c r="E11" i="77"/>
  <c r="F11" i="77"/>
  <c r="G11" i="77"/>
  <c r="H11" i="77"/>
  <c r="I11" i="77"/>
  <c r="J11" i="77"/>
  <c r="K11" i="77"/>
  <c r="L11" i="77" s="1"/>
  <c r="M11" i="77" s="1"/>
  <c r="AC13" i="99"/>
  <c r="AB13" i="99"/>
  <c r="AA13" i="99"/>
  <c r="J13" i="99"/>
  <c r="G13" i="99"/>
  <c r="H13" i="99"/>
  <c r="I13" i="99"/>
  <c r="D13" i="99"/>
  <c r="B13" i="99"/>
  <c r="C13" i="99" s="1"/>
  <c r="A13" i="99"/>
  <c r="E13" i="99"/>
  <c r="AC13" i="116"/>
  <c r="AB13" i="116"/>
  <c r="AA13" i="116"/>
  <c r="J13" i="116"/>
  <c r="G13" i="116"/>
  <c r="H13" i="116"/>
  <c r="I13" i="116"/>
  <c r="D13" i="116"/>
  <c r="B13" i="116"/>
  <c r="C13" i="116" s="1"/>
  <c r="A13" i="116"/>
  <c r="E13" i="116"/>
  <c r="AC13" i="98"/>
  <c r="AB13" i="98"/>
  <c r="AA13" i="98"/>
  <c r="J13" i="98"/>
  <c r="G13" i="98"/>
  <c r="H13" i="98"/>
  <c r="I13" i="98"/>
  <c r="D13" i="98"/>
  <c r="B13" i="98"/>
  <c r="A13" i="98"/>
  <c r="C13" i="98"/>
  <c r="E13" i="98"/>
  <c r="AC13" i="97"/>
  <c r="AB13" i="97"/>
  <c r="AA13" i="97"/>
  <c r="J13" i="97"/>
  <c r="G13" i="97"/>
  <c r="H13" i="97" s="1"/>
  <c r="I13" i="97"/>
  <c r="D13" i="97"/>
  <c r="E13" i="97" s="1"/>
  <c r="B13" i="97"/>
  <c r="A13" i="97"/>
  <c r="C13" i="97"/>
  <c r="AC13" i="89"/>
  <c r="AB13" i="89"/>
  <c r="AA13" i="89"/>
  <c r="J13" i="89"/>
  <c r="G13" i="89"/>
  <c r="I13" i="89" s="1"/>
  <c r="H13" i="89"/>
  <c r="D13" i="89"/>
  <c r="B13" i="89"/>
  <c r="A13" i="89"/>
  <c r="C13" i="89"/>
  <c r="E13" i="89"/>
  <c r="L60" i="84"/>
  <c r="I60" i="84"/>
  <c r="G60" i="84"/>
  <c r="B60" i="84"/>
  <c r="D56" i="84"/>
  <c r="D60" i="84" s="1"/>
  <c r="A56" i="84"/>
  <c r="L50" i="84"/>
  <c r="I50" i="84"/>
  <c r="G50" i="84"/>
  <c r="D50" i="84"/>
  <c r="B50" i="84"/>
  <c r="D46" i="84"/>
  <c r="C50" i="84" s="1"/>
  <c r="A46" i="84"/>
  <c r="L40" i="84"/>
  <c r="I40" i="84"/>
  <c r="G40" i="84"/>
  <c r="B40" i="84"/>
  <c r="D36" i="84"/>
  <c r="D40" i="84" s="1"/>
  <c r="A36" i="84"/>
  <c r="L30" i="84"/>
  <c r="I30" i="84"/>
  <c r="G30" i="84"/>
  <c r="B30" i="84"/>
  <c r="D26" i="84"/>
  <c r="D30" i="84" s="1"/>
  <c r="A26" i="84"/>
  <c r="L20" i="84"/>
  <c r="I20" i="84"/>
  <c r="G20" i="84"/>
  <c r="Q5" i="84" s="1"/>
  <c r="B20" i="84"/>
  <c r="D16" i="84"/>
  <c r="D20" i="84" s="1"/>
  <c r="A16" i="84"/>
  <c r="T9" i="84"/>
  <c r="O9" i="84"/>
  <c r="S5" i="84"/>
  <c r="S9" i="84" s="1"/>
  <c r="P5" i="84"/>
  <c r="P9" i="84" s="1"/>
  <c r="O10" i="77"/>
  <c r="N10" i="77"/>
  <c r="D10" i="77"/>
  <c r="C9" i="77"/>
  <c r="C10" i="77" s="1"/>
  <c r="B10" i="77"/>
  <c r="A10" i="77"/>
  <c r="E10" i="77"/>
  <c r="F10" i="77"/>
  <c r="G10" i="77"/>
  <c r="H10" i="77"/>
  <c r="I10" i="77"/>
  <c r="J10" i="77"/>
  <c r="K10" i="77" s="1"/>
  <c r="L10" i="77" s="1"/>
  <c r="M10" i="77" s="1"/>
  <c r="AC12" i="99"/>
  <c r="AB12" i="99"/>
  <c r="AA12" i="99"/>
  <c r="J12" i="99"/>
  <c r="G12" i="99"/>
  <c r="H12" i="99" s="1"/>
  <c r="I12" i="99"/>
  <c r="D12" i="99"/>
  <c r="E12" i="99" s="1"/>
  <c r="B12" i="99"/>
  <c r="A12" i="99"/>
  <c r="C12" i="99"/>
  <c r="AC12" i="116"/>
  <c r="AB12" i="116"/>
  <c r="AA12" i="116"/>
  <c r="J12" i="116"/>
  <c r="G12" i="116"/>
  <c r="H12" i="116"/>
  <c r="I12" i="116"/>
  <c r="D12" i="116"/>
  <c r="B12" i="116"/>
  <c r="A12" i="116"/>
  <c r="C12" i="116"/>
  <c r="E12" i="116"/>
  <c r="AC12" i="98"/>
  <c r="AB12" i="98"/>
  <c r="AA12" i="98"/>
  <c r="J12" i="98"/>
  <c r="G12" i="98"/>
  <c r="H12" i="98"/>
  <c r="I12" i="98"/>
  <c r="D12" i="98"/>
  <c r="B12" i="98"/>
  <c r="C12" i="98" s="1"/>
  <c r="A12" i="98"/>
  <c r="E12" i="98"/>
  <c r="AC12" i="97"/>
  <c r="AB12" i="97"/>
  <c r="AA12" i="97"/>
  <c r="J12" i="97"/>
  <c r="G12" i="97"/>
  <c r="I12" i="97" s="1"/>
  <c r="H12" i="97"/>
  <c r="D12" i="97"/>
  <c r="E12" i="97" s="1"/>
  <c r="B12" i="97"/>
  <c r="A12" i="97"/>
  <c r="C12" i="97"/>
  <c r="AC12" i="89"/>
  <c r="AB12" i="89"/>
  <c r="AA12" i="89"/>
  <c r="J12" i="89"/>
  <c r="G12" i="89"/>
  <c r="H12" i="89"/>
  <c r="I12" i="89"/>
  <c r="D12" i="89"/>
  <c r="B12" i="89"/>
  <c r="A12" i="89"/>
  <c r="C12" i="89"/>
  <c r="E12" i="89"/>
  <c r="L60" i="83"/>
  <c r="I60" i="83"/>
  <c r="G60" i="83"/>
  <c r="B60" i="83"/>
  <c r="D56" i="83"/>
  <c r="D60" i="83" s="1"/>
  <c r="A56" i="83"/>
  <c r="L50" i="83"/>
  <c r="I50" i="83"/>
  <c r="G50" i="83"/>
  <c r="D50" i="83"/>
  <c r="C50" i="83"/>
  <c r="B50" i="83"/>
  <c r="D46" i="83"/>
  <c r="A46" i="83"/>
  <c r="L40" i="83"/>
  <c r="I40" i="83"/>
  <c r="G40" i="83"/>
  <c r="C40" i="83"/>
  <c r="B40" i="83"/>
  <c r="D36" i="83"/>
  <c r="D40" i="83" s="1"/>
  <c r="A36" i="83"/>
  <c r="L30" i="83"/>
  <c r="I30" i="83"/>
  <c r="G30" i="83"/>
  <c r="B30" i="83"/>
  <c r="D26" i="83"/>
  <c r="D30" i="83" s="1"/>
  <c r="A26" i="83"/>
  <c r="L20" i="83"/>
  <c r="S5" i="83" s="1"/>
  <c r="S9" i="83" s="1"/>
  <c r="I20" i="83"/>
  <c r="G20" i="83"/>
  <c r="Q5" i="83" s="1"/>
  <c r="B20" i="83"/>
  <c r="D16" i="83"/>
  <c r="D20" i="83" s="1"/>
  <c r="A16" i="83"/>
  <c r="T9" i="83"/>
  <c r="O9" i="83"/>
  <c r="P5" i="83"/>
  <c r="P9" i="83" s="1"/>
  <c r="O9" i="77"/>
  <c r="N9" i="77"/>
  <c r="D9" i="77"/>
  <c r="B9" i="77"/>
  <c r="A9" i="77"/>
  <c r="E9" i="77"/>
  <c r="F9" i="77"/>
  <c r="G9" i="77"/>
  <c r="H9" i="77"/>
  <c r="I9" i="77"/>
  <c r="J9" i="77" s="1"/>
  <c r="K9" i="77" s="1"/>
  <c r="L9" i="77" s="1"/>
  <c r="M9" i="77" s="1"/>
  <c r="AC11" i="99"/>
  <c r="AB11" i="99"/>
  <c r="AA11" i="99"/>
  <c r="J11" i="99"/>
  <c r="G11" i="99"/>
  <c r="H11" i="99" s="1"/>
  <c r="I11" i="99"/>
  <c r="D11" i="99"/>
  <c r="B11" i="99"/>
  <c r="C11" i="99" s="1"/>
  <c r="A11" i="99"/>
  <c r="E11" i="99"/>
  <c r="AC11" i="116"/>
  <c r="AB11" i="116"/>
  <c r="AA11" i="116"/>
  <c r="J11" i="116"/>
  <c r="G11" i="116"/>
  <c r="H11" i="116"/>
  <c r="I11" i="116"/>
  <c r="D11" i="116"/>
  <c r="B11" i="116"/>
  <c r="C11" i="116" s="1"/>
  <c r="A11" i="116"/>
  <c r="E11" i="116"/>
  <c r="AC11" i="98"/>
  <c r="AB11" i="98"/>
  <c r="AA11" i="98"/>
  <c r="J11" i="98"/>
  <c r="G11" i="98"/>
  <c r="H11" i="98" s="1"/>
  <c r="I11" i="98"/>
  <c r="D11" i="98"/>
  <c r="B11" i="98"/>
  <c r="A11" i="98"/>
  <c r="C11" i="98"/>
  <c r="E11" i="98"/>
  <c r="AC11" i="97"/>
  <c r="AB11" i="97"/>
  <c r="AA11" i="97"/>
  <c r="J11" i="97"/>
  <c r="G11" i="97"/>
  <c r="H11" i="97"/>
  <c r="I11" i="97"/>
  <c r="D11" i="97"/>
  <c r="E11" i="97" s="1"/>
  <c r="B11" i="97"/>
  <c r="C11" i="97" s="1"/>
  <c r="A11" i="97"/>
  <c r="AC11" i="89"/>
  <c r="AB11" i="89"/>
  <c r="AA11" i="89"/>
  <c r="J11" i="89"/>
  <c r="G11" i="89"/>
  <c r="H11" i="89"/>
  <c r="I11" i="89"/>
  <c r="D11" i="89"/>
  <c r="E11" i="89" s="1"/>
  <c r="B11" i="89"/>
  <c r="C11" i="89" s="1"/>
  <c r="A11" i="89"/>
  <c r="L60" i="82"/>
  <c r="I60" i="82"/>
  <c r="G60" i="82"/>
  <c r="B60" i="82"/>
  <c r="D56" i="82"/>
  <c r="D60" i="82" s="1"/>
  <c r="A56" i="82"/>
  <c r="L50" i="82"/>
  <c r="I50" i="82"/>
  <c r="G50" i="82"/>
  <c r="B50" i="82"/>
  <c r="D46" i="82"/>
  <c r="C50" i="82" s="1"/>
  <c r="A46" i="82"/>
  <c r="L40" i="82"/>
  <c r="I40" i="82"/>
  <c r="G40" i="82"/>
  <c r="B40" i="82"/>
  <c r="D36" i="82"/>
  <c r="C40" i="82" s="1"/>
  <c r="A36" i="82"/>
  <c r="L30" i="82"/>
  <c r="I30" i="82"/>
  <c r="G30" i="82"/>
  <c r="B30" i="82"/>
  <c r="D26" i="82"/>
  <c r="D30" i="82" s="1"/>
  <c r="A26" i="82"/>
  <c r="L20" i="82"/>
  <c r="I20" i="82"/>
  <c r="G20" i="82"/>
  <c r="Q5" i="82" s="1"/>
  <c r="B20" i="82"/>
  <c r="D16" i="82"/>
  <c r="C20" i="82" s="1"/>
  <c r="A16" i="82"/>
  <c r="T9" i="82"/>
  <c r="O9" i="82"/>
  <c r="S5" i="82"/>
  <c r="S9" i="82" s="1"/>
  <c r="P5" i="82"/>
  <c r="P9" i="82" s="1"/>
  <c r="K8" i="77"/>
  <c r="L8" i="77" s="1"/>
  <c r="M8" i="77" s="1"/>
  <c r="K7" i="77"/>
  <c r="K6" i="77"/>
  <c r="K5" i="77"/>
  <c r="K4" i="77"/>
  <c r="K3" i="77"/>
  <c r="O8" i="77"/>
  <c r="N8" i="77"/>
  <c r="D8" i="77"/>
  <c r="C8" i="77"/>
  <c r="B8" i="77"/>
  <c r="A8" i="77"/>
  <c r="E8" i="77"/>
  <c r="F8" i="77"/>
  <c r="G8" i="77"/>
  <c r="H8" i="77"/>
  <c r="I8" i="77"/>
  <c r="J8" i="77"/>
  <c r="AC10" i="99"/>
  <c r="AB10" i="99"/>
  <c r="AA10" i="99"/>
  <c r="J10" i="99"/>
  <c r="G10" i="99"/>
  <c r="H10" i="99"/>
  <c r="I10" i="99"/>
  <c r="D10" i="99"/>
  <c r="B10" i="99"/>
  <c r="C10" i="99" s="1"/>
  <c r="A10" i="99"/>
  <c r="E10" i="99"/>
  <c r="AC10" i="116"/>
  <c r="AB10" i="116"/>
  <c r="AA10" i="116"/>
  <c r="J10" i="116"/>
  <c r="G10" i="116"/>
  <c r="H10" i="116" s="1"/>
  <c r="I10" i="116"/>
  <c r="D10" i="116"/>
  <c r="B10" i="116"/>
  <c r="A10" i="116"/>
  <c r="C10" i="116"/>
  <c r="E10" i="116"/>
  <c r="AC10" i="98"/>
  <c r="AB10" i="98"/>
  <c r="AA10" i="98"/>
  <c r="J10" i="98"/>
  <c r="G10" i="98"/>
  <c r="H10" i="98"/>
  <c r="I10" i="98"/>
  <c r="D10" i="98"/>
  <c r="B10" i="98"/>
  <c r="A10" i="98"/>
  <c r="C10" i="98"/>
  <c r="E10" i="98"/>
  <c r="AC10" i="97"/>
  <c r="AB10" i="97"/>
  <c r="AA10" i="97"/>
  <c r="J10" i="97"/>
  <c r="G10" i="97"/>
  <c r="H10" i="97"/>
  <c r="I10" i="97"/>
  <c r="D10" i="97"/>
  <c r="E10" i="97" s="1"/>
  <c r="B10" i="97"/>
  <c r="C10" i="97" s="1"/>
  <c r="A10" i="97"/>
  <c r="AC10" i="89"/>
  <c r="AB10" i="89"/>
  <c r="AA10" i="89"/>
  <c r="J10" i="89"/>
  <c r="G10" i="89"/>
  <c r="H10" i="89"/>
  <c r="I10" i="89"/>
  <c r="D10" i="89"/>
  <c r="B10" i="89"/>
  <c r="A10" i="89"/>
  <c r="C10" i="89"/>
  <c r="E10" i="89"/>
  <c r="L60" i="81"/>
  <c r="I60" i="81"/>
  <c r="G60" i="81"/>
  <c r="B60" i="81"/>
  <c r="D56" i="81"/>
  <c r="D60" i="81" s="1"/>
  <c r="A56" i="81"/>
  <c r="L50" i="81"/>
  <c r="I50" i="81"/>
  <c r="G50" i="81"/>
  <c r="D50" i="81"/>
  <c r="C50" i="81"/>
  <c r="B50" i="81"/>
  <c r="D46" i="81"/>
  <c r="A46" i="81"/>
  <c r="L40" i="81"/>
  <c r="I40" i="81"/>
  <c r="G40" i="81"/>
  <c r="Q5" i="81" s="1"/>
  <c r="B40" i="81"/>
  <c r="D36" i="81"/>
  <c r="C40" i="81" s="1"/>
  <c r="A36" i="81"/>
  <c r="L30" i="81"/>
  <c r="I30" i="81"/>
  <c r="G30" i="81"/>
  <c r="B30" i="81"/>
  <c r="D26" i="81"/>
  <c r="D30" i="81" s="1"/>
  <c r="A26" i="81"/>
  <c r="L20" i="81"/>
  <c r="S5" i="81" s="1"/>
  <c r="S9" i="81" s="1"/>
  <c r="I20" i="81"/>
  <c r="G20" i="81"/>
  <c r="C20" i="81"/>
  <c r="B20" i="81"/>
  <c r="D16" i="81"/>
  <c r="D20" i="81" s="1"/>
  <c r="A16" i="81"/>
  <c r="T9" i="81"/>
  <c r="O9" i="81"/>
  <c r="P5" i="81"/>
  <c r="P9" i="81" s="1"/>
  <c r="O7" i="77"/>
  <c r="N7" i="77"/>
  <c r="D7" i="77"/>
  <c r="C7" i="77"/>
  <c r="B7" i="77"/>
  <c r="A7" i="77"/>
  <c r="E7" i="77"/>
  <c r="F7" i="77"/>
  <c r="J7" i="77" s="1"/>
  <c r="G7" i="77"/>
  <c r="H7" i="77"/>
  <c r="I7" i="77"/>
  <c r="AC9" i="99"/>
  <c r="AB9" i="99"/>
  <c r="AA9" i="99"/>
  <c r="J9" i="99"/>
  <c r="G9" i="99"/>
  <c r="H9" i="99"/>
  <c r="I9" i="99"/>
  <c r="D9" i="99"/>
  <c r="B9" i="99"/>
  <c r="C9" i="99" s="1"/>
  <c r="A9" i="99"/>
  <c r="E9" i="99"/>
  <c r="AC9" i="116"/>
  <c r="AB9" i="116"/>
  <c r="AA9" i="116"/>
  <c r="J9" i="116"/>
  <c r="G9" i="116"/>
  <c r="H9" i="116"/>
  <c r="I9" i="116"/>
  <c r="D9" i="116"/>
  <c r="E9" i="116" s="1"/>
  <c r="B9" i="116"/>
  <c r="A9" i="116"/>
  <c r="C9" i="116"/>
  <c r="J9" i="98"/>
  <c r="G9" i="98"/>
  <c r="H9" i="98"/>
  <c r="I9" i="98"/>
  <c r="D9" i="98"/>
  <c r="B9" i="98"/>
  <c r="A9" i="98"/>
  <c r="C9" i="98"/>
  <c r="E9" i="98"/>
  <c r="AC9" i="98"/>
  <c r="AB9" i="98"/>
  <c r="AA9" i="98"/>
  <c r="AC9" i="97"/>
  <c r="AB9" i="97"/>
  <c r="AA9" i="97"/>
  <c r="J9" i="97"/>
  <c r="G9" i="97"/>
  <c r="I9" i="97" s="1"/>
  <c r="H9" i="97"/>
  <c r="D9" i="97"/>
  <c r="B9" i="97"/>
  <c r="A9" i="97"/>
  <c r="C9" i="97"/>
  <c r="E9" i="97"/>
  <c r="AC9" i="89"/>
  <c r="AB9" i="89"/>
  <c r="AA9" i="89"/>
  <c r="J9" i="89"/>
  <c r="G9" i="89"/>
  <c r="H9" i="89"/>
  <c r="I9" i="89"/>
  <c r="D9" i="89"/>
  <c r="B9" i="89"/>
  <c r="A9" i="89"/>
  <c r="C9" i="89"/>
  <c r="E9" i="89"/>
  <c r="L60" i="80"/>
  <c r="I60" i="80"/>
  <c r="G60" i="80"/>
  <c r="B60" i="80"/>
  <c r="D56" i="80"/>
  <c r="D60" i="80" s="1"/>
  <c r="A56" i="80"/>
  <c r="L50" i="80"/>
  <c r="I50" i="80"/>
  <c r="G50" i="80"/>
  <c r="D50" i="80"/>
  <c r="C50" i="80"/>
  <c r="B50" i="80"/>
  <c r="D46" i="80"/>
  <c r="A46" i="80"/>
  <c r="L40" i="80"/>
  <c r="I40" i="80"/>
  <c r="G40" i="80"/>
  <c r="B40" i="80"/>
  <c r="D36" i="80"/>
  <c r="D40" i="80" s="1"/>
  <c r="A36" i="80"/>
  <c r="L30" i="80"/>
  <c r="I30" i="80"/>
  <c r="G30" i="80"/>
  <c r="B30" i="80"/>
  <c r="D26" i="80"/>
  <c r="D30" i="80" s="1"/>
  <c r="A26" i="80"/>
  <c r="L20" i="80"/>
  <c r="I20" i="80"/>
  <c r="G20" i="80"/>
  <c r="Q5" i="80" s="1"/>
  <c r="C20" i="80"/>
  <c r="B20" i="80"/>
  <c r="D16" i="80"/>
  <c r="D20" i="80" s="1"/>
  <c r="A16" i="80"/>
  <c r="T9" i="80"/>
  <c r="P9" i="80"/>
  <c r="O9" i="80"/>
  <c r="S5" i="80"/>
  <c r="S9" i="80" s="1"/>
  <c r="P5" i="80"/>
  <c r="O6" i="77"/>
  <c r="N6" i="77"/>
  <c r="D6" i="77"/>
  <c r="C6" i="77"/>
  <c r="B6" i="77"/>
  <c r="A6" i="77"/>
  <c r="E6" i="77"/>
  <c r="F6" i="77"/>
  <c r="G6" i="77"/>
  <c r="H6" i="77"/>
  <c r="I6" i="77"/>
  <c r="J6" i="77"/>
  <c r="AC8" i="99"/>
  <c r="AB8" i="99"/>
  <c r="AA8" i="99"/>
  <c r="J8" i="99"/>
  <c r="G8" i="99"/>
  <c r="H8" i="99"/>
  <c r="I8" i="99"/>
  <c r="D8" i="99"/>
  <c r="B8" i="99"/>
  <c r="C8" i="99" s="1"/>
  <c r="A8" i="99"/>
  <c r="E8" i="99"/>
  <c r="AC8" i="116"/>
  <c r="AB8" i="116"/>
  <c r="AA8" i="116"/>
  <c r="J8" i="116"/>
  <c r="G8" i="116"/>
  <c r="H8" i="116" s="1"/>
  <c r="D8" i="116"/>
  <c r="B8" i="116"/>
  <c r="A8" i="116"/>
  <c r="C8" i="116"/>
  <c r="E8" i="116"/>
  <c r="AC8" i="98"/>
  <c r="AB8" i="98"/>
  <c r="AA8" i="98"/>
  <c r="J8" i="98"/>
  <c r="G8" i="98"/>
  <c r="H8" i="98"/>
  <c r="I8" i="98"/>
  <c r="D8" i="98"/>
  <c r="B8" i="98"/>
  <c r="C8" i="98" s="1"/>
  <c r="A8" i="98"/>
  <c r="E8" i="98"/>
  <c r="AC8" i="97"/>
  <c r="AB8" i="97"/>
  <c r="AA8" i="97"/>
  <c r="J8" i="97"/>
  <c r="G8" i="97"/>
  <c r="H8" i="97"/>
  <c r="I8" i="97"/>
  <c r="D8" i="97"/>
  <c r="B8" i="97"/>
  <c r="A8" i="97"/>
  <c r="C8" i="97"/>
  <c r="E8" i="97"/>
  <c r="AC8" i="89"/>
  <c r="AB8" i="89"/>
  <c r="AA8" i="89"/>
  <c r="J8" i="89"/>
  <c r="G8" i="89"/>
  <c r="H8" i="89" s="1"/>
  <c r="I8" i="89"/>
  <c r="D8" i="89"/>
  <c r="B8" i="89"/>
  <c r="A8" i="89"/>
  <c r="C8" i="89"/>
  <c r="E8" i="89"/>
  <c r="L60" i="79"/>
  <c r="I60" i="79"/>
  <c r="G60" i="79"/>
  <c r="B60" i="79"/>
  <c r="D56" i="79"/>
  <c r="D60" i="79" s="1"/>
  <c r="A56" i="79"/>
  <c r="L50" i="79"/>
  <c r="I50" i="79"/>
  <c r="G50" i="79"/>
  <c r="D50" i="79"/>
  <c r="C50" i="79"/>
  <c r="B50" i="79"/>
  <c r="D46" i="79"/>
  <c r="A46" i="79"/>
  <c r="L40" i="79"/>
  <c r="I40" i="79"/>
  <c r="G40" i="79"/>
  <c r="B40" i="79"/>
  <c r="D36" i="79"/>
  <c r="D40" i="79" s="1"/>
  <c r="A36" i="79"/>
  <c r="L30" i="79"/>
  <c r="I30" i="79"/>
  <c r="G30" i="79"/>
  <c r="B30" i="79"/>
  <c r="D26" i="79"/>
  <c r="D30" i="79" s="1"/>
  <c r="A26" i="79"/>
  <c r="L20" i="79"/>
  <c r="I20" i="79"/>
  <c r="G20" i="79"/>
  <c r="Q5" i="79" s="1"/>
  <c r="B20" i="79"/>
  <c r="D16" i="79"/>
  <c r="D20" i="79" s="1"/>
  <c r="A16" i="79"/>
  <c r="T9" i="79"/>
  <c r="O9" i="79"/>
  <c r="S5" i="79"/>
  <c r="S9" i="79" s="1"/>
  <c r="P5" i="79"/>
  <c r="P9" i="79" s="1"/>
  <c r="O5" i="77"/>
  <c r="N5" i="77"/>
  <c r="D5" i="77"/>
  <c r="C5" i="77"/>
  <c r="B5" i="77"/>
  <c r="E5" i="77"/>
  <c r="F5" i="77"/>
  <c r="G5" i="77"/>
  <c r="H5" i="77"/>
  <c r="J5" i="77" s="1"/>
  <c r="I5" i="77"/>
  <c r="A5" i="77"/>
  <c r="AC7" i="99"/>
  <c r="AB7" i="99"/>
  <c r="AA7" i="99"/>
  <c r="J7" i="99"/>
  <c r="G7" i="99"/>
  <c r="H7" i="99"/>
  <c r="I7" i="99"/>
  <c r="D7" i="99"/>
  <c r="B7" i="99"/>
  <c r="A7" i="99"/>
  <c r="C7" i="99"/>
  <c r="E7" i="99"/>
  <c r="AC7" i="116"/>
  <c r="AB7" i="116"/>
  <c r="AA7" i="116"/>
  <c r="J7" i="116"/>
  <c r="G7" i="116"/>
  <c r="H7" i="116"/>
  <c r="I7" i="116"/>
  <c r="D7" i="116"/>
  <c r="B7" i="116"/>
  <c r="A7" i="116"/>
  <c r="C7" i="116"/>
  <c r="E7" i="116"/>
  <c r="AC7" i="98"/>
  <c r="AB7" i="98"/>
  <c r="AA7" i="98"/>
  <c r="J7" i="98"/>
  <c r="G7" i="98"/>
  <c r="I7" i="98" s="1"/>
  <c r="H7" i="98"/>
  <c r="D7" i="98"/>
  <c r="B7" i="98"/>
  <c r="A7" i="98"/>
  <c r="C7" i="98"/>
  <c r="E7" i="98"/>
  <c r="AC7" i="97"/>
  <c r="AB7" i="97"/>
  <c r="AA7" i="97"/>
  <c r="J7" i="97"/>
  <c r="G7" i="97"/>
  <c r="H7" i="97" s="1"/>
  <c r="I7" i="97"/>
  <c r="D7" i="97"/>
  <c r="B7" i="97"/>
  <c r="A7" i="97"/>
  <c r="C7" i="97"/>
  <c r="E7" i="97"/>
  <c r="AC7" i="89"/>
  <c r="AB7" i="89"/>
  <c r="AA7" i="89"/>
  <c r="J7" i="89"/>
  <c r="G7" i="89"/>
  <c r="H7" i="89"/>
  <c r="I7" i="89"/>
  <c r="D7" i="89"/>
  <c r="E7" i="89" s="1"/>
  <c r="B7" i="89"/>
  <c r="A7" i="89"/>
  <c r="C7" i="89"/>
  <c r="A56" i="78"/>
  <c r="A46" i="78"/>
  <c r="L60" i="78"/>
  <c r="I60" i="78"/>
  <c r="G60" i="78"/>
  <c r="B60" i="78"/>
  <c r="D56" i="78"/>
  <c r="D60" i="78" s="1"/>
  <c r="L50" i="78"/>
  <c r="I50" i="78"/>
  <c r="G50" i="78"/>
  <c r="B50" i="78"/>
  <c r="D46" i="78"/>
  <c r="D50" i="78" s="1"/>
  <c r="L40" i="78"/>
  <c r="I40" i="78"/>
  <c r="G40" i="78"/>
  <c r="B40" i="78"/>
  <c r="D36" i="78"/>
  <c r="C40" i="78" s="1"/>
  <c r="A36" i="78"/>
  <c r="L30" i="78"/>
  <c r="I30" i="78"/>
  <c r="G30" i="78"/>
  <c r="Q5" i="78" s="1"/>
  <c r="Q9" i="78" s="1"/>
  <c r="D30" i="78"/>
  <c r="C30" i="78"/>
  <c r="B30" i="78"/>
  <c r="D26" i="78"/>
  <c r="A26" i="78"/>
  <c r="L20" i="78"/>
  <c r="S5" i="78" s="1"/>
  <c r="S9" i="78" s="1"/>
  <c r="I20" i="78"/>
  <c r="G20" i="78"/>
  <c r="B20" i="78"/>
  <c r="D16" i="78"/>
  <c r="D20" i="78" s="1"/>
  <c r="A16" i="78"/>
  <c r="T9" i="78"/>
  <c r="O9" i="78"/>
  <c r="P5" i="78"/>
  <c r="O4" i="77"/>
  <c r="N4" i="77"/>
  <c r="J4" i="77"/>
  <c r="L4" i="77" s="1"/>
  <c r="M4" i="77" s="1"/>
  <c r="E4" i="77"/>
  <c r="F4" i="77"/>
  <c r="G4" i="77"/>
  <c r="H4" i="77"/>
  <c r="I4" i="77"/>
  <c r="O3" i="77"/>
  <c r="N3" i="77"/>
  <c r="J3" i="77"/>
  <c r="I3" i="77"/>
  <c r="H3" i="77"/>
  <c r="G3" i="77"/>
  <c r="AC6" i="99"/>
  <c r="AB6" i="99"/>
  <c r="AA6" i="99"/>
  <c r="AC5" i="99"/>
  <c r="AB5" i="99"/>
  <c r="AA5" i="99"/>
  <c r="J6" i="99"/>
  <c r="J5" i="99"/>
  <c r="D6" i="99"/>
  <c r="D5" i="99"/>
  <c r="E5" i="99" s="1"/>
  <c r="B6" i="99"/>
  <c r="B5" i="99"/>
  <c r="A6" i="99"/>
  <c r="Q5" i="99"/>
  <c r="P5" i="99"/>
  <c r="C5" i="99"/>
  <c r="C6" i="99" s="1"/>
  <c r="A5" i="99"/>
  <c r="AC6" i="116"/>
  <c r="AC5" i="116"/>
  <c r="AB6" i="116"/>
  <c r="AB5" i="116"/>
  <c r="AA6" i="116"/>
  <c r="AA5" i="116"/>
  <c r="J6" i="116"/>
  <c r="J5" i="116"/>
  <c r="J6" i="98"/>
  <c r="J5" i="98"/>
  <c r="J6" i="97"/>
  <c r="J5" i="97"/>
  <c r="J6" i="89"/>
  <c r="J5" i="89"/>
  <c r="D6" i="116"/>
  <c r="D5" i="116"/>
  <c r="B6" i="116"/>
  <c r="B5" i="116"/>
  <c r="A6" i="116"/>
  <c r="Q5" i="116"/>
  <c r="P5" i="116"/>
  <c r="E5" i="116"/>
  <c r="G5" i="116" s="1"/>
  <c r="C5" i="116"/>
  <c r="A5" i="116"/>
  <c r="AC6" i="98"/>
  <c r="AB6" i="98"/>
  <c r="AA6" i="98"/>
  <c r="AC5" i="98"/>
  <c r="AB5" i="98"/>
  <c r="AA5" i="98"/>
  <c r="D6" i="98"/>
  <c r="D5" i="98"/>
  <c r="B6" i="98"/>
  <c r="B5" i="98"/>
  <c r="A6" i="98"/>
  <c r="Q5" i="98"/>
  <c r="P5" i="98"/>
  <c r="E5" i="98"/>
  <c r="C5" i="98"/>
  <c r="A5" i="98"/>
  <c r="D4" i="77"/>
  <c r="C4" i="77"/>
  <c r="B4" i="77"/>
  <c r="A4" i="77"/>
  <c r="A3" i="77"/>
  <c r="F3" i="77"/>
  <c r="E3" i="77"/>
  <c r="AC6" i="97"/>
  <c r="AB6" i="97"/>
  <c r="AA6" i="97"/>
  <c r="AC5" i="97"/>
  <c r="AB5" i="97"/>
  <c r="AA5" i="97"/>
  <c r="Q5" i="97"/>
  <c r="Q5" i="89"/>
  <c r="D6" i="97"/>
  <c r="D5" i="97"/>
  <c r="B6" i="97"/>
  <c r="B5" i="97"/>
  <c r="C5" i="97" s="1"/>
  <c r="A6" i="97"/>
  <c r="P5" i="97"/>
  <c r="E5" i="97"/>
  <c r="A5" i="97"/>
  <c r="AC6" i="89"/>
  <c r="AB6" i="89"/>
  <c r="AA6" i="89"/>
  <c r="G6" i="89"/>
  <c r="H6" i="89"/>
  <c r="I6" i="89"/>
  <c r="E6" i="89"/>
  <c r="D6" i="89"/>
  <c r="D5" i="89"/>
  <c r="C6" i="89"/>
  <c r="B6" i="89"/>
  <c r="B5" i="89"/>
  <c r="A6" i="89"/>
  <c r="A17" i="72"/>
  <c r="A16" i="72"/>
  <c r="L60" i="72"/>
  <c r="I60" i="72"/>
  <c r="G60" i="72"/>
  <c r="B60" i="72"/>
  <c r="D57" i="72"/>
  <c r="A57" i="72"/>
  <c r="D56" i="72"/>
  <c r="D60" i="72" s="1"/>
  <c r="A56" i="72"/>
  <c r="L50" i="72"/>
  <c r="I50" i="72"/>
  <c r="G50" i="72"/>
  <c r="B50" i="72"/>
  <c r="D47" i="72"/>
  <c r="A47" i="72"/>
  <c r="D46" i="72"/>
  <c r="D50" i="72" s="1"/>
  <c r="A46" i="72"/>
  <c r="L40" i="72"/>
  <c r="I40" i="72"/>
  <c r="G40" i="72"/>
  <c r="B40" i="72"/>
  <c r="D37" i="72"/>
  <c r="C40" i="72" s="1"/>
  <c r="A37" i="72"/>
  <c r="D36" i="72"/>
  <c r="D40" i="72" s="1"/>
  <c r="A36" i="72"/>
  <c r="L30" i="72"/>
  <c r="S5" i="72" s="1"/>
  <c r="S9" i="72" s="1"/>
  <c r="I30" i="72"/>
  <c r="G30" i="72"/>
  <c r="C30" i="72"/>
  <c r="B30" i="72"/>
  <c r="D27" i="72"/>
  <c r="A27" i="72"/>
  <c r="D26" i="72"/>
  <c r="D30" i="72" s="1"/>
  <c r="A26" i="72"/>
  <c r="L20" i="72"/>
  <c r="I20" i="72"/>
  <c r="G20" i="72"/>
  <c r="Q5" i="72" s="1"/>
  <c r="Q9" i="72" s="1"/>
  <c r="B20" i="72"/>
  <c r="D17" i="72"/>
  <c r="D20" i="72" s="1"/>
  <c r="D16" i="72"/>
  <c r="C20" i="72" s="1"/>
  <c r="T9" i="72"/>
  <c r="O9" i="72"/>
  <c r="S6" i="72"/>
  <c r="Q6" i="72"/>
  <c r="P6" i="72"/>
  <c r="P5" i="72"/>
  <c r="AC5" i="89"/>
  <c r="AB5" i="89"/>
  <c r="AA5" i="89"/>
  <c r="I18" i="99" l="1"/>
  <c r="I16" i="77"/>
  <c r="H18" i="99"/>
  <c r="F16" i="77"/>
  <c r="B18" i="116"/>
  <c r="C18" i="116" s="1"/>
  <c r="B18" i="98"/>
  <c r="C18" i="98" s="1"/>
  <c r="D18" i="116"/>
  <c r="E18" i="116" s="1"/>
  <c r="G18" i="116" s="1"/>
  <c r="D19" i="115"/>
  <c r="B18" i="97"/>
  <c r="C18" i="97" s="1"/>
  <c r="I18" i="97" s="1"/>
  <c r="B18" i="89"/>
  <c r="C18" i="89" s="1"/>
  <c r="C19" i="89" s="1"/>
  <c r="E19" i="97"/>
  <c r="G19" i="97" s="1"/>
  <c r="F17" i="77" s="1"/>
  <c r="S5" i="115"/>
  <c r="S9" i="115" s="1"/>
  <c r="N16" i="77" s="1"/>
  <c r="D39" i="115"/>
  <c r="B17" i="77"/>
  <c r="J18" i="89"/>
  <c r="E19" i="99"/>
  <c r="G19" i="99" s="1"/>
  <c r="I17" i="77" s="1"/>
  <c r="C19" i="99"/>
  <c r="AC19" i="97"/>
  <c r="B19" i="116"/>
  <c r="C19" i="116" s="1"/>
  <c r="AA19" i="99"/>
  <c r="R5" i="116"/>
  <c r="AC19" i="99"/>
  <c r="B19" i="98"/>
  <c r="C59" i="118"/>
  <c r="AB19" i="99" s="1"/>
  <c r="S5" i="99" s="1" a="1"/>
  <c r="S5" i="99" s="1"/>
  <c r="D19" i="98"/>
  <c r="S5" i="118"/>
  <c r="S9" i="118" s="1"/>
  <c r="N17" i="77" s="1"/>
  <c r="B19" i="97"/>
  <c r="R5" i="118"/>
  <c r="R9" i="118" s="1"/>
  <c r="I19" i="99"/>
  <c r="S5" i="116" a="1"/>
  <c r="S5" i="116" s="1"/>
  <c r="C19" i="118"/>
  <c r="AB19" i="89" s="1"/>
  <c r="C49" i="118"/>
  <c r="AB19" i="116" s="1"/>
  <c r="C39" i="118"/>
  <c r="AB19" i="98" s="1"/>
  <c r="C29" i="118"/>
  <c r="AB19" i="97" s="1"/>
  <c r="P9" i="118"/>
  <c r="C17" i="77" s="1"/>
  <c r="S5" i="97" a="1"/>
  <c r="S5" i="97" s="1"/>
  <c r="R5" i="115"/>
  <c r="R9" i="115" s="1"/>
  <c r="D16" i="77" s="1"/>
  <c r="C40" i="88"/>
  <c r="C20" i="88"/>
  <c r="Q9" i="88"/>
  <c r="R5" i="88"/>
  <c r="R9" i="88" s="1"/>
  <c r="C30" i="88"/>
  <c r="C60" i="88"/>
  <c r="I16" i="116"/>
  <c r="C60" i="87"/>
  <c r="C40" i="87"/>
  <c r="C30" i="87"/>
  <c r="C20" i="87"/>
  <c r="R5" i="87"/>
  <c r="R9" i="87" s="1"/>
  <c r="Q9" i="87"/>
  <c r="I15" i="98"/>
  <c r="R5" i="86"/>
  <c r="R9" i="86" s="1"/>
  <c r="Q9" i="86"/>
  <c r="C40" i="86"/>
  <c r="C30" i="86"/>
  <c r="C60" i="86"/>
  <c r="C20" i="85"/>
  <c r="Q9" i="85"/>
  <c r="R5" i="85"/>
  <c r="R9" i="85" s="1"/>
  <c r="C30" i="85"/>
  <c r="C60" i="85"/>
  <c r="C20" i="84"/>
  <c r="R5" i="84"/>
  <c r="R9" i="84" s="1"/>
  <c r="Q9" i="84"/>
  <c r="C40" i="84"/>
  <c r="C30" i="84"/>
  <c r="C60" i="84"/>
  <c r="C20" i="83"/>
  <c r="Q9" i="83"/>
  <c r="R5" i="83"/>
  <c r="R9" i="83" s="1"/>
  <c r="C30" i="83"/>
  <c r="C60" i="83"/>
  <c r="R5" i="98"/>
  <c r="D50" i="82"/>
  <c r="D40" i="82"/>
  <c r="D20" i="82"/>
  <c r="Q9" i="82"/>
  <c r="R5" i="82"/>
  <c r="R9" i="82" s="1"/>
  <c r="C30" i="82"/>
  <c r="C60" i="82"/>
  <c r="L5" i="77"/>
  <c r="M5" i="77" s="1"/>
  <c r="L6" i="77"/>
  <c r="M6" i="77" s="1"/>
  <c r="R5" i="97"/>
  <c r="D40" i="81"/>
  <c r="Q9" i="81"/>
  <c r="R5" i="81"/>
  <c r="R9" i="81" s="1"/>
  <c r="C30" i="81"/>
  <c r="C60" i="81"/>
  <c r="L7" i="77"/>
  <c r="M7" i="77" s="1"/>
  <c r="N5" i="97"/>
  <c r="C40" i="80"/>
  <c r="Q9" i="80"/>
  <c r="R5" i="80"/>
  <c r="R9" i="80" s="1"/>
  <c r="C30" i="80"/>
  <c r="C60" i="80"/>
  <c r="I8" i="116"/>
  <c r="C40" i="79"/>
  <c r="C30" i="79"/>
  <c r="C20" i="79"/>
  <c r="R5" i="79"/>
  <c r="R9" i="79" s="1"/>
  <c r="Q9" i="79"/>
  <c r="C60" i="79"/>
  <c r="M5" i="99"/>
  <c r="D40" i="78"/>
  <c r="R5" i="78"/>
  <c r="R9" i="78" s="1"/>
  <c r="C20" i="78"/>
  <c r="P9" i="78"/>
  <c r="C60" i="78"/>
  <c r="C50" i="78"/>
  <c r="N5" i="99"/>
  <c r="G5" i="99"/>
  <c r="E6" i="99"/>
  <c r="G6" i="99" s="1"/>
  <c r="C6" i="116"/>
  <c r="I5" i="116"/>
  <c r="H5" i="116"/>
  <c r="E6" i="116"/>
  <c r="G6" i="116" s="1"/>
  <c r="M5" i="116"/>
  <c r="C6" i="98"/>
  <c r="G5" i="98"/>
  <c r="E6" i="98"/>
  <c r="G6" i="98" s="1"/>
  <c r="C6" i="97"/>
  <c r="G5" i="97"/>
  <c r="E6" i="97"/>
  <c r="G6" i="97" s="1"/>
  <c r="P9" i="72"/>
  <c r="R6" i="72"/>
  <c r="R5" i="72"/>
  <c r="C60" i="72"/>
  <c r="C50" i="72"/>
  <c r="H19" i="99" l="1"/>
  <c r="S5" i="98" a="1"/>
  <c r="S5" i="98" s="1"/>
  <c r="AC18" i="89"/>
  <c r="S5" i="89" s="1" a="1"/>
  <c r="S5" i="89" s="1"/>
  <c r="D18" i="89"/>
  <c r="E18" i="89" s="1"/>
  <c r="D17" i="77"/>
  <c r="C19" i="97"/>
  <c r="H19" i="97" s="1"/>
  <c r="H18" i="97"/>
  <c r="AC18" i="98"/>
  <c r="D18" i="98"/>
  <c r="E18" i="98" s="1"/>
  <c r="G18" i="98" s="1"/>
  <c r="E19" i="116"/>
  <c r="G19" i="116" s="1"/>
  <c r="C19" i="98"/>
  <c r="M5" i="97"/>
  <c r="I18" i="116"/>
  <c r="H16" i="77"/>
  <c r="H18" i="116"/>
  <c r="N5" i="116"/>
  <c r="M5" i="98"/>
  <c r="H6" i="99"/>
  <c r="I6" i="99"/>
  <c r="H5" i="99"/>
  <c r="I5" i="99"/>
  <c r="I6" i="116"/>
  <c r="H6" i="116"/>
  <c r="H6" i="98"/>
  <c r="I6" i="98"/>
  <c r="H5" i="98"/>
  <c r="I5" i="98"/>
  <c r="H6" i="97"/>
  <c r="I6" i="97"/>
  <c r="H5" i="97"/>
  <c r="I5" i="97"/>
  <c r="R9" i="72"/>
  <c r="A5" i="89"/>
  <c r="E5" i="89"/>
  <c r="C3" i="77"/>
  <c r="D3" i="77"/>
  <c r="B3" i="77"/>
  <c r="D57" i="71"/>
  <c r="D56" i="71"/>
  <c r="A57" i="71"/>
  <c r="A56" i="71"/>
  <c r="D47" i="71"/>
  <c r="C50" i="71" s="1"/>
  <c r="D46" i="71"/>
  <c r="A47" i="71"/>
  <c r="A46" i="71"/>
  <c r="C60" i="71"/>
  <c r="C40" i="71"/>
  <c r="C30" i="71"/>
  <c r="C20" i="71"/>
  <c r="H17" i="77" l="1"/>
  <c r="H19" i="116"/>
  <c r="I19" i="116"/>
  <c r="I19" i="97"/>
  <c r="I18" i="98"/>
  <c r="G16" i="77"/>
  <c r="H18" i="98"/>
  <c r="G18" i="89"/>
  <c r="E19" i="89"/>
  <c r="G19" i="89" s="1"/>
  <c r="N5" i="98"/>
  <c r="E19" i="98"/>
  <c r="G19" i="98" s="1"/>
  <c r="M5" i="89"/>
  <c r="R5" i="89"/>
  <c r="N5" i="89"/>
  <c r="C5" i="89"/>
  <c r="G5" i="89"/>
  <c r="D37" i="71"/>
  <c r="D40" i="71" s="1"/>
  <c r="D36" i="71"/>
  <c r="A37" i="71"/>
  <c r="A36" i="71"/>
  <c r="D27" i="71"/>
  <c r="D26" i="71"/>
  <c r="D30" i="71" s="1"/>
  <c r="A27" i="71"/>
  <c r="A26" i="71"/>
  <c r="D17" i="71"/>
  <c r="D16" i="71"/>
  <c r="A17" i="71"/>
  <c r="A16" i="71"/>
  <c r="Q9" i="71"/>
  <c r="S9" i="71"/>
  <c r="T9" i="71"/>
  <c r="P6" i="71"/>
  <c r="R6" i="71" s="1"/>
  <c r="Q6" i="71"/>
  <c r="S6" i="71"/>
  <c r="P5" i="71"/>
  <c r="R5" i="71" s="1"/>
  <c r="Q5" i="71"/>
  <c r="S5" i="71"/>
  <c r="L60" i="71"/>
  <c r="I60" i="71"/>
  <c r="G60" i="71"/>
  <c r="D60" i="71"/>
  <c r="B60" i="71"/>
  <c r="L50" i="71"/>
  <c r="I50" i="71"/>
  <c r="G50" i="71"/>
  <c r="D50" i="71"/>
  <c r="B50" i="71"/>
  <c r="L40" i="71"/>
  <c r="I40" i="71"/>
  <c r="G40" i="71"/>
  <c r="B40" i="71"/>
  <c r="L30" i="71"/>
  <c r="I30" i="71"/>
  <c r="G30" i="71"/>
  <c r="B30" i="71"/>
  <c r="L20" i="71"/>
  <c r="I20" i="71"/>
  <c r="G20" i="71"/>
  <c r="D20" i="71"/>
  <c r="B20" i="71"/>
  <c r="O9" i="71"/>
  <c r="E17" i="77" l="1"/>
  <c r="I19" i="89"/>
  <c r="H19" i="89"/>
  <c r="G17" i="77"/>
  <c r="I19" i="98"/>
  <c r="H19" i="98"/>
  <c r="H18" i="89"/>
  <c r="E16" i="77"/>
  <c r="J16" i="77" s="1"/>
  <c r="K16" i="77" s="1"/>
  <c r="L16" i="77" s="1"/>
  <c r="M16" i="77" s="1"/>
  <c r="I18" i="89"/>
  <c r="P5" i="89"/>
  <c r="I5" i="89"/>
  <c r="H5" i="89"/>
  <c r="R9" i="71"/>
  <c r="P9" i="71"/>
  <c r="A17" i="77"/>
  <c r="J17" i="77" l="1"/>
  <c r="K17" i="77" s="1"/>
  <c r="L17" i="77" s="1"/>
  <c r="M17" i="77" s="1"/>
  <c r="L3" i="77"/>
  <c r="M3" i="7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<sst xmlns="http://schemas.openxmlformats.org/spreadsheetml/2006/main" count="1671" uniqueCount="55">
  <si>
    <t>Kaina</t>
  </si>
  <si>
    <t>Kiekis</t>
  </si>
  <si>
    <t>Viso:</t>
  </si>
  <si>
    <t>Suma, EUR</t>
  </si>
  <si>
    <t>%</t>
  </si>
  <si>
    <t>2025.04</t>
  </si>
  <si>
    <t>2025.05</t>
  </si>
  <si>
    <t>Robo-Advisor Investment</t>
  </si>
  <si>
    <t>2025.04.10</t>
  </si>
  <si>
    <t>Pelnas</t>
  </si>
  <si>
    <t>Mokestis</t>
  </si>
  <si>
    <t>Investuota</t>
  </si>
  <si>
    <t>Gryni</t>
  </si>
  <si>
    <t>Dividendai</t>
  </si>
  <si>
    <t>Inešta</t>
  </si>
  <si>
    <t>Viso</t>
  </si>
  <si>
    <t>Vertė</t>
  </si>
  <si>
    <t>Data</t>
  </si>
  <si>
    <t>Mėnesio gale</t>
  </si>
  <si>
    <t>Įnešta</t>
  </si>
  <si>
    <t>Mėnesio</t>
  </si>
  <si>
    <t>2026.01</t>
  </si>
  <si>
    <t>2025.12</t>
  </si>
  <si>
    <t>2025.11</t>
  </si>
  <si>
    <t>2025.10</t>
  </si>
  <si>
    <t>2025.09</t>
  </si>
  <si>
    <t>2025.08</t>
  </si>
  <si>
    <t>2025.07</t>
  </si>
  <si>
    <t>2025.06</t>
  </si>
  <si>
    <t>Pirkimas</t>
  </si>
  <si>
    <t>Pardavimas</t>
  </si>
  <si>
    <t>Invest.</t>
  </si>
  <si>
    <t>Suma,EUR</t>
  </si>
  <si>
    <t>2026.04</t>
  </si>
  <si>
    <t>Parduota</t>
  </si>
  <si>
    <t>2026.05</t>
  </si>
  <si>
    <t>2026.06</t>
  </si>
  <si>
    <t>SGAS GY iShares MSCI USA ESG Screened</t>
  </si>
  <si>
    <t>SLMC GY iShares MSCI Europe ESG Screened</t>
  </si>
  <si>
    <t>AYEM GY iShares MSCI EM IMI ESG Screened</t>
  </si>
  <si>
    <t>SGAJ GY iShares MSCI Japan ESG Screened</t>
  </si>
  <si>
    <t>EDMU GY iShares MSCI USA ESG Enhanced</t>
  </si>
  <si>
    <t>2025.04.24</t>
  </si>
  <si>
    <t>SGAS</t>
  </si>
  <si>
    <t>SLMC</t>
  </si>
  <si>
    <t>AYEM</t>
  </si>
  <si>
    <t>SGAJ</t>
  </si>
  <si>
    <t>EDMU</t>
  </si>
  <si>
    <t>Suma</t>
  </si>
  <si>
    <t>Vid. Kaina</t>
  </si>
  <si>
    <t>2025.05.08</t>
  </si>
  <si>
    <t>2025.05.22</t>
  </si>
  <si>
    <t>2026.02</t>
  </si>
  <si>
    <t>2026.03</t>
  </si>
  <si>
    <t>2026.07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</si>
</sst>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00"/>
    <numFmt numFmtId="167" formatCode="yyyy\.mm\.dd;@"/>
    <numFmt numFmtId="168" formatCode="yyyy/mm/dd;@"/>
  </numFmts>
  <fonts count="8" x14ac:knownFonts="1">
    <font>
      <sz val="11"/>
      <color theme="1"/>
      <name val="Calibri"/>
      <family val="2"/>
      <charset val="186"/>
      <scheme val="minor"/>
    </font>
    <font>
      <b/>
      <i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Narrow"/>
      <family val="2"/>
      <charset val="186"/>
    </font>
    <font>
      <u/>
      <sz val="11"/>
      <color theme="1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166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0" fillId="2" borderId="10" xfId="0" applyFill="1" applyBorder="1"/>
    <xf numFmtId="167" fontId="1" fillId="0" borderId="1" xfId="0" applyNumberFormat="1" applyFont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166" fontId="0" fillId="2" borderId="1" xfId="0" applyNumberFormat="1" applyFill="1" applyBorder="1" applyAlignment="1">
      <alignment horizontal="center"/>
    </xf>
    <xf numFmtId="0" fontId="7" fillId="0" borderId="1" xfId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68" fontId="4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3" borderId="1" xfId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2" xfId="1" applyBorder="1" applyAlignment="1">
      <alignment horizontal="center" vertical="center"/>
    </xf>
    <xf numFmtId="0" fontId="7" fillId="0" borderId="3" xfId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12</xdr:col>
      <xdr:colOff>304800</xdr:colOff>
      <xdr:row>10</xdr:row>
      <xdr:rowOff>152400</xdr:rowOff>
    </xdr:to>
    <xdr:pic>
      <xdr:nvPicPr>
        <xdr:cNvPr id="4" name="Graphic 3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162E61-F43D-4F61-BCC8-C70FBDA1A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12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CDCAA6-B2C0-43DA-ACE7-D9F244249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3534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12</xdr:col>
      <xdr:colOff>304800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E41CBE-69EA-4883-8948-C48068427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3534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12</xdr:col>
      <xdr:colOff>304800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0DBBF5-7F2B-42F3-A787-B8A7B5CBB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3534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12</xdr:col>
      <xdr:colOff>304800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9B46F-EFC3-48AE-B3CE-8865A7D9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3534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11</xdr:row>
      <xdr:rowOff>0</xdr:rowOff>
    </xdr:from>
    <xdr:to>
      <xdr:col>13</xdr:col>
      <xdr:colOff>914400</xdr:colOff>
      <xdr:row>15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98B462-0EC5-481E-BF82-B30155FD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448800" y="2095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11</xdr:row>
      <xdr:rowOff>0</xdr:rowOff>
    </xdr:from>
    <xdr:to>
      <xdr:col>13</xdr:col>
      <xdr:colOff>914400</xdr:colOff>
      <xdr:row>15</xdr:row>
      <xdr:rowOff>152400</xdr:rowOff>
    </xdr:to>
    <xdr:pic>
      <xdr:nvPicPr>
        <xdr:cNvPr id="6" name="Graphic 5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D6793E-1F6F-40B9-A535-AAAFF45CA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448800" y="2095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11</xdr:row>
      <xdr:rowOff>0</xdr:rowOff>
    </xdr:from>
    <xdr:to>
      <xdr:col>13</xdr:col>
      <xdr:colOff>914400</xdr:colOff>
      <xdr:row>15</xdr:row>
      <xdr:rowOff>152400</xdr:rowOff>
    </xdr:to>
    <xdr:pic>
      <xdr:nvPicPr>
        <xdr:cNvPr id="5" name="Graphic 4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97D1CD-317D-40DB-8101-AC5073ED6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448800" y="22860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0380AB-1142-4730-9F4B-41B857BB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392275" y="190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07285A-1380-42AB-AAA5-6F48F900C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5A097D-6BB4-4193-B9A0-E0CA36A8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D8AF89-8AD4-40A6-B599-315BCB8D3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74469C-1490-40AC-A6E3-A6F93B85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3D5D20-D442-4241-A075-151C77253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335B94-E935-497A-9949-D8B7C8F30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8F9793-E454-4C5A-B6E8-AC7C87744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DCC15-FD01-4604-BA15-F304A4D0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110E29-2C66-4B86-860A-BC88EFAD5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BFA107-4D48-4EA8-96FF-FEEC61CDD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69AB7B-E471-4099-924A-C70DB94BA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471F64-11A1-4143-96E1-86209CC4D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392400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700A4D-3056-423E-ADC2-33CF9A654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392275" y="190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pane xSplit="1" topLeftCell="B1" activePane="topRight" state="frozen"/>
      <selection pane="topRight" sqref="A1:A2"/>
    </sheetView>
  </sheetViews>
  <sheetFormatPr defaultRowHeight="15" x14ac:dyDescent="0.25"/>
  <cols>
    <col min="1" max="1" width="15.7109375" customWidth="1"/>
    <col min="2" max="15" width="10.7109375" customWidth="1"/>
  </cols>
  <sheetData>
    <row r="1" spans="1:15" x14ac:dyDescent="0.25">
      <c r="A1" s="76" t="s">
        <v>17</v>
      </c>
      <c r="B1" s="58" t="s">
        <v>2</v>
      </c>
      <c r="C1" s="60"/>
      <c r="D1" s="58" t="s">
        <v>18</v>
      </c>
      <c r="E1" s="59"/>
      <c r="F1" s="59"/>
      <c r="G1" s="59"/>
      <c r="H1" s="59"/>
      <c r="I1" s="59"/>
      <c r="J1" s="59"/>
      <c r="K1" s="59"/>
      <c r="L1" s="59"/>
      <c r="M1" s="60"/>
      <c r="N1" s="74" t="s">
        <v>13</v>
      </c>
      <c r="O1" s="74" t="s">
        <v>10</v>
      </c>
    </row>
    <row r="2" spans="1:15" x14ac:dyDescent="0.25">
      <c r="A2" s="76"/>
      <c r="B2" s="3" t="s">
        <v>14</v>
      </c>
      <c r="C2" s="3" t="s">
        <v>11</v>
      </c>
      <c r="D2" s="3" t="s">
        <v>12</v>
      </c>
      <c r="E2" s="38" t="s">
        <v>43</v>
      </c>
      <c r="F2" s="38" t="s">
        <v>44</v>
      </c>
      <c r="G2" s="38" t="s">
        <v>45</v>
      </c>
      <c r="H2" s="38" t="s">
        <v>46</v>
      </c>
      <c r="I2" s="38" t="s">
        <v>47</v>
      </c>
      <c r="J2" s="3" t="s">
        <v>15</v>
      </c>
      <c r="K2" s="3" t="s">
        <v>16</v>
      </c>
      <c r="L2" s="3" t="s">
        <v>9</v>
      </c>
      <c r="M2" s="3" t="s">
        <v>4</v>
      </c>
      <c r="N2" s="75"/>
      <c r="O2" s="75"/>
    </row>
    <row r="3" spans="1:15" x14ac:dyDescent="0.25">
      <c r="A3" s="38" t="str">
        <f>'2025.04'!$N$2</f>
        <v>2025.04</v>
      </c>
      <c r="B3" s="4">
        <f>'2025.04'!$O$9</f>
        <v>110</v>
      </c>
      <c r="C3" s="4">
        <f>'2025.04'!$P$9-'2025.04'!$Q$9</f>
        <v>109.96</v>
      </c>
      <c r="D3" s="4">
        <f>'2025.04'!$R$9</f>
        <v>4.0000000000011582E-2</v>
      </c>
      <c r="E3" s="4">
        <f>SGAS!G5</f>
        <v>37.481630296292778</v>
      </c>
      <c r="F3" s="4">
        <f>SLMC!G5</f>
        <v>20.605742257599889</v>
      </c>
      <c r="G3" s="4">
        <f>AYEM!G5</f>
        <v>14.511535233608571</v>
      </c>
      <c r="H3" s="4">
        <f>SGAJ!G5</f>
        <v>6.5275303744335504</v>
      </c>
      <c r="I3" s="4">
        <f>EDMU!G5</f>
        <v>36.985457289104758</v>
      </c>
      <c r="J3" s="4">
        <f t="shared" ref="J3:J15" si="0">SUM(E3:I3)</f>
        <v>116.11189545103954</v>
      </c>
      <c r="K3" s="4">
        <f>J3+D3-O3</f>
        <v>116.15189545103955</v>
      </c>
      <c r="L3" s="4">
        <f t="shared" ref="L3:L15" si="1">K3-B3</f>
        <v>6.1518954510395503</v>
      </c>
      <c r="M3" s="11">
        <f t="shared" ref="M3:M15" si="2">L3/B3</f>
        <v>5.5926322282177733E-2</v>
      </c>
      <c r="N3" s="4">
        <f>'2025.04'!$S$9</f>
        <v>0</v>
      </c>
      <c r="O3" s="4">
        <f>'2025.04'!$T$9</f>
        <v>0</v>
      </c>
    </row>
    <row r="4" spans="1:15" x14ac:dyDescent="0.25">
      <c r="A4" s="38" t="str">
        <f>'2025.05'!$N$2</f>
        <v>2025.05</v>
      </c>
      <c r="B4" s="4">
        <f>B3+'2025.05'!$O$9</f>
        <v>155.47999999999999</v>
      </c>
      <c r="C4" s="4">
        <f>C3+'2025.05'!$P$9-'2025.05'!$Q$9</f>
        <v>155.44999999999999</v>
      </c>
      <c r="D4" s="4">
        <f>D3+'2025.05'!$R$9</f>
        <v>3.0000000000008242E-2</v>
      </c>
      <c r="E4" s="4">
        <f>SGAS!G6</f>
        <v>55.214402906949758</v>
      </c>
      <c r="F4" s="4">
        <f>SLMC!G6</f>
        <v>29.411252594615274</v>
      </c>
      <c r="G4" s="4">
        <f>AYEM!G6</f>
        <v>20.626473100761508</v>
      </c>
      <c r="H4" s="4">
        <f>SGAJ!G6</f>
        <v>9.2886096963495497</v>
      </c>
      <c r="I4" s="4">
        <f>EDMU!G6</f>
        <v>54.190421962381649</v>
      </c>
      <c r="J4" s="4">
        <f t="shared" si="0"/>
        <v>168.73116026105774</v>
      </c>
      <c r="K4" s="4">
        <f t="shared" ref="K4:K8" si="3">J4+D4-O4</f>
        <v>168.71116026105773</v>
      </c>
      <c r="L4" s="4">
        <f t="shared" si="1"/>
        <v>13.231160261057738</v>
      </c>
      <c r="M4" s="11">
        <f t="shared" si="2"/>
        <v>8.5098792520309621E-2</v>
      </c>
      <c r="N4" s="4">
        <f>'2025.05'!$S$9</f>
        <v>0</v>
      </c>
      <c r="O4" s="4">
        <f>'2025.05'!$T$9</f>
        <v>0.05</v>
      </c>
    </row>
    <row r="5" spans="1:15" x14ac:dyDescent="0.25">
      <c r="A5" s="38" t="str">
        <f>'2025.06'!$N$2</f>
        <v>2025.06</v>
      </c>
      <c r="B5" s="4">
        <f>B4+'2025.06'!$O$9</f>
        <v>165.48</v>
      </c>
      <c r="C5" s="4">
        <f>C4+'2025.06'!$P$9-'2025.06'!$Q$9</f>
        <v>165.47</v>
      </c>
      <c r="D5" s="4">
        <f>D4+'2025.06'!$R$9</f>
        <v>1.0000000000006892E-2</v>
      </c>
      <c r="E5" s="4">
        <f>SGAS!G7</f>
        <v>59.612264486261914</v>
      </c>
      <c r="F5" s="4">
        <f>SLMC!G7</f>
        <v>30.837109650759711</v>
      </c>
      <c r="G5" s="4">
        <f>AYEM!G7</f>
        <v>22.479892296835612</v>
      </c>
      <c r="H5" s="4">
        <f>SGAJ!G7</f>
        <v>9.709370344036234</v>
      </c>
      <c r="I5" s="4">
        <f>EDMU!G7</f>
        <v>58.094800177892999</v>
      </c>
      <c r="J5" s="4">
        <f t="shared" si="0"/>
        <v>180.73343695578646</v>
      </c>
      <c r="K5" s="4">
        <f t="shared" si="3"/>
        <v>180.64343695578648</v>
      </c>
      <c r="L5" s="4">
        <f t="shared" si="1"/>
        <v>15.163436955786494</v>
      </c>
      <c r="M5" s="11">
        <f t="shared" si="2"/>
        <v>9.1633049043911619E-2</v>
      </c>
      <c r="N5" s="4">
        <f>'2025.06'!$S$9</f>
        <v>0</v>
      </c>
      <c r="O5" s="4">
        <f>'2025.06'!$T$9</f>
        <v>0.1</v>
      </c>
    </row>
    <row r="6" spans="1:15" x14ac:dyDescent="0.25">
      <c r="A6" s="38" t="str">
        <f>'2025.07'!$N$2</f>
        <v>2025.07</v>
      </c>
      <c r="B6" s="4">
        <f>B5+'2025.07'!$O$9</f>
        <v>180.48</v>
      </c>
      <c r="C6" s="4">
        <f>C5+'2025.07'!$P$9-'2025.07'!$Q$9</f>
        <v>180.44</v>
      </c>
      <c r="D6" s="4">
        <f>D5+'2025.07'!$R$9</f>
        <v>4.0000000000006253E-2</v>
      </c>
      <c r="E6" s="4">
        <f>SGAS!G8</f>
        <v>68.68785928912159</v>
      </c>
      <c r="F6" s="4">
        <f>SLMC!G8</f>
        <v>33.69535086852234</v>
      </c>
      <c r="G6" s="4">
        <f>AYEM!G8</f>
        <v>25.29301834796679</v>
      </c>
      <c r="H6" s="4">
        <f>SGAJ!G8</f>
        <v>10.645193928458092</v>
      </c>
      <c r="I6" s="4">
        <f>EDMU!G8</f>
        <v>66.802662198525951</v>
      </c>
      <c r="J6" s="4">
        <f t="shared" si="0"/>
        <v>205.12408463259476</v>
      </c>
      <c r="K6" s="4">
        <f t="shared" si="3"/>
        <v>205.03408463259478</v>
      </c>
      <c r="L6" s="4">
        <f t="shared" si="1"/>
        <v>24.554084632594794</v>
      </c>
      <c r="M6" s="11">
        <f t="shared" si="2"/>
        <v>0.13604878453343747</v>
      </c>
      <c r="N6" s="4">
        <f>'2025.07'!$S$9</f>
        <v>0</v>
      </c>
      <c r="O6" s="4">
        <f>'2025.07'!$T$9</f>
        <v>0.13</v>
      </c>
    </row>
    <row r="7" spans="1:15" x14ac:dyDescent="0.25">
      <c r="A7" s="38" t="str">
        <f>'2025.08'!$N$2</f>
        <v>2025.08</v>
      </c>
      <c r="B7" s="4">
        <f>B6+'2025.08'!$O$9</f>
        <v>195.48</v>
      </c>
      <c r="C7" s="4">
        <f>C6+'2025.08'!$P$9-'2025.08'!$Q$9</f>
        <v>195.45</v>
      </c>
      <c r="D7" s="4">
        <f>D6+'2025.08'!$R$9</f>
        <v>3.000000000000469E-2</v>
      </c>
      <c r="E7" s="4">
        <f>SGAS!G9</f>
        <v>72.818949960171466</v>
      </c>
      <c r="F7" s="4">
        <f>SLMC!G9</f>
        <v>36.53006372515901</v>
      </c>
      <c r="G7" s="4">
        <f>AYEM!G9</f>
        <v>27.06966792819399</v>
      </c>
      <c r="H7" s="4">
        <f>SGAJ!G9</f>
        <v>11.865980529603785</v>
      </c>
      <c r="I7" s="4">
        <f>EDMU!G9</f>
        <v>70.864644044220412</v>
      </c>
      <c r="J7" s="4">
        <f t="shared" si="0"/>
        <v>219.14930618734866</v>
      </c>
      <c r="K7" s="4">
        <f t="shared" si="3"/>
        <v>219.02930618734865</v>
      </c>
      <c r="L7" s="4">
        <f t="shared" si="1"/>
        <v>23.549306187348662</v>
      </c>
      <c r="M7" s="11">
        <f t="shared" si="2"/>
        <v>0.1204691333504638</v>
      </c>
      <c r="N7" s="4">
        <f>'2025.08'!$S$9</f>
        <v>0</v>
      </c>
      <c r="O7" s="4">
        <f>'2025.08'!$T$9</f>
        <v>0.15</v>
      </c>
    </row>
    <row r="8" spans="1:15" x14ac:dyDescent="0.25">
      <c r="A8" s="38" t="str">
        <f>'2025.09'!$N$2</f>
        <v>2025.09</v>
      </c>
      <c r="B8" s="4">
        <f>B7+'2025.09'!$O$9</f>
        <v>210.48</v>
      </c>
      <c r="C8" s="4">
        <f>C7+'2025.09'!$P$9-'2025.09'!$Q$9</f>
        <v>210.44</v>
      </c>
      <c r="D8" s="4">
        <f>D7+'2025.09'!$R$9</f>
        <v>4.00000000000027E-2</v>
      </c>
      <c r="E8" s="4">
        <f>SGAS!G10</f>
        <v>80.278308962097611</v>
      </c>
      <c r="F8" s="4">
        <f>SLMC!G10</f>
        <v>39.581461896252947</v>
      </c>
      <c r="G8" s="4">
        <f>AYEM!G10</f>
        <v>30.458867800188177</v>
      </c>
      <c r="H8" s="4">
        <f>SGAJ!G10</f>
        <v>12.908365098986231</v>
      </c>
      <c r="I8" s="4">
        <f>EDMU!G10</f>
        <v>77.706704743425931</v>
      </c>
      <c r="J8" s="4">
        <f t="shared" si="0"/>
        <v>240.9337085009509</v>
      </c>
      <c r="K8" s="4">
        <f t="shared" si="3"/>
        <v>240.8137085009509</v>
      </c>
      <c r="L8" s="4">
        <f t="shared" si="1"/>
        <v>30.333708500950905</v>
      </c>
      <c r="M8" s="11">
        <f t="shared" si="2"/>
        <v>0.14411682108015444</v>
      </c>
      <c r="N8" s="4">
        <f>'2025.09'!$S$9</f>
        <v>0</v>
      </c>
      <c r="O8" s="4">
        <f>'2025.09'!$T$9</f>
        <v>0.16</v>
      </c>
    </row>
    <row r="9" spans="1:15" x14ac:dyDescent="0.25">
      <c r="A9" s="38" t="str">
        <f>'2025.10'!$N$2</f>
        <v>2025.10</v>
      </c>
      <c r="B9" s="4">
        <f>B8+'2025.10'!$O$9</f>
        <v>230.48</v>
      </c>
      <c r="C9" s="4">
        <f>C8+'2025.10'!$P$9-'2025.10'!$Q$9</f>
        <v>230.47</v>
      </c>
      <c r="D9" s="4">
        <f>D8+'2025.10'!$R$9</f>
        <v>1.0000000000001563E-2</v>
      </c>
      <c r="E9" s="4">
        <f>SGAS!G11</f>
        <v>91.185151325321812</v>
      </c>
      <c r="F9" s="4">
        <f>SLMC!G11</f>
        <v>44.158717814304353</v>
      </c>
      <c r="G9" s="4">
        <f>AYEM!G11</f>
        <v>34.74615331105214</v>
      </c>
      <c r="H9" s="4">
        <f>SGAJ!G11</f>
        <v>14.825934387901727</v>
      </c>
      <c r="I9" s="4">
        <f>EDMU!G11</f>
        <v>87.771070043110029</v>
      </c>
      <c r="J9" s="4">
        <f t="shared" si="0"/>
        <v>272.68702688169003</v>
      </c>
      <c r="K9" s="4">
        <f t="shared" ref="K9" si="4">J9+D9-O9</f>
        <v>272.51702688169001</v>
      </c>
      <c r="L9" s="4">
        <f t="shared" si="1"/>
        <v>42.037026881690025</v>
      </c>
      <c r="M9" s="11">
        <f t="shared" si="2"/>
        <v>0.18238904408924864</v>
      </c>
      <c r="N9" s="4">
        <f>'2025.10'!$S$9</f>
        <v>0</v>
      </c>
      <c r="O9" s="4">
        <f>'2025.10'!$T$9</f>
        <v>0.18</v>
      </c>
    </row>
    <row r="10" spans="1:15" x14ac:dyDescent="0.25">
      <c r="A10" s="38" t="str">
        <f>'2025.11'!$N$2</f>
        <v>2025.11</v>
      </c>
      <c r="B10" s="4">
        <f>B9+'2025.11'!$O$9</f>
        <v>250.48</v>
      </c>
      <c r="C10" s="4">
        <f>C9+'2025.11'!$P$9-'2025.11'!$Q$9</f>
        <v>250.44</v>
      </c>
      <c r="D10" s="4">
        <f>D9+'2025.11'!$R$9</f>
        <v>4.00000000000027E-2</v>
      </c>
      <c r="E10" s="4">
        <f>SGAS!G12</f>
        <v>97.293505356720487</v>
      </c>
      <c r="F10" s="4">
        <f>SLMC!G12</f>
        <v>47.543552599764737</v>
      </c>
      <c r="G10" s="4">
        <f>AYEM!G12</f>
        <v>36.679377561478766</v>
      </c>
      <c r="H10" s="4">
        <f>SGAJ!G12</f>
        <v>15.753226163302104</v>
      </c>
      <c r="I10" s="4">
        <f>EDMU!G12</f>
        <v>93.709706366185372</v>
      </c>
      <c r="J10" s="4">
        <f t="shared" si="0"/>
        <v>290.97936804745149</v>
      </c>
      <c r="K10" s="4">
        <f t="shared" ref="K10" si="5">J10+D10-O10</f>
        <v>290.8393680474515</v>
      </c>
      <c r="L10" s="4">
        <f t="shared" si="1"/>
        <v>40.359368047451511</v>
      </c>
      <c r="M10" s="11">
        <f t="shared" si="2"/>
        <v>0.16112810622585241</v>
      </c>
      <c r="N10" s="4">
        <f>'2025.11'!$S$9</f>
        <v>0</v>
      </c>
      <c r="O10" s="4">
        <f>'2025.11'!$T$9</f>
        <v>0.18</v>
      </c>
    </row>
    <row r="11" spans="1:15" x14ac:dyDescent="0.25">
      <c r="A11" s="38" t="str">
        <f>'2025.12'!$N$2</f>
        <v>2025.12</v>
      </c>
      <c r="B11" s="4">
        <f>B10+'2025.12'!$O$9</f>
        <v>270.48</v>
      </c>
      <c r="C11" s="4">
        <f>C10+'2025.12'!$P$9-'2025.12'!$Q$9</f>
        <v>270.45999999999998</v>
      </c>
      <c r="D11" s="4">
        <f>D10+'2025.12'!$R$9</f>
        <v>2.0000000000003126E-2</v>
      </c>
      <c r="E11" s="4">
        <f>SGAS!G13</f>
        <v>103.70074648443396</v>
      </c>
      <c r="F11" s="4">
        <f>SLMC!G13</f>
        <v>52.260386333664378</v>
      </c>
      <c r="G11" s="4">
        <f>AYEM!G13</f>
        <v>39.374486200164817</v>
      </c>
      <c r="H11" s="4">
        <f>SGAJ!G13</f>
        <v>16.929315555922042</v>
      </c>
      <c r="I11" s="4">
        <f>EDMU!G13</f>
        <v>99.840647492550602</v>
      </c>
      <c r="J11" s="4">
        <f t="shared" si="0"/>
        <v>312.10558206673579</v>
      </c>
      <c r="K11" s="4">
        <f t="shared" ref="K11" si="6">J11+D11-O11</f>
        <v>311.90558206673575</v>
      </c>
      <c r="L11" s="4">
        <f t="shared" si="1"/>
        <v>41.425582066735728</v>
      </c>
      <c r="M11" s="11">
        <f t="shared" si="2"/>
        <v>0.15315580474244206</v>
      </c>
      <c r="N11" s="4">
        <f>'2025.12'!$S$9</f>
        <v>0</v>
      </c>
      <c r="O11" s="4">
        <f>'2025.12'!$T$9</f>
        <v>0.22</v>
      </c>
    </row>
    <row r="12" spans="1:15" x14ac:dyDescent="0.25">
      <c r="A12" s="38" t="str">
        <f>'2026.01'!$N$2</f>
        <v>2026.01</v>
      </c>
      <c r="B12" s="4">
        <f>B11+'2026.01'!$O$9</f>
        <v>290.48</v>
      </c>
      <c r="C12" s="4">
        <f>C11+'2026.01'!$P$9-'2026.01'!$Q$9</f>
        <v>290.45999999999998</v>
      </c>
      <c r="D12" s="4">
        <f>D11+'2026.01'!$R$9</f>
        <v>2.0000000000003126E-2</v>
      </c>
      <c r="E12" s="4">
        <f>SGAS!G14</f>
        <v>109.06745799584114</v>
      </c>
      <c r="F12" s="4">
        <f>SLMC!G14</f>
        <v>57.301274935849662</v>
      </c>
      <c r="G12" s="4">
        <f>AYEM!G14</f>
        <v>44.903681161814632</v>
      </c>
      <c r="H12" s="4">
        <f>SGAJ!G14</f>
        <v>18.769147027141869</v>
      </c>
      <c r="I12" s="4">
        <f>EDMU!G14</f>
        <v>104.92022857796219</v>
      </c>
      <c r="J12" s="4">
        <f t="shared" si="0"/>
        <v>334.96178969860949</v>
      </c>
      <c r="K12" s="4">
        <f t="shared" ref="K12" si="7">J12+D12-O12</f>
        <v>334.75178969860946</v>
      </c>
      <c r="L12" s="4">
        <f t="shared" si="1"/>
        <v>44.271789698609439</v>
      </c>
      <c r="M12" s="11">
        <f t="shared" si="2"/>
        <v>0.1524090804826819</v>
      </c>
      <c r="N12" s="4">
        <f>'2026.01'!$S$9</f>
        <v>0</v>
      </c>
      <c r="O12" s="4">
        <f>'2026.01'!$T$9</f>
        <v>0.23</v>
      </c>
    </row>
    <row r="13" spans="1:15" x14ac:dyDescent="0.25">
      <c r="A13" s="38" t="str">
        <f>'2026.02'!$N$2</f>
        <v>2026.02</v>
      </c>
      <c r="B13" s="4">
        <f>B12+'2026.02'!$O$9</f>
        <v>310.48</v>
      </c>
      <c r="C13" s="4">
        <f>C12+'2026.02'!$P$9-'2026.02'!$Q$9</f>
        <v>310.42999999999995</v>
      </c>
      <c r="D13" s="4">
        <f>D12+'2026.02'!$R$9</f>
        <v>5.0000000000004263E-2</v>
      </c>
      <c r="E13" s="4">
        <f>SGAS!G15</f>
        <v>115.06856463126974</v>
      </c>
      <c r="F13" s="4">
        <f>SLMC!G15</f>
        <v>62.670602665602985</v>
      </c>
      <c r="G13" s="4">
        <f>AYEM!G15</f>
        <v>50.504304312778345</v>
      </c>
      <c r="H13" s="4">
        <f>SGAJ!G15</f>
        <v>21.470467509247463</v>
      </c>
      <c r="I13" s="4">
        <f>EDMU!G15</f>
        <v>113.05627981061836</v>
      </c>
      <c r="J13" s="4">
        <f t="shared" si="0"/>
        <v>362.77021892951689</v>
      </c>
      <c r="K13" s="4">
        <f t="shared" ref="K13" si="8">J13+D13-O13</f>
        <v>362.60021892951687</v>
      </c>
      <c r="L13" s="4">
        <f t="shared" si="1"/>
        <v>52.120218929516852</v>
      </c>
      <c r="M13" s="11">
        <f t="shared" si="2"/>
        <v>0.16786981103297105</v>
      </c>
      <c r="N13" s="4">
        <f>'2026.02'!$S$9</f>
        <v>0</v>
      </c>
      <c r="O13" s="4">
        <f>'2026.02'!$T$9</f>
        <v>0.22</v>
      </c>
    </row>
    <row r="14" spans="1:15" x14ac:dyDescent="0.25">
      <c r="A14" s="38" t="str">
        <f>'2026.03'!$N$2</f>
        <v>2026.03</v>
      </c>
      <c r="B14" s="4">
        <f>B13+'2026.03'!$O$9</f>
        <v>330.48</v>
      </c>
      <c r="C14" s="4">
        <f>C13+'2026.03'!$P$9-'2026.03'!$Q$9</f>
        <v>330.40999999999997</v>
      </c>
      <c r="D14" s="4">
        <f>D13+'2026.03'!$R$9</f>
        <v>7.0000000000003837E-2</v>
      </c>
      <c r="E14" s="4">
        <f>SGAS!G16</f>
        <v>115.57519826660699</v>
      </c>
      <c r="F14" s="4">
        <f>SLMC!G16</f>
        <v>60.99466019402319</v>
      </c>
      <c r="G14" s="4">
        <f>AYEM!G16</f>
        <v>47.805439121404739</v>
      </c>
      <c r="H14" s="4">
        <f>SGAJ!G16</f>
        <v>20.753814089958983</v>
      </c>
      <c r="I14" s="4">
        <f>EDMU!G16</f>
        <v>111.80852209741762</v>
      </c>
      <c r="J14" s="4">
        <f t="shared" si="0"/>
        <v>356.93763376941149</v>
      </c>
      <c r="K14" s="4">
        <f t="shared" ref="K14" si="9">J14+D14-O14</f>
        <v>356.75763376941148</v>
      </c>
      <c r="L14" s="4">
        <f t="shared" si="1"/>
        <v>26.277633769411466</v>
      </c>
      <c r="M14" s="11">
        <f t="shared" si="2"/>
        <v>7.951353718655127E-2</v>
      </c>
      <c r="N14" s="4">
        <f>'2026.03'!$S$9</f>
        <v>0</v>
      </c>
      <c r="O14" s="4">
        <f>'2026.03'!$T$9</f>
        <v>0.25</v>
      </c>
    </row>
    <row r="15" spans="1:15" x14ac:dyDescent="0.25">
      <c r="A15" s="38" t="str">
        <f>'2026.04'!$N$2</f>
        <v>2026.04</v>
      </c>
      <c r="B15" s="4">
        <f>B14+'2026.04'!$O$9</f>
        <v>350.48</v>
      </c>
      <c r="C15" s="4">
        <f>C14+'2026.04'!$P$9-'2026.04'!$Q$9</f>
        <v>350.47999999999996</v>
      </c>
      <c r="D15" s="4">
        <f>D14+'2026.04'!$R$9</f>
        <v>3.5527136788005009E-15</v>
      </c>
      <c r="E15" s="4">
        <f>SGAS!G17</f>
        <v>134.58105311017408</v>
      </c>
      <c r="F15" s="4">
        <f>SLMC!G17</f>
        <v>66.890459808874752</v>
      </c>
      <c r="G15" s="4">
        <f>AYEM!G17</f>
        <v>56.475571414147645</v>
      </c>
      <c r="H15" s="4">
        <f>SGAJ!G17</f>
        <v>22.872634049739943</v>
      </c>
      <c r="I15" s="4">
        <f>EDMU!G17</f>
        <v>129.16302071301882</v>
      </c>
      <c r="J15" s="4">
        <f t="shared" si="0"/>
        <v>409.98273909595525</v>
      </c>
      <c r="K15" s="4">
        <f t="shared" ref="K15" si="10">J15+D15-O15</f>
        <v>409.71273909595527</v>
      </c>
      <c r="L15" s="4">
        <f t="shared" si="1"/>
        <v>59.232739095955253</v>
      </c>
      <c r="M15" s="11">
        <f t="shared" si="2"/>
        <v>0.16900461965291957</v>
      </c>
      <c r="N15" s="4">
        <f>'2026.04'!$S$9</f>
        <v>0</v>
      </c>
      <c r="O15" s="4">
        <f>'2026.04'!$T$9</f>
        <v>0.27</v>
      </c>
    </row>
    <row r="16" spans="1:15" x14ac:dyDescent="0.25">
      <c r="A16" s="38" t="str">
        <f>'2026.05'!$N$2</f>
        <v>2026.05</v>
      </c>
      <c r="B16" s="4">
        <f>B15+'2026.05'!$O$9</f>
        <v>370.48</v>
      </c>
      <c r="C16" s="4">
        <f>C15+'2026.05'!$P$9-'2026.05'!$Q$9</f>
        <v>370.44999999999993</v>
      </c>
      <c r="D16" s="4">
        <f>D15+'2026.05'!$R$9</f>
        <v>3.000000000000469E-2</v>
      </c>
      <c r="E16" s="4">
        <f>SGAS!G18</f>
        <v>151.07570117128398</v>
      </c>
      <c r="F16" s="4">
        <f>SLMC!G18</f>
        <v>73.649015083621222</v>
      </c>
      <c r="G16" s="4">
        <f>AYEM!G18</f>
        <v>64.889564661771246</v>
      </c>
      <c r="H16" s="4">
        <f>SGAJ!G18</f>
        <v>25.800626009045811</v>
      </c>
      <c r="I16" s="4">
        <f>EDMU!G18</f>
        <v>144.56706549250171</v>
      </c>
      <c r="J16" s="4">
        <f t="shared" ref="J16" si="11">SUM(E16:I16)</f>
        <v>459.98197241822402</v>
      </c>
      <c r="K16" s="4">
        <f t="shared" ref="K16" si="12">J16+D16-O16</f>
        <v>459.71197241822404</v>
      </c>
      <c r="L16" s="4">
        <f t="shared" ref="L16" si="13">K16-B16</f>
        <v>89.231972418224018</v>
      </c>
      <c r="M16" s="11">
        <f t="shared" ref="M16" si="14">L16/B16</f>
        <v>0.24085503243960271</v>
      </c>
      <c r="N16" s="4">
        <f>'2026.05'!$S$9</f>
        <v>0</v>
      </c>
      <c r="O16" s="4">
        <f>'2026.05'!$T$9</f>
        <v>0.3</v>
      </c>
    </row>
    <row r="17" spans="1:15" x14ac:dyDescent="0.25">
      <c r="A17" s="38" t="str">
        <f>'2026.06'!$N$2</f>
        <v>2026.06</v>
      </c>
      <c r="B17" s="4">
        <f>B16+'2026.06'!$O$9</f>
        <v>390.48</v>
      </c>
      <c r="C17" s="4">
        <f>C16+'2026.06'!$P$9-'2026.06'!$Q$9</f>
        <v>390.46999999999991</v>
      </c>
      <c r="D17" s="4">
        <f>D16+'2026.06'!$R$9</f>
        <v>1.0000000000005116E-2</v>
      </c>
      <c r="E17" s="4">
        <f>SGAS!G19</f>
        <v>159.05985614948716</v>
      </c>
      <c r="F17" s="4">
        <f>SLMC!G19</f>
        <v>79.269742688152647</v>
      </c>
      <c r="G17" s="4">
        <f>AYEM!G19</f>
        <v>69.09193425834215</v>
      </c>
      <c r="H17" s="4">
        <f>SGAJ!G19</f>
        <v>27.877211496710135</v>
      </c>
      <c r="I17" s="4">
        <f>EDMU!G19</f>
        <v>152.5281801811264</v>
      </c>
      <c r="J17" s="4">
        <f t="shared" ref="J17" si="15">SUM(E17:I17)</f>
        <v>487.82692477381852</v>
      </c>
      <c r="K17" s="4">
        <f t="shared" ref="K17" si="16">J17+D17-O17</f>
        <v>487.52692477381851</v>
      </c>
      <c r="L17" s="4">
        <f t="shared" ref="L17" si="17">K17-B17</f>
        <v>97.046924773818489</v>
      </c>
      <c r="M17" s="11">
        <f t="shared" ref="M17" si="18">L17/B17</f>
        <v>0.24853238264141181</v>
      </c>
      <c r="N17" s="4">
        <f>'2026.06'!$S$9</f>
        <v>0</v>
      </c>
      <c r="O17" s="4">
        <f>'2026.06'!$T$9</f>
        <v>0.31</v>
      </c>
    </row>
    <row r="18" spans="1:15" x14ac:dyDescent="0.25">
      <c r="A18" s="49" t="str">
        <f>'2026.07'!$N$2</f>
        <v>2026.07</v>
      </c>
      <c r="B18" s="50">
        <f>B17+'2026.06'!$O$9</f>
        <v>410.48</v>
      </c>
      <c r="C18" s="50">
        <f>C17+'2026.06'!$P$9-'2026.06'!$Q$9</f>
        <v>410.4899999999999</v>
      </c>
      <c r="D18" s="50">
        <f>D17+'2026.06'!$R$9</f>
        <v>-9.9999999999944578E-3</v>
      </c>
      <c r="E18" s="50">
        <f>SGAS!G20</f>
        <v>166.3101566481738</v>
      </c>
      <c r="F18" s="50">
        <f>SLMC!G20</f>
        <v>81.654265180212775</v>
      </c>
      <c r="G18" s="50">
        <f>AYEM!G20</f>
        <v>68.322604978980948</v>
      </c>
      <c r="H18" s="50">
        <f>SGAJ!G20</f>
        <v>29.108288237796305</v>
      </c>
      <c r="I18" s="50">
        <f>EDMU!G20</f>
        <v>159.41089682364009</v>
      </c>
      <c r="J18" s="50">
        <f t="shared" ref="J18" si="19">SUM(E18:I18)</f>
        <v>504.80621186880393</v>
      </c>
      <c r="K18" s="50">
        <f t="shared" ref="K18" si="20">J18+D18-O18</f>
        <v>504.79621186880394</v>
      </c>
      <c r="L18" s="50">
        <f t="shared" ref="L18" si="21">K18-B18</f>
        <v>94.316211868803919</v>
      </c>
      <c r="M18" s="52">
        <f t="shared" ref="M18" si="22">L18/B18</f>
        <v>0.22977054148510015</v>
      </c>
      <c r="N18" s="50">
        <f>'2026.07'!$S$9</f>
        <v>0</v>
      </c>
      <c r="O18" s="50">
        <f>'2026.07'!$T$9</f>
        <v>0</v>
      </c>
    </row>
  </sheetData>
  <mergeCells count="5">
    <mergeCell ref="O1:O2"/>
    <mergeCell ref="A1:A2"/>
    <mergeCell ref="B1:C1"/>
    <mergeCell ref="N1:N2"/>
    <mergeCell ref="D1:M1"/>
  </mergeCells>
  <hyperlinks>
    <hyperlink ref="A17" location="'2026.06'!A1" display="'2026.06'!A1" xr:uid="{2D725BFA-F7A8-4132-8426-9EE91EA4D581}"/>
    <hyperlink ref="E2" location="SGAS!A1" display="SGAS" xr:uid="{F9015B2A-CD97-4307-AF08-22AA208C7A6A}"/>
    <hyperlink ref="F2" location="SLMC!A1" display="SLMC" xr:uid="{6A7A8E6D-3A8F-41D5-8004-0C16B540DA3F}"/>
    <hyperlink ref="G2" location="AYEM!A1" display="AYEM" xr:uid="{9F6D983E-59C7-4AE2-BC09-CC0F5313D71E}"/>
    <hyperlink ref="H2" location="SGAJ!A1" display="SGAJ" xr:uid="{CD1BB811-C048-4523-BF86-B80D2E7C0FDE}"/>
    <hyperlink ref="I2" location="EDMU!A1" display="EDMU" xr:uid="{FC3CF574-E6FF-4078-93C3-558849DCBCC7}"/>
    <hyperlink ref="A3" location="'2025.04'!A1" display="'2025.04'!A1" xr:uid="{DF87E0BB-964D-471C-B734-ECDC651ABCF5}"/>
    <hyperlink ref="A4" location="'2025.04'!A1" display="'2025.04'!A1" xr:uid="{1BDC99D3-5CB0-41EE-8268-1F13F077E5FF}"/>
    <hyperlink ref="A5" location="'2025.06'!A1" display="'2025.06'!A1" xr:uid="{9AE486E9-CF19-4585-9A42-3625A82D21D9}"/>
    <hyperlink ref="A6" location="'2025.07'!A1" display="'2025.07'!A1" xr:uid="{0CD2B4F4-AC60-4920-8C21-5E437B7BDE04}"/>
    <hyperlink ref="A7" location="'2025.08'!A1" display="'2025.08'!A1" xr:uid="{7B9C5AB2-85B8-48D0-9AF4-43D6C70A554C}"/>
    <hyperlink ref="A8" location="'2025.09'!A1" display="'2025.09'!A1" xr:uid="{E91EE006-3E7E-4FDE-94BE-B63D003BC2B7}"/>
    <hyperlink ref="A9" location="'2025.10'!A1" display="'2025.10'!A1" xr:uid="{58B30E5B-5BD0-4B14-B9A6-5CE9EE4A5AA8}"/>
    <hyperlink ref="A10" location="'2025.11'!A1" display="'2025.11'!A1" xr:uid="{760A3093-1D8C-4B40-B5F6-E8767DADB6BF}"/>
    <hyperlink ref="A11" location="'2025.12'!A1" display="'2025.12'!A1" xr:uid="{FBE40427-F2AD-4825-B993-808D6602F653}"/>
    <hyperlink ref="A12" location="'2026.01'!A1" display="'2026.01'!A1" xr:uid="{72ADF4FB-57CC-43AC-A420-316E51C15A25}"/>
    <hyperlink ref="A13" location="'2026.02'!A1" display="'2026.02'!A1" xr:uid="{39900FE9-96E0-485A-ADA6-F641DA11FFA2}"/>
    <hyperlink ref="A14" location="'2026.03'!A1" display="'2026.03'!A1" xr:uid="{2C3D8EAD-0F6E-4763-82BA-B64BAB2D3178}"/>
    <hyperlink ref="A15" location="'2026.04'!A1" display="'2026.04'!A1" xr:uid="{6033260E-F301-46ED-806C-1B2B55209530}"/>
    <hyperlink ref="A16" location="'2026.05'!A1" display="'2026.05'!A1" xr:uid="{B6B5F3F0-A0BD-4E9A-8842-DB1782146CD4}"/>
    <hyperlink ref="A18" location="'2026.07'!A1" display="'2026.07'!A1" xr:uid="{DB7483C3-8A87-42F4-AF9D-C49A9D328CD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13C2-5866-4654-8C68-51A43AC9788F}">
  <dimension ref="A1:AC31"/>
  <sheetViews>
    <sheetView workbookViewId="0">
      <pane ySplit="13" topLeftCell="A14" activePane="bottomLeft" state="frozen"/>
      <selection activeCell="J36" sqref="J36"/>
      <selection pane="bottomLeft" activeCell="J21" sqref="J21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9" width="10.7109375" customWidth="1"/>
    <col min="27" max="29" width="10.7109375" customWidth="1"/>
  </cols>
  <sheetData>
    <row r="1" spans="1:29" x14ac:dyDescent="0.25">
      <c r="A1" s="9" t="s">
        <v>37</v>
      </c>
    </row>
    <row r="3" spans="1:29" x14ac:dyDescent="0.25">
      <c r="A3" s="74" t="s">
        <v>17</v>
      </c>
      <c r="B3" s="58" t="s">
        <v>3</v>
      </c>
      <c r="C3" s="77"/>
      <c r="D3" s="58" t="s">
        <v>1</v>
      </c>
      <c r="E3" s="60"/>
      <c r="F3" s="58" t="s">
        <v>18</v>
      </c>
      <c r="G3" s="59"/>
      <c r="H3" s="59"/>
      <c r="I3" s="60"/>
      <c r="J3" s="74" t="s">
        <v>13</v>
      </c>
      <c r="L3" s="74" t="s">
        <v>43</v>
      </c>
      <c r="M3" s="74" t="s">
        <v>19</v>
      </c>
      <c r="N3" s="74" t="s">
        <v>1</v>
      </c>
      <c r="O3" s="74" t="s">
        <v>34</v>
      </c>
      <c r="P3" s="74" t="s">
        <v>9</v>
      </c>
      <c r="Q3" s="74" t="s">
        <v>4</v>
      </c>
      <c r="R3" s="74" t="s">
        <v>13</v>
      </c>
      <c r="S3" s="74" t="s">
        <v>49</v>
      </c>
      <c r="AA3" s="76" t="s">
        <v>48</v>
      </c>
      <c r="AB3" s="76" t="s">
        <v>0</v>
      </c>
      <c r="AC3" s="76" t="s">
        <v>1</v>
      </c>
    </row>
    <row r="4" spans="1:29" x14ac:dyDescent="0.25">
      <c r="A4" s="75"/>
      <c r="B4" s="3" t="s">
        <v>19</v>
      </c>
      <c r="C4" s="3" t="s">
        <v>15</v>
      </c>
      <c r="D4" s="3" t="s">
        <v>20</v>
      </c>
      <c r="E4" s="3" t="s">
        <v>15</v>
      </c>
      <c r="F4" s="3" t="s">
        <v>0</v>
      </c>
      <c r="G4" s="3" t="s">
        <v>16</v>
      </c>
      <c r="H4" s="3" t="s">
        <v>9</v>
      </c>
      <c r="I4" s="3" t="s">
        <v>4</v>
      </c>
      <c r="J4" s="75"/>
      <c r="L4" s="75"/>
      <c r="M4" s="75"/>
      <c r="N4" s="75"/>
      <c r="O4" s="75"/>
      <c r="P4" s="75"/>
      <c r="Q4" s="75"/>
      <c r="R4" s="75"/>
      <c r="S4" s="75"/>
      <c r="AA4" s="76"/>
      <c r="AB4" s="76"/>
      <c r="AC4" s="76"/>
    </row>
    <row r="5" spans="1:29" x14ac:dyDescent="0.25">
      <c r="A5" s="38" t="str">
        <f>'2025.04'!$N$2</f>
        <v>2025.04</v>
      </c>
      <c r="B5" s="4">
        <f>'2025.04'!$B$20-'2025.04'!$G$20</f>
        <v>35.99</v>
      </c>
      <c r="C5" s="4">
        <f>B5</f>
        <v>35.99</v>
      </c>
      <c r="D5" s="6">
        <f>'2025.04'!$D$20-'2025.04'!$I$20</f>
        <v>3.7802955417340169</v>
      </c>
      <c r="E5" s="6">
        <f>D5</f>
        <v>3.7802955417340169</v>
      </c>
      <c r="F5" s="6">
        <v>9.9149999999999991</v>
      </c>
      <c r="G5" s="4">
        <f t="shared" ref="G5:G17" si="0">E5*F5</f>
        <v>37.481630296292778</v>
      </c>
      <c r="H5" s="4">
        <f t="shared" ref="H5:H17" si="1">G5-C5</f>
        <v>1.4916302962927759</v>
      </c>
      <c r="I5" s="11">
        <f t="shared" ref="I5:I17" si="2">(G5-C5)/C5</f>
        <v>4.1445687588018219E-2</v>
      </c>
      <c r="J5" s="4">
        <f>'2025.04'!$L$20</f>
        <v>0</v>
      </c>
      <c r="L5" s="3" t="s">
        <v>2</v>
      </c>
      <c r="M5" s="4">
        <f>SUM(B5:B200)</f>
        <v>135.15999999999997</v>
      </c>
      <c r="N5" s="6">
        <f>SUM(D5:D200)</f>
        <v>12.132342912764356</v>
      </c>
      <c r="O5" s="4">
        <v>166.31</v>
      </c>
      <c r="P5" s="4">
        <f>IF(O5&gt;0,O5-M5,"")</f>
        <v>31.150000000000034</v>
      </c>
      <c r="Q5" s="11">
        <f>IF(O5&gt;0,(O5-M5)/M5,"")</f>
        <v>0.23046759396271116</v>
      </c>
      <c r="R5" s="4">
        <f>SUM(J5:J200)</f>
        <v>0</v>
      </c>
      <c r="S5" s="4" cm="1">
        <f t="array" ref="S5">SUMPRODUCT(IFERROR(AB5:AB200,0),IFERROR(AC5:AC200,0))/SUM(IFERROR(AC5:AC200,0))</f>
        <v>11.034515951972704</v>
      </c>
      <c r="AA5" s="4">
        <f>'2025.04'!$B$20</f>
        <v>35.99</v>
      </c>
      <c r="AB5" s="4">
        <f>'2025.04'!$C$20</f>
        <v>9.5204196610224372</v>
      </c>
      <c r="AC5" s="6">
        <f>'2025.04'!$D$20</f>
        <v>3.7802955417340169</v>
      </c>
    </row>
    <row r="6" spans="1:29" x14ac:dyDescent="0.25">
      <c r="A6" s="38" t="str">
        <f>'2025.05'!$N$2</f>
        <v>2025.05</v>
      </c>
      <c r="B6" s="4">
        <f>'2025.05'!$B$20-'2025.05'!$G$20</f>
        <v>14.959999999999999</v>
      </c>
      <c r="C6" s="4">
        <f t="shared" ref="C6:C17" si="3">C5+B6</f>
        <v>50.95</v>
      </c>
      <c r="D6" s="6">
        <f>'2025.05'!$D$20-'2025.05'!$I$20</f>
        <v>1.4022089548822545</v>
      </c>
      <c r="E6" s="6">
        <f t="shared" ref="E6:E17" si="4">E5+D6</f>
        <v>5.1825044966162714</v>
      </c>
      <c r="F6" s="6">
        <v>10.654</v>
      </c>
      <c r="G6" s="4">
        <f t="shared" si="0"/>
        <v>55.214402906949758</v>
      </c>
      <c r="H6" s="4">
        <f t="shared" si="1"/>
        <v>4.2644029069497549</v>
      </c>
      <c r="I6" s="11">
        <f t="shared" si="2"/>
        <v>8.3697799940132572E-2</v>
      </c>
      <c r="J6" s="4">
        <f>'2025.05'!$L$20</f>
        <v>0</v>
      </c>
      <c r="AA6" s="4">
        <f>'2025.05'!$B$20</f>
        <v>14.959999999999999</v>
      </c>
      <c r="AB6" s="4">
        <f>'2025.05'!$C$20</f>
        <v>10.668880659984241</v>
      </c>
      <c r="AC6" s="6">
        <f>'2025.05'!$D$20</f>
        <v>1.4022089548822545</v>
      </c>
    </row>
    <row r="7" spans="1:29" x14ac:dyDescent="0.25">
      <c r="A7" s="38" t="str">
        <f>'2025.06'!$N$2</f>
        <v>2025.06</v>
      </c>
      <c r="B7" s="4">
        <f>'2025.06'!$B$20-'2025.06'!$G$20</f>
        <v>3.28</v>
      </c>
      <c r="C7" s="4">
        <f t="shared" si="3"/>
        <v>54.230000000000004</v>
      </c>
      <c r="D7" s="6">
        <f>'2025.06'!$D$20-'2025.06'!$I$20</f>
        <v>0.30867683041596083</v>
      </c>
      <c r="E7" s="6">
        <f t="shared" si="4"/>
        <v>5.4911813270322325</v>
      </c>
      <c r="F7" s="6">
        <v>10.856</v>
      </c>
      <c r="G7" s="4">
        <f t="shared" si="0"/>
        <v>59.612264486261914</v>
      </c>
      <c r="H7" s="4">
        <f t="shared" si="1"/>
        <v>5.38226448626191</v>
      </c>
      <c r="I7" s="11">
        <f t="shared" si="2"/>
        <v>9.9248838028063974E-2</v>
      </c>
      <c r="J7" s="4">
        <f>'2025.06'!$L$20</f>
        <v>0</v>
      </c>
      <c r="AA7" s="4">
        <f>'2025.06'!$B$20</f>
        <v>3.28</v>
      </c>
      <c r="AB7" s="4">
        <f>'2025.06'!$C$20</f>
        <v>10.625999999999999</v>
      </c>
      <c r="AC7" s="6">
        <f>'2025.06'!$D$20</f>
        <v>0.30867683041596083</v>
      </c>
    </row>
    <row r="8" spans="1:29" x14ac:dyDescent="0.25">
      <c r="A8" s="38" t="str">
        <f>'2025.07'!$N$2</f>
        <v>2025.07</v>
      </c>
      <c r="B8" s="4">
        <f>'2025.07'!$B$20-'2025.07'!$G$20</f>
        <v>4.97</v>
      </c>
      <c r="C8" s="4">
        <f t="shared" si="3"/>
        <v>59.2</v>
      </c>
      <c r="D8" s="6">
        <f>'2025.07'!$D$20-'2025.07'!$I$20</f>
        <v>0.45891043397968601</v>
      </c>
      <c r="E8" s="6">
        <f t="shared" si="4"/>
        <v>5.9500917610119188</v>
      </c>
      <c r="F8" s="6">
        <v>11.544</v>
      </c>
      <c r="G8" s="4">
        <f t="shared" si="0"/>
        <v>68.68785928912159</v>
      </c>
      <c r="H8" s="4">
        <f t="shared" si="1"/>
        <v>9.4878592891215874</v>
      </c>
      <c r="I8" s="11">
        <f t="shared" si="2"/>
        <v>0.16026789339732411</v>
      </c>
      <c r="J8" s="4">
        <f>'2025.07'!$L$20</f>
        <v>0</v>
      </c>
      <c r="AA8" s="4">
        <f>'2025.07'!$B$20</f>
        <v>4.97</v>
      </c>
      <c r="AB8" s="4">
        <f>'2025.07'!$C$20</f>
        <v>10.83</v>
      </c>
      <c r="AC8" s="6">
        <f>'2025.07'!$D$20</f>
        <v>0.45891043397968601</v>
      </c>
    </row>
    <row r="9" spans="1:29" x14ac:dyDescent="0.25">
      <c r="A9" s="38" t="str">
        <f>'2025.08'!$N$2</f>
        <v>2025.08</v>
      </c>
      <c r="B9" s="4">
        <f>'2025.08'!$B$20-'2025.08'!$G$20</f>
        <v>5.01</v>
      </c>
      <c r="C9" s="4">
        <f t="shared" si="3"/>
        <v>64.210000000000008</v>
      </c>
      <c r="D9" s="6">
        <f>'2025.08'!$D$20-'2025.08'!$I$20</f>
        <v>0.44202112172785257</v>
      </c>
      <c r="E9" s="6">
        <f t="shared" si="4"/>
        <v>6.3921128827397711</v>
      </c>
      <c r="F9" s="6">
        <v>11.391999999999999</v>
      </c>
      <c r="G9" s="4">
        <f t="shared" si="0"/>
        <v>72.818949960171466</v>
      </c>
      <c r="H9" s="4">
        <f t="shared" si="1"/>
        <v>8.6089499601714579</v>
      </c>
      <c r="I9" s="11">
        <f t="shared" si="2"/>
        <v>0.13407490982979997</v>
      </c>
      <c r="J9" s="4">
        <f>'2025.08'!$L$20</f>
        <v>0</v>
      </c>
      <c r="AA9" s="4">
        <f>'2025.08'!$B$20</f>
        <v>5.01</v>
      </c>
      <c r="AB9" s="4">
        <f>'2025.08'!$C$20</f>
        <v>11.334300000000001</v>
      </c>
      <c r="AC9" s="6">
        <f>'2025.08'!$D$20</f>
        <v>0.44202112172785257</v>
      </c>
    </row>
    <row r="10" spans="1:29" x14ac:dyDescent="0.25">
      <c r="A10" s="38" t="str">
        <f>'2025.09'!$N$2</f>
        <v>2025.09</v>
      </c>
      <c r="B10" s="4">
        <f>'2025.09'!$B$20-'2025.09'!$G$20</f>
        <v>5.01</v>
      </c>
      <c r="C10" s="4">
        <f t="shared" si="3"/>
        <v>69.220000000000013</v>
      </c>
      <c r="D10" s="6">
        <f>'2025.09'!$D$20-'2025.09'!$I$20</f>
        <v>0.44008362467279211</v>
      </c>
      <c r="E10" s="6">
        <f t="shared" si="4"/>
        <v>6.8321965074125632</v>
      </c>
      <c r="F10" s="6">
        <v>11.75</v>
      </c>
      <c r="G10" s="4">
        <f t="shared" si="0"/>
        <v>80.278308962097611</v>
      </c>
      <c r="H10" s="4">
        <f t="shared" si="1"/>
        <v>11.058308962097598</v>
      </c>
      <c r="I10" s="11">
        <f t="shared" si="2"/>
        <v>0.15975598038280261</v>
      </c>
      <c r="J10" s="4">
        <f>'2025.09'!$L$20</f>
        <v>0</v>
      </c>
      <c r="AA10" s="4">
        <f>'2025.09'!$B$20</f>
        <v>5.01</v>
      </c>
      <c r="AB10" s="4">
        <f>'2025.09'!$C$20</f>
        <v>11.3842</v>
      </c>
      <c r="AC10" s="6">
        <f>'2025.09'!$D$20</f>
        <v>0.44008362467279211</v>
      </c>
    </row>
    <row r="11" spans="1:29" x14ac:dyDescent="0.25">
      <c r="A11" s="38" t="str">
        <f>'2025.10'!$N$2</f>
        <v>2025.10</v>
      </c>
      <c r="B11" s="4">
        <f>'2025.10'!$B$20-'2025.10'!$G$20</f>
        <v>6.68</v>
      </c>
      <c r="C11" s="4">
        <f t="shared" si="3"/>
        <v>75.900000000000006</v>
      </c>
      <c r="D11" s="6">
        <f>'2025.10'!$D$20-'2025.10'!$I$20</f>
        <v>0.55839769953522589</v>
      </c>
      <c r="E11" s="6">
        <f t="shared" si="4"/>
        <v>7.3905942069477888</v>
      </c>
      <c r="F11" s="6">
        <v>12.337999999999999</v>
      </c>
      <c r="G11" s="4">
        <f t="shared" si="0"/>
        <v>91.185151325321812</v>
      </c>
      <c r="H11" s="4">
        <f t="shared" si="1"/>
        <v>15.285151325321806</v>
      </c>
      <c r="I11" s="11">
        <f t="shared" si="2"/>
        <v>0.20138539295549149</v>
      </c>
      <c r="J11" s="4">
        <f>'2025.10'!$L$20</f>
        <v>0</v>
      </c>
      <c r="AA11" s="4">
        <f>'2025.10'!$B$20</f>
        <v>6.68</v>
      </c>
      <c r="AB11" s="4">
        <f>'2025.10'!$C$20</f>
        <v>11.9628</v>
      </c>
      <c r="AC11" s="6">
        <f>'2025.10'!$D$20</f>
        <v>0.55839769953522589</v>
      </c>
    </row>
    <row r="12" spans="1:29" x14ac:dyDescent="0.25">
      <c r="A12" s="38" t="str">
        <f>'2025.11'!$N$2</f>
        <v>2025.11</v>
      </c>
      <c r="B12" s="4">
        <f>'2025.11'!$B$20-'2025.11'!$G$20</f>
        <v>6.71</v>
      </c>
      <c r="C12" s="4">
        <f t="shared" si="3"/>
        <v>82.61</v>
      </c>
      <c r="D12" s="6">
        <f>'2025.11'!$D$20-'2025.11'!$I$20</f>
        <v>0.54784454604833444</v>
      </c>
      <c r="E12" s="6">
        <f t="shared" si="4"/>
        <v>7.9384387529961229</v>
      </c>
      <c r="F12" s="6">
        <v>12.256</v>
      </c>
      <c r="G12" s="4">
        <f t="shared" si="0"/>
        <v>97.293505356720487</v>
      </c>
      <c r="H12" s="4">
        <f t="shared" si="1"/>
        <v>14.683505356720488</v>
      </c>
      <c r="I12" s="11">
        <f t="shared" si="2"/>
        <v>0.17774488992519658</v>
      </c>
      <c r="J12" s="4">
        <f>'2025.11'!$L$20</f>
        <v>0</v>
      </c>
      <c r="AA12" s="4">
        <f>'2025.11'!$B$20</f>
        <v>6.71</v>
      </c>
      <c r="AB12" s="4">
        <f>'2025.11'!$C$20</f>
        <v>12.247999999999999</v>
      </c>
      <c r="AC12" s="6">
        <f>'2025.11'!$D$20</f>
        <v>0.54784454604833444</v>
      </c>
    </row>
    <row r="13" spans="1:29" x14ac:dyDescent="0.25">
      <c r="A13" s="38" t="str">
        <f>'2025.12'!$N$2</f>
        <v>2025.12</v>
      </c>
      <c r="B13" s="4">
        <f>'2025.12'!$B$20-'2025.12'!$G$20</f>
        <v>6.71</v>
      </c>
      <c r="C13" s="4">
        <f t="shared" si="3"/>
        <v>89.32</v>
      </c>
      <c r="D13" s="6">
        <f>'2025.12'!$D$20-'2025.12'!$I$20</f>
        <v>0.54909983633387882</v>
      </c>
      <c r="E13" s="6">
        <f t="shared" si="4"/>
        <v>8.4875385893300024</v>
      </c>
      <c r="F13" s="6">
        <v>12.218</v>
      </c>
      <c r="G13" s="4">
        <f t="shared" si="0"/>
        <v>103.70074648443396</v>
      </c>
      <c r="H13" s="4">
        <f t="shared" si="1"/>
        <v>14.380746484433971</v>
      </c>
      <c r="I13" s="11">
        <f t="shared" si="2"/>
        <v>0.16100253565197012</v>
      </c>
      <c r="J13" s="4">
        <f>'2025.12'!$L$20</f>
        <v>0</v>
      </c>
      <c r="AA13" s="4">
        <f>'2025.12'!$B$20</f>
        <v>6.71</v>
      </c>
      <c r="AB13" s="4">
        <f>'2025.12'!$C$20</f>
        <v>12.22</v>
      </c>
      <c r="AC13" s="6">
        <f>'2025.12'!$D$20</f>
        <v>0.54909983633387882</v>
      </c>
    </row>
    <row r="14" spans="1:29" x14ac:dyDescent="0.25">
      <c r="A14" s="38" t="str">
        <f>'2026.01'!$N$2</f>
        <v>2026.01</v>
      </c>
      <c r="B14" s="4">
        <f>'2026.01'!$B$20-'2026.01'!$G$20</f>
        <v>6.63</v>
      </c>
      <c r="C14" s="4">
        <f t="shared" si="3"/>
        <v>95.949999999999989</v>
      </c>
      <c r="D14" s="6">
        <f>'2026.01'!$D$20-'2026.01'!$I$20</f>
        <v>0.54122448979591831</v>
      </c>
      <c r="E14" s="6">
        <f t="shared" si="4"/>
        <v>9.0287630791259215</v>
      </c>
      <c r="F14" s="6">
        <v>12.08</v>
      </c>
      <c r="G14" s="4">
        <f t="shared" si="0"/>
        <v>109.06745799584114</v>
      </c>
      <c r="H14" s="4">
        <f t="shared" si="1"/>
        <v>13.11745799584115</v>
      </c>
      <c r="I14" s="11">
        <f t="shared" si="2"/>
        <v>0.13671139130631738</v>
      </c>
      <c r="J14" s="4">
        <f>'2026.01'!$L$20</f>
        <v>0</v>
      </c>
      <c r="AA14" s="4">
        <f>'2026.01'!$B$20</f>
        <v>6.63</v>
      </c>
      <c r="AB14" s="4">
        <f>'2026.01'!$C$20</f>
        <v>12.25</v>
      </c>
      <c r="AC14" s="6">
        <f>'2026.01'!$D$20</f>
        <v>0.54122448979591831</v>
      </c>
    </row>
    <row r="15" spans="1:29" x14ac:dyDescent="0.25">
      <c r="A15" s="38" t="str">
        <f>'2026.02'!$N$2</f>
        <v>2026.02</v>
      </c>
      <c r="B15" s="4">
        <f>'2026.02'!$B$20-'2026.02'!$G$20</f>
        <v>6.55</v>
      </c>
      <c r="C15" s="4">
        <f t="shared" si="3"/>
        <v>102.49999999999999</v>
      </c>
      <c r="D15" s="6">
        <f>'2026.02'!$D$20-'2026.02'!$I$20</f>
        <v>0.53478118876551273</v>
      </c>
      <c r="E15" s="6">
        <f t="shared" si="4"/>
        <v>9.5635442678914337</v>
      </c>
      <c r="F15" s="6">
        <v>12.032</v>
      </c>
      <c r="G15" s="4">
        <f t="shared" si="0"/>
        <v>115.06856463126974</v>
      </c>
      <c r="H15" s="4">
        <f t="shared" si="1"/>
        <v>12.568564631269751</v>
      </c>
      <c r="I15" s="11">
        <f t="shared" si="2"/>
        <v>0.12262014274409515</v>
      </c>
      <c r="J15" s="4">
        <f>'2026.02'!$L$20</f>
        <v>0</v>
      </c>
      <c r="AA15" s="4">
        <f>'2026.02'!$B$20</f>
        <v>6.55</v>
      </c>
      <c r="AB15" s="4">
        <f>'2026.02'!$C$20</f>
        <v>12.247999999999999</v>
      </c>
      <c r="AC15" s="6">
        <f>'2026.02'!$D$20</f>
        <v>0.53478118876551273</v>
      </c>
    </row>
    <row r="16" spans="1:29" x14ac:dyDescent="0.25">
      <c r="A16" s="38" t="str">
        <f>'2026.03'!$N$2</f>
        <v>2026.03</v>
      </c>
      <c r="B16" s="4">
        <f>'2026.03'!$B$20-'2026.03'!$G$20</f>
        <v>6.44</v>
      </c>
      <c r="C16" s="4">
        <f t="shared" si="3"/>
        <v>108.93999999999998</v>
      </c>
      <c r="D16" s="6">
        <f>'2026.03'!$D$20-'2026.03'!$I$20</f>
        <v>0.53918285331547222</v>
      </c>
      <c r="E16" s="6">
        <f t="shared" si="4"/>
        <v>10.102727121206906</v>
      </c>
      <c r="F16" s="6">
        <v>11.44</v>
      </c>
      <c r="G16" s="4">
        <f t="shared" si="0"/>
        <v>115.57519826660699</v>
      </c>
      <c r="H16" s="4">
        <f t="shared" si="1"/>
        <v>6.6351982666070057</v>
      </c>
      <c r="I16" s="11">
        <f t="shared" si="2"/>
        <v>6.0906905329603515E-2</v>
      </c>
      <c r="J16" s="4">
        <f>'2026.03'!$L$20</f>
        <v>0</v>
      </c>
      <c r="AA16" s="4">
        <f>'2026.03'!$B$20</f>
        <v>6.44</v>
      </c>
      <c r="AB16" s="4">
        <f>'2026.03'!$C$20</f>
        <v>11.944000000000001</v>
      </c>
      <c r="AC16" s="6">
        <f>'2026.03'!$D$20</f>
        <v>0.53918285331547222</v>
      </c>
    </row>
    <row r="17" spans="1:29" x14ac:dyDescent="0.25">
      <c r="A17" s="38" t="str">
        <f>'2026.04'!$N$2</f>
        <v>2026.04</v>
      </c>
      <c r="B17" s="4">
        <f>'2026.04'!$B$20-'2026.04'!$G$20</f>
        <v>6.52</v>
      </c>
      <c r="C17" s="4">
        <f t="shared" si="3"/>
        <v>115.45999999999998</v>
      </c>
      <c r="D17" s="6">
        <f>'2026.04'!$D$20-'2026.04'!$I$20</f>
        <v>0.55631399317406138</v>
      </c>
      <c r="E17" s="6">
        <f t="shared" si="4"/>
        <v>10.659041114380967</v>
      </c>
      <c r="F17" s="6">
        <v>12.625999999999999</v>
      </c>
      <c r="G17" s="4">
        <f t="shared" si="0"/>
        <v>134.58105311017408</v>
      </c>
      <c r="H17" s="4">
        <f t="shared" si="1"/>
        <v>19.121053110174103</v>
      </c>
      <c r="I17" s="11">
        <f t="shared" si="2"/>
        <v>0.16560759665835878</v>
      </c>
      <c r="J17" s="4">
        <f>'2026.04'!$L$20</f>
        <v>0</v>
      </c>
      <c r="AA17" s="4">
        <f>'2026.04'!$B$20</f>
        <v>6.52</v>
      </c>
      <c r="AB17" s="4">
        <f>'2026.04'!$C$20</f>
        <v>11.72</v>
      </c>
      <c r="AC17" s="6">
        <f>'2026.04'!$D$20</f>
        <v>0.55631399317406138</v>
      </c>
    </row>
    <row r="18" spans="1:29" x14ac:dyDescent="0.25">
      <c r="A18" s="38" t="str">
        <f>'2026.05'!$N$2</f>
        <v>2026.05</v>
      </c>
      <c r="B18" s="4">
        <f>'2026.05'!$B$19-'2026.05'!$G$19</f>
        <v>6.56</v>
      </c>
      <c r="C18" s="4">
        <f t="shared" ref="C18" si="5">C17+B18</f>
        <v>122.01999999999998</v>
      </c>
      <c r="D18" s="6">
        <f>'2026.05'!$D$19-'2026.05'!$I$19</f>
        <v>0.51189212809788365</v>
      </c>
      <c r="E18" s="6">
        <f t="shared" ref="E18" si="6">E17+D18</f>
        <v>11.170933242478851</v>
      </c>
      <c r="F18" s="6">
        <v>13.523999999999999</v>
      </c>
      <c r="G18" s="4">
        <f t="shared" ref="G18" si="7">E18*F18</f>
        <v>151.07570117128398</v>
      </c>
      <c r="H18" s="4">
        <f t="shared" ref="H18" si="8">G18-C18</f>
        <v>29.055701171283999</v>
      </c>
      <c r="I18" s="11">
        <f t="shared" ref="I18" si="9">(G18-C18)/C18</f>
        <v>0.23812244854355027</v>
      </c>
      <c r="J18" s="4">
        <f>'2026.05'!$L$19</f>
        <v>0</v>
      </c>
      <c r="AA18" s="4">
        <f>'2026.05'!$B$19</f>
        <v>6.56</v>
      </c>
      <c r="AB18" s="4">
        <f>'2026.05'!$C$19</f>
        <v>12.815200000000001</v>
      </c>
      <c r="AC18" s="6">
        <f>'2026.05'!$D$19</f>
        <v>0.51189212809788365</v>
      </c>
    </row>
    <row r="19" spans="1:29" x14ac:dyDescent="0.25">
      <c r="A19" s="38" t="str">
        <f>'2026.06'!$N$2</f>
        <v>2026.06</v>
      </c>
      <c r="B19" s="4">
        <f>'2026.06'!$B$19-'2026.06'!$G$19</f>
        <v>6.6</v>
      </c>
      <c r="C19" s="4">
        <f t="shared" ref="C19" si="10">C18+B19</f>
        <v>128.61999999999998</v>
      </c>
      <c r="D19" s="6">
        <f>'2026.06'!$D$19-'2026.06'!$I$19</f>
        <v>0.48521919409502939</v>
      </c>
      <c r="E19" s="6">
        <f t="shared" ref="E19" si="11">E18+D19</f>
        <v>11.65615243657388</v>
      </c>
      <c r="F19" s="6">
        <v>13.646000000000001</v>
      </c>
      <c r="G19" s="4">
        <f t="shared" ref="G19" si="12">E19*F19</f>
        <v>159.05985614948716</v>
      </c>
      <c r="H19" s="4">
        <f t="shared" ref="H19" si="13">G19-C19</f>
        <v>30.439856149487184</v>
      </c>
      <c r="I19" s="11">
        <f t="shared" ref="I19" si="14">(G19-C19)/C19</f>
        <v>0.23666502992914934</v>
      </c>
      <c r="J19" s="4">
        <f>'2026.06'!$L$19</f>
        <v>0</v>
      </c>
      <c r="AA19" s="4">
        <f>'2026.06'!$B$19</f>
        <v>6.6</v>
      </c>
      <c r="AB19" s="4">
        <f>'2026.06'!$C$19</f>
        <v>13.6021</v>
      </c>
      <c r="AC19" s="6">
        <f>'2026.06'!$D$19</f>
        <v>0.48521919409502939</v>
      </c>
    </row>
    <row r="20" spans="1:29" x14ac:dyDescent="0.25">
      <c r="A20" s="49" t="str">
        <f>'2026.07'!$N$2</f>
        <v>2026.07</v>
      </c>
      <c r="B20" s="50">
        <f>'2026.07'!$B$19</f>
        <v>6.54</v>
      </c>
      <c r="C20" s="50">
        <f t="shared" ref="C20" si="15">C19+B20</f>
        <v>135.15999999999997</v>
      </c>
      <c r="D20" s="51">
        <f>'2026.07'!$D$19</f>
        <v>0.47619047619047622</v>
      </c>
      <c r="E20" s="51">
        <f t="shared" ref="E20" si="16">E19+D20</f>
        <v>12.132342912764356</v>
      </c>
      <c r="F20" s="51">
        <v>13.708</v>
      </c>
      <c r="G20" s="50">
        <f t="shared" ref="G20" si="17">E20*F20</f>
        <v>166.3101566481738</v>
      </c>
      <c r="H20" s="50">
        <f t="shared" ref="H20" si="18">G20-C20</f>
        <v>31.150156648173834</v>
      </c>
      <c r="I20" s="52">
        <f t="shared" ref="I20" si="19">(G20-C20)/C20</f>
        <v>0.23046875294594438</v>
      </c>
      <c r="J20" s="50">
        <f>'2026.07'!$L$19</f>
        <v>0</v>
      </c>
      <c r="AA20" s="5"/>
      <c r="AB20" s="5"/>
      <c r="AC20" s="5"/>
    </row>
    <row r="21" spans="1:29" x14ac:dyDescent="0.25">
      <c r="A21" s="5"/>
      <c r="B21" s="4"/>
      <c r="C21" s="4"/>
      <c r="D21" s="10"/>
      <c r="E21" s="10"/>
      <c r="F21" s="4"/>
      <c r="G21" s="4"/>
      <c r="H21" s="4"/>
      <c r="I21" s="11"/>
      <c r="J21" s="4"/>
      <c r="AA21" s="5"/>
      <c r="AB21" s="5"/>
      <c r="AC21" s="5"/>
    </row>
    <row r="22" spans="1:29" x14ac:dyDescent="0.25">
      <c r="A22" s="5"/>
      <c r="B22" s="4"/>
      <c r="C22" s="4"/>
      <c r="D22" s="10"/>
      <c r="E22" s="10"/>
      <c r="F22" s="4"/>
      <c r="G22" s="4"/>
      <c r="H22" s="4"/>
      <c r="I22" s="11"/>
      <c r="J22" s="4"/>
    </row>
    <row r="23" spans="1:29" x14ac:dyDescent="0.25">
      <c r="A23" s="5"/>
      <c r="B23" s="4"/>
      <c r="C23" s="4"/>
      <c r="D23" s="10"/>
      <c r="E23" s="10"/>
      <c r="F23" s="4"/>
      <c r="G23" s="4"/>
      <c r="H23" s="4"/>
      <c r="I23" s="11"/>
      <c r="J23" s="4"/>
    </row>
    <row r="24" spans="1:29" x14ac:dyDescent="0.25">
      <c r="A24" s="5"/>
      <c r="B24" s="4"/>
      <c r="C24" s="4"/>
      <c r="D24" s="10"/>
      <c r="E24" s="10"/>
      <c r="F24" s="4"/>
      <c r="G24" s="4"/>
      <c r="H24" s="4"/>
      <c r="I24" s="11"/>
      <c r="J24" s="4"/>
    </row>
    <row r="25" spans="1:29" x14ac:dyDescent="0.25">
      <c r="A25" s="5"/>
      <c r="B25" s="4"/>
      <c r="C25" s="4"/>
      <c r="D25" s="10"/>
      <c r="E25" s="10"/>
      <c r="F25" s="4"/>
      <c r="G25" s="4"/>
      <c r="H25" s="4"/>
      <c r="I25" s="11"/>
      <c r="J25" s="4"/>
    </row>
    <row r="26" spans="1:29" x14ac:dyDescent="0.25">
      <c r="A26" s="5"/>
      <c r="B26" s="4"/>
      <c r="C26" s="4"/>
      <c r="D26" s="10"/>
      <c r="E26" s="10"/>
      <c r="F26" s="4"/>
      <c r="G26" s="4"/>
      <c r="H26" s="4"/>
      <c r="I26" s="11"/>
      <c r="J26" s="4"/>
    </row>
    <row r="27" spans="1:29" x14ac:dyDescent="0.25">
      <c r="A27" s="5"/>
      <c r="B27" s="4"/>
      <c r="C27" s="4"/>
      <c r="D27" s="10"/>
      <c r="E27" s="10"/>
      <c r="F27" s="4"/>
      <c r="G27" s="4"/>
      <c r="H27" s="4"/>
      <c r="I27" s="11"/>
      <c r="J27" s="4"/>
    </row>
    <row r="28" spans="1:29" x14ac:dyDescent="0.25">
      <c r="A28" s="5"/>
      <c r="B28" s="4"/>
      <c r="C28" s="4"/>
      <c r="D28" s="10"/>
      <c r="E28" s="10"/>
      <c r="F28" s="4"/>
      <c r="G28" s="4"/>
      <c r="H28" s="4"/>
      <c r="I28" s="11"/>
      <c r="J28" s="4"/>
    </row>
    <row r="29" spans="1:29" x14ac:dyDescent="0.25">
      <c r="A29" s="5"/>
      <c r="B29" s="4"/>
      <c r="C29" s="4"/>
      <c r="D29" s="10"/>
      <c r="E29" s="10"/>
      <c r="F29" s="4"/>
      <c r="G29" s="4"/>
      <c r="H29" s="4"/>
      <c r="I29" s="11"/>
      <c r="J29" s="4"/>
    </row>
    <row r="30" spans="1:29" x14ac:dyDescent="0.25">
      <c r="A30" s="5"/>
      <c r="B30" s="4"/>
      <c r="C30" s="4"/>
      <c r="D30" s="10"/>
      <c r="E30" s="10"/>
      <c r="F30" s="4"/>
      <c r="G30" s="4"/>
      <c r="H30" s="4"/>
      <c r="I30" s="11"/>
      <c r="J30" s="4"/>
    </row>
    <row r="31" spans="1:29" x14ac:dyDescent="0.25">
      <c r="A31" s="5"/>
      <c r="B31" s="4"/>
      <c r="C31" s="4"/>
      <c r="D31" s="10"/>
      <c r="E31" s="10"/>
      <c r="F31" s="4"/>
      <c r="G31" s="4"/>
      <c r="H31" s="4"/>
      <c r="I31" s="11"/>
      <c r="J31" s="4"/>
    </row>
  </sheetData>
  <mergeCells count="16">
    <mergeCell ref="AC3:AC4"/>
    <mergeCell ref="A3:A4"/>
    <mergeCell ref="B3:C3"/>
    <mergeCell ref="D3:E3"/>
    <mergeCell ref="F3:I3"/>
    <mergeCell ref="J3:J4"/>
    <mergeCell ref="Q3:Q4"/>
    <mergeCell ref="R3:R4"/>
    <mergeCell ref="S3:S4"/>
    <mergeCell ref="AA3:AA4"/>
    <mergeCell ref="AB3:AB4"/>
    <mergeCell ref="L3:L4"/>
    <mergeCell ref="M3:M4"/>
    <mergeCell ref="N3:N4"/>
    <mergeCell ref="O3:O4"/>
    <mergeCell ref="P3:P4"/>
  </mergeCells>
  <hyperlinks>
    <hyperlink ref="A5" location="'2025.04'!A1" display="'2025.04'!A1" xr:uid="{527F58C8-5EA8-427F-BCD9-16958CA50AAD}"/>
    <hyperlink ref="A6" location="'2025.05'!A1" display="'2025.05'!A1" xr:uid="{59FF5ED5-90E3-4174-85EA-B891BDD0752B}"/>
    <hyperlink ref="A7" location="'2025.06'!A1" display="'2025.06'!A1" xr:uid="{11B2222A-E188-4813-9FE4-AD464F108BE7}"/>
    <hyperlink ref="A8" location="'2025.07'!A1" display="'2025.07'!A1" xr:uid="{D1BEEBA7-BBE6-45EE-A778-F4D1382A5432}"/>
    <hyperlink ref="A9" location="'2025.08'!A1" display="'2025.08'!A1" xr:uid="{AFEED8EB-3E57-4110-894B-C52D2CD332DF}"/>
    <hyperlink ref="A10" location="'2025.09'!A1" display="'2025.09'!A1" xr:uid="{E5774082-8A43-4494-BEE5-21AC45921341}"/>
    <hyperlink ref="A11" location="'2025.10'!A1" display="'2025.10'!A1" xr:uid="{ECAE4503-AC10-4ACF-A1D7-0D7C817C104A}"/>
    <hyperlink ref="A12" location="'2025.11'!A1" display="'2025.11'!A1" xr:uid="{15FE715F-AC25-4702-8F24-10EECCF50181}"/>
    <hyperlink ref="A13" location="'2025.12'!A1" display="'2025.12'!A1" xr:uid="{E34D4AA4-070F-4B7A-B8C2-BA44AA3E681B}"/>
    <hyperlink ref="A14" location="'2026.01'!A1" display="'2026.01'!A1" xr:uid="{AC6F3774-A2AB-4E45-A231-11D768279DFD}"/>
    <hyperlink ref="A15" location="'2026.02'!A1" display="'2026.02'!A1" xr:uid="{DBB41BEC-F0A2-46FE-BE05-364CDBD5880D}"/>
    <hyperlink ref="A16" location="'2026.03'!A1" display="'2026.03'!A1" xr:uid="{28F9D2A3-98D7-49DF-9A05-9130E35711E6}"/>
    <hyperlink ref="A17" location="'2026.04'!A1" display="'2026.04'!A1" xr:uid="{C5D7ABDB-DB6D-42E5-ADDE-14226EDA9D33}"/>
    <hyperlink ref="A18" location="'2026.05'!A1" display="'2026.05'!A1" xr:uid="{FDE4DC1D-4663-4446-A284-F69046525ADB}"/>
    <hyperlink ref="A19" location="'2026.06'!A1" display="'2026.06'!A1" xr:uid="{9DECBA37-C255-47B0-B988-7AC81A1CE6E8}"/>
    <hyperlink ref="A20" location="'2026.07'!A1" display="'2026.07'!A1" xr:uid="{FD610D59-5BCC-4C43-A278-ED7E261F8AC9}"/>
  </hyperlinks>
  <pageMargins left="0.7" right="0.7" top="0.75" bottom="0.75" header="0.3" footer="0.3"/>
  <pageSetup orientation="portrait" r:id="rId1"/>
  <ignoredErrors>
    <ignoredError sqref="D5:D2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C981-E2F7-411C-A824-E40C468B4CF5}">
  <dimension ref="A1:AC31"/>
  <sheetViews>
    <sheetView workbookViewId="0">
      <pane ySplit="13" topLeftCell="A14" activePane="bottomLeft" state="frozen"/>
      <selection activeCell="J36" sqref="J36"/>
      <selection pane="bottomLeft" activeCell="P5" sqref="P5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9" width="10.7109375" customWidth="1"/>
    <col min="27" max="29" width="10.7109375" customWidth="1"/>
  </cols>
  <sheetData>
    <row r="1" spans="1:29" x14ac:dyDescent="0.25">
      <c r="A1" s="9" t="s">
        <v>38</v>
      </c>
    </row>
    <row r="3" spans="1:29" x14ac:dyDescent="0.25">
      <c r="A3" s="74" t="s">
        <v>17</v>
      </c>
      <c r="B3" s="58" t="s">
        <v>3</v>
      </c>
      <c r="C3" s="77"/>
      <c r="D3" s="58" t="s">
        <v>1</v>
      </c>
      <c r="E3" s="60"/>
      <c r="F3" s="58" t="s">
        <v>18</v>
      </c>
      <c r="G3" s="59"/>
      <c r="H3" s="59"/>
      <c r="I3" s="60"/>
      <c r="J3" s="74" t="s">
        <v>13</v>
      </c>
      <c r="L3" s="74" t="s">
        <v>44</v>
      </c>
      <c r="M3" s="74" t="s">
        <v>19</v>
      </c>
      <c r="N3" s="74" t="s">
        <v>1</v>
      </c>
      <c r="O3" s="74" t="s">
        <v>34</v>
      </c>
      <c r="P3" s="74" t="s">
        <v>9</v>
      </c>
      <c r="Q3" s="74" t="s">
        <v>4</v>
      </c>
      <c r="R3" s="74" t="s">
        <v>13</v>
      </c>
      <c r="S3" s="74" t="s">
        <v>49</v>
      </c>
      <c r="AA3" s="76" t="s">
        <v>48</v>
      </c>
      <c r="AB3" s="76" t="s">
        <v>0</v>
      </c>
      <c r="AC3" s="76" t="s">
        <v>1</v>
      </c>
    </row>
    <row r="4" spans="1:29" x14ac:dyDescent="0.25">
      <c r="A4" s="75"/>
      <c r="B4" s="3" t="s">
        <v>19</v>
      </c>
      <c r="C4" s="3" t="s">
        <v>15</v>
      </c>
      <c r="D4" s="3" t="s">
        <v>20</v>
      </c>
      <c r="E4" s="3" t="s">
        <v>15</v>
      </c>
      <c r="F4" s="3" t="s">
        <v>0</v>
      </c>
      <c r="G4" s="3" t="s">
        <v>16</v>
      </c>
      <c r="H4" s="3" t="s">
        <v>9</v>
      </c>
      <c r="I4" s="3" t="s">
        <v>4</v>
      </c>
      <c r="J4" s="75"/>
      <c r="L4" s="75"/>
      <c r="M4" s="75"/>
      <c r="N4" s="75"/>
      <c r="O4" s="75"/>
      <c r="P4" s="75"/>
      <c r="Q4" s="75"/>
      <c r="R4" s="75"/>
      <c r="S4" s="75"/>
      <c r="AA4" s="76"/>
      <c r="AB4" s="76"/>
      <c r="AC4" s="76"/>
    </row>
    <row r="5" spans="1:29" x14ac:dyDescent="0.25">
      <c r="A5" s="38" t="str">
        <f>'2025.04'!$N$2</f>
        <v>2025.04</v>
      </c>
      <c r="B5" s="4">
        <f>'2025.04'!$B$30-'2025.04'!$G$30</f>
        <v>18.71</v>
      </c>
      <c r="C5" s="4">
        <f>B5</f>
        <v>18.71</v>
      </c>
      <c r="D5" s="6">
        <f>'2025.04'!$D$30-'2025.04'!$I$30</f>
        <v>2.3573666923235201</v>
      </c>
      <c r="E5" s="6">
        <f>D5</f>
        <v>2.3573666923235201</v>
      </c>
      <c r="F5" s="6">
        <v>8.7409999999999997</v>
      </c>
      <c r="G5" s="4">
        <f t="shared" ref="G5:G17" si="0">E5*F5</f>
        <v>20.605742257599889</v>
      </c>
      <c r="H5" s="4">
        <f t="shared" ref="H5:H17" si="1">G5-C5</f>
        <v>1.8957422575998883</v>
      </c>
      <c r="I5" s="11">
        <f t="shared" ref="I5:I17" si="2">(G5-C5)/C5</f>
        <v>0.10132240820950765</v>
      </c>
      <c r="J5" s="4">
        <f>'2025.04'!$L$30</f>
        <v>0</v>
      </c>
      <c r="L5" s="3" t="s">
        <v>2</v>
      </c>
      <c r="M5" s="4">
        <f>SUM(B5:B200)</f>
        <v>68.88</v>
      </c>
      <c r="N5" s="6">
        <f>SUM(D5:D200)</f>
        <v>7.5107863773697314</v>
      </c>
      <c r="O5" s="4">
        <v>81.650000000000006</v>
      </c>
      <c r="P5" s="4">
        <f>IF(O5&gt;0,O5-M5,"")</f>
        <v>12.77000000000001</v>
      </c>
      <c r="Q5" s="11">
        <f>IF(O5&gt;0,(O5-M5)/M5,"")</f>
        <v>0.18539488966318252</v>
      </c>
      <c r="R5" s="4">
        <f>SUM(J5:J200)</f>
        <v>0</v>
      </c>
      <c r="S5" s="4" cm="1">
        <f t="array" ref="S5">SUMPRODUCT(IFERROR(AB5:AB200,0),IFERROR(AC5:AC200,0))/SUM(IFERROR(AC5:AC200,0))</f>
        <v>9.0923552361640283</v>
      </c>
      <c r="AA5" s="4">
        <f>'2025.04'!$B$30</f>
        <v>18.71</v>
      </c>
      <c r="AB5" s="4">
        <f>'2025.04'!$C$30</f>
        <v>7.9368220739382025</v>
      </c>
      <c r="AC5" s="6">
        <f>'2025.04'!$D$30</f>
        <v>2.3573666923235201</v>
      </c>
    </row>
    <row r="6" spans="1:29" x14ac:dyDescent="0.25">
      <c r="A6" s="38" t="str">
        <f>'2025.05'!$N$2</f>
        <v>2025.05</v>
      </c>
      <c r="B6" s="4">
        <f>'2025.05'!$B$30-'2025.05'!$G$30</f>
        <v>7.89</v>
      </c>
      <c r="C6" s="4">
        <f t="shared" ref="C6:C17" si="3">C5+B6</f>
        <v>26.6</v>
      </c>
      <c r="D6" s="6">
        <f>'2025.05'!$D$30-'2025.05'!$I$30</f>
        <v>0.8636663374229776</v>
      </c>
      <c r="E6" s="6">
        <f t="shared" ref="E6:E17" si="4">E5+D6</f>
        <v>3.221033029746498</v>
      </c>
      <c r="F6" s="6">
        <v>9.1310000000000002</v>
      </c>
      <c r="G6" s="4">
        <f t="shared" si="0"/>
        <v>29.411252594615274</v>
      </c>
      <c r="H6" s="4">
        <f t="shared" si="1"/>
        <v>2.8112525946152722</v>
      </c>
      <c r="I6" s="11">
        <f t="shared" si="2"/>
        <v>0.10568618776749143</v>
      </c>
      <c r="J6" s="4">
        <f>'2025.05'!$L$30</f>
        <v>0</v>
      </c>
      <c r="AA6" s="4">
        <f>'2025.05'!$B$30</f>
        <v>7.89</v>
      </c>
      <c r="AB6" s="4">
        <f>'2025.05'!$C$30</f>
        <v>9.1354724135044041</v>
      </c>
      <c r="AC6" s="6">
        <f>'2025.05'!$D$30</f>
        <v>0.8636663374229776</v>
      </c>
    </row>
    <row r="7" spans="1:29" x14ac:dyDescent="0.25">
      <c r="A7" s="38" t="str">
        <f>'2025.06'!$N$2</f>
        <v>2025.06</v>
      </c>
      <c r="B7" s="4">
        <f>'2025.06'!$B$30-'2025.06'!$G$30</f>
        <v>1.76</v>
      </c>
      <c r="C7" s="4">
        <f t="shared" si="3"/>
        <v>28.360000000000003</v>
      </c>
      <c r="D7" s="6">
        <f>'2025.06'!$D$30-'2025.06'!$I$30</f>
        <v>0.19317308747667652</v>
      </c>
      <c r="E7" s="6">
        <f t="shared" si="4"/>
        <v>3.4142061172231744</v>
      </c>
      <c r="F7" s="6">
        <v>9.032</v>
      </c>
      <c r="G7" s="4">
        <f t="shared" si="0"/>
        <v>30.837109650759711</v>
      </c>
      <c r="H7" s="4">
        <f t="shared" si="1"/>
        <v>2.4771096507597079</v>
      </c>
      <c r="I7" s="11">
        <f t="shared" si="2"/>
        <v>8.7345192198861346E-2</v>
      </c>
      <c r="J7" s="4">
        <f>'2025.06'!$L$30</f>
        <v>0</v>
      </c>
      <c r="AA7" s="4">
        <f>'2025.06'!$B$30</f>
        <v>1.76</v>
      </c>
      <c r="AB7" s="4">
        <f>'2025.06'!$C$30</f>
        <v>9.1110000000000007</v>
      </c>
      <c r="AC7" s="6">
        <f>'2025.06'!$D$30</f>
        <v>0.19317308747667652</v>
      </c>
    </row>
    <row r="8" spans="1:29" x14ac:dyDescent="0.25">
      <c r="A8" s="38" t="str">
        <f>'2025.07'!$N$2</f>
        <v>2025.07</v>
      </c>
      <c r="B8" s="4">
        <f>'2025.07'!$B$30-'2025.07'!$G$30</f>
        <v>2.54</v>
      </c>
      <c r="C8" s="4">
        <f t="shared" si="3"/>
        <v>30.900000000000002</v>
      </c>
      <c r="D8" s="6">
        <f>'2025.07'!$D$30-'2025.07'!$I$30</f>
        <v>0.28086470945983305</v>
      </c>
      <c r="E8" s="6">
        <f t="shared" si="4"/>
        <v>3.6950708266830072</v>
      </c>
      <c r="F8" s="6">
        <v>9.1189999999999998</v>
      </c>
      <c r="G8" s="4">
        <f t="shared" si="0"/>
        <v>33.69535086852234</v>
      </c>
      <c r="H8" s="4">
        <f t="shared" si="1"/>
        <v>2.7953508685223376</v>
      </c>
      <c r="I8" s="11">
        <f t="shared" si="2"/>
        <v>9.0464429402017391E-2</v>
      </c>
      <c r="J8" s="4">
        <f>'2025.07'!$L$30</f>
        <v>0</v>
      </c>
      <c r="AA8" s="4">
        <f>'2025.07'!$B$30</f>
        <v>2.54</v>
      </c>
      <c r="AB8" s="4">
        <f>'2025.07'!$C$30</f>
        <v>9.0434999999999999</v>
      </c>
      <c r="AC8" s="6">
        <f>'2025.07'!$D$30</f>
        <v>0.28086470945983305</v>
      </c>
    </row>
    <row r="9" spans="1:29" x14ac:dyDescent="0.25">
      <c r="A9" s="38" t="str">
        <f>'2025.08'!$N$2</f>
        <v>2025.08</v>
      </c>
      <c r="B9" s="4">
        <f>'2025.08'!$B$30-'2025.08'!$G$30</f>
        <v>2.48</v>
      </c>
      <c r="C9" s="4">
        <f t="shared" si="3"/>
        <v>33.380000000000003</v>
      </c>
      <c r="D9" s="6">
        <f>'2025.08'!$D$30-'2025.08'!$I$30</f>
        <v>0.27472527472527469</v>
      </c>
      <c r="E9" s="6">
        <f t="shared" si="4"/>
        <v>3.9697961014082819</v>
      </c>
      <c r="F9" s="6">
        <v>9.202</v>
      </c>
      <c r="G9" s="4">
        <f t="shared" si="0"/>
        <v>36.53006372515901</v>
      </c>
      <c r="H9" s="4">
        <f t="shared" si="1"/>
        <v>3.1500637251590078</v>
      </c>
      <c r="I9" s="11">
        <f t="shared" si="2"/>
        <v>9.436979404310987E-2</v>
      </c>
      <c r="J9" s="4">
        <f>'2025.08'!$L$30</f>
        <v>0</v>
      </c>
      <c r="AA9" s="4">
        <f>'2025.08'!$B$30</f>
        <v>2.48</v>
      </c>
      <c r="AB9" s="4">
        <f>'2025.08'!$C$30</f>
        <v>9.0272000000000006</v>
      </c>
      <c r="AC9" s="6">
        <f>'2025.08'!$D$30</f>
        <v>0.27472527472527469</v>
      </c>
    </row>
    <row r="10" spans="1:29" x14ac:dyDescent="0.25">
      <c r="A10" s="38" t="str">
        <f>'2025.09'!$N$2</f>
        <v>2025.09</v>
      </c>
      <c r="B10" s="4">
        <f>'2025.09'!$B$30-'2025.09'!$G$30</f>
        <v>2.48</v>
      </c>
      <c r="C10" s="4">
        <f t="shared" si="3"/>
        <v>35.86</v>
      </c>
      <c r="D10" s="6">
        <f>'2025.09'!$D$30-'2025.09'!$I$30</f>
        <v>0.27077191833169556</v>
      </c>
      <c r="E10" s="6">
        <f t="shared" si="4"/>
        <v>4.2405680197399773</v>
      </c>
      <c r="F10" s="6">
        <v>9.3339999999999996</v>
      </c>
      <c r="G10" s="4">
        <f t="shared" si="0"/>
        <v>39.581461896252947</v>
      </c>
      <c r="H10" s="4">
        <f t="shared" si="1"/>
        <v>3.7214618962529471</v>
      </c>
      <c r="I10" s="11">
        <f t="shared" si="2"/>
        <v>0.10377752081017699</v>
      </c>
      <c r="J10" s="4">
        <f>'2025.09'!$L$30</f>
        <v>0</v>
      </c>
      <c r="AA10" s="4">
        <f>'2025.09'!$B$30</f>
        <v>2.48</v>
      </c>
      <c r="AB10" s="4">
        <f>'2025.09'!$C$30</f>
        <v>9.1590000000000007</v>
      </c>
      <c r="AC10" s="6">
        <f>'2025.09'!$D$30</f>
        <v>0.27077191833169556</v>
      </c>
    </row>
    <row r="11" spans="1:29" x14ac:dyDescent="0.25">
      <c r="A11" s="38" t="str">
        <f>'2025.10'!$N$2</f>
        <v>2025.10</v>
      </c>
      <c r="B11" s="4">
        <f>'2025.10'!$B$30-'2025.10'!$G$30</f>
        <v>3.3</v>
      </c>
      <c r="C11" s="4">
        <f t="shared" si="3"/>
        <v>39.159999999999997</v>
      </c>
      <c r="D11" s="6">
        <f>'2025.10'!$D$30-'2025.10'!$I$30</f>
        <v>0.34544483874006848</v>
      </c>
      <c r="E11" s="6">
        <f t="shared" si="4"/>
        <v>4.5860128584800455</v>
      </c>
      <c r="F11" s="6">
        <v>9.6289999999999996</v>
      </c>
      <c r="G11" s="4">
        <f t="shared" si="0"/>
        <v>44.158717814304353</v>
      </c>
      <c r="H11" s="4">
        <f t="shared" si="1"/>
        <v>4.9987178143043565</v>
      </c>
      <c r="I11" s="11">
        <f t="shared" si="2"/>
        <v>0.12764856522738399</v>
      </c>
      <c r="J11" s="4">
        <f>'2025.10'!$L$30</f>
        <v>0</v>
      </c>
      <c r="AA11" s="4">
        <f>'2025.10'!$B$30</f>
        <v>3.3</v>
      </c>
      <c r="AB11" s="4">
        <f>'2025.10'!$C$30</f>
        <v>9.5528999999999993</v>
      </c>
      <c r="AC11" s="6">
        <f>'2025.10'!$D$30</f>
        <v>0.34544483874006848</v>
      </c>
    </row>
    <row r="12" spans="1:29" x14ac:dyDescent="0.25">
      <c r="A12" s="38" t="str">
        <f>'2025.11'!$N$2</f>
        <v>2025.11</v>
      </c>
      <c r="B12" s="4">
        <f>'2025.11'!$B$30-'2025.11'!$G$30</f>
        <v>3.2</v>
      </c>
      <c r="C12" s="4">
        <f t="shared" si="3"/>
        <v>42.36</v>
      </c>
      <c r="D12" s="6">
        <f>'2025.11'!$D$30-'2025.11'!$I$30</f>
        <v>0.33924898755380278</v>
      </c>
      <c r="E12" s="6">
        <f t="shared" si="4"/>
        <v>4.9252618460338482</v>
      </c>
      <c r="F12" s="6">
        <v>9.6530000000000005</v>
      </c>
      <c r="G12" s="4">
        <f t="shared" si="0"/>
        <v>47.543552599764737</v>
      </c>
      <c r="H12" s="4">
        <f t="shared" si="1"/>
        <v>5.183552599764738</v>
      </c>
      <c r="I12" s="11">
        <f t="shared" si="2"/>
        <v>0.12236904154307691</v>
      </c>
      <c r="J12" s="4">
        <f>'2025.11'!$L$30</f>
        <v>0</v>
      </c>
      <c r="AA12" s="4">
        <f>'2025.11'!$B$30</f>
        <v>3.2</v>
      </c>
      <c r="AB12" s="4">
        <f>'2025.11'!$C$30</f>
        <v>9.4326000000000008</v>
      </c>
      <c r="AC12" s="6">
        <f>'2025.11'!$D$30</f>
        <v>0.33924898755380278</v>
      </c>
    </row>
    <row r="13" spans="1:29" x14ac:dyDescent="0.25">
      <c r="A13" s="38" t="str">
        <f>'2025.12'!$N$2</f>
        <v>2025.12</v>
      </c>
      <c r="B13" s="4">
        <f>'2025.12'!$B$30-'2025.12'!$G$30</f>
        <v>3.28</v>
      </c>
      <c r="C13" s="4">
        <f t="shared" si="3"/>
        <v>45.64</v>
      </c>
      <c r="D13" s="6">
        <f>'2025.12'!$D$30-'2025.12'!$I$30</f>
        <v>0.33920741292297507</v>
      </c>
      <c r="E13" s="6">
        <f t="shared" si="4"/>
        <v>5.2644692589568232</v>
      </c>
      <c r="F13" s="6">
        <v>9.9269999999999996</v>
      </c>
      <c r="G13" s="4">
        <f t="shared" si="0"/>
        <v>52.260386333664378</v>
      </c>
      <c r="H13" s="4">
        <f t="shared" si="1"/>
        <v>6.6203863336643778</v>
      </c>
      <c r="I13" s="11">
        <f t="shared" si="2"/>
        <v>0.14505666813462703</v>
      </c>
      <c r="J13" s="4">
        <f>'2025.12'!$L$30</f>
        <v>0</v>
      </c>
      <c r="AA13" s="4">
        <f>'2025.12'!$B$30</f>
        <v>3.28</v>
      </c>
      <c r="AB13" s="4">
        <f>'2025.12'!$C$30</f>
        <v>9.6696000000000009</v>
      </c>
      <c r="AC13" s="6">
        <f>'2025.12'!$D$30</f>
        <v>0.33920741292297507</v>
      </c>
    </row>
    <row r="14" spans="1:29" x14ac:dyDescent="0.25">
      <c r="A14" s="38" t="str">
        <f>'2026.01'!$N$2</f>
        <v>2026.01</v>
      </c>
      <c r="B14" s="4">
        <f>'2026.01'!$B$30-'2026.01'!$G$30</f>
        <v>3.35</v>
      </c>
      <c r="C14" s="4">
        <f t="shared" si="3"/>
        <v>48.99</v>
      </c>
      <c r="D14" s="6">
        <f>'2026.01'!$D$30-'2026.01'!$I$30</f>
        <v>0.33135837149724529</v>
      </c>
      <c r="E14" s="6">
        <f t="shared" si="4"/>
        <v>5.5958276304540684</v>
      </c>
      <c r="F14" s="6">
        <v>10.24</v>
      </c>
      <c r="G14" s="4">
        <f t="shared" si="0"/>
        <v>57.301274935849662</v>
      </c>
      <c r="H14" s="4">
        <f t="shared" si="1"/>
        <v>8.31127493584966</v>
      </c>
      <c r="I14" s="11">
        <f t="shared" si="2"/>
        <v>0.16965247878852133</v>
      </c>
      <c r="J14" s="4">
        <f>'2026.01'!$L$30</f>
        <v>0</v>
      </c>
      <c r="AA14" s="4">
        <f>'2026.01'!$B$30</f>
        <v>3.35</v>
      </c>
      <c r="AB14" s="4">
        <f>'2026.01'!$C$30</f>
        <v>10.1099</v>
      </c>
      <c r="AC14" s="6">
        <f>'2026.01'!$D$30</f>
        <v>0.33135837149724529</v>
      </c>
    </row>
    <row r="15" spans="1:29" x14ac:dyDescent="0.25">
      <c r="A15" s="38" t="str">
        <f>'2026.02'!$N$2</f>
        <v>2026.02</v>
      </c>
      <c r="B15" s="4">
        <f>'2026.02'!$B$30-'2026.02'!$G$30</f>
        <v>3.4</v>
      </c>
      <c r="C15" s="4">
        <f t="shared" si="3"/>
        <v>52.39</v>
      </c>
      <c r="D15" s="6">
        <f>'2026.02'!$D$30-'2026.02'!$I$30</f>
        <v>0.327669785954531</v>
      </c>
      <c r="E15" s="6">
        <f t="shared" si="4"/>
        <v>5.9234974164085994</v>
      </c>
      <c r="F15" s="6">
        <v>10.58</v>
      </c>
      <c r="G15" s="4">
        <f t="shared" si="0"/>
        <v>62.670602665602985</v>
      </c>
      <c r="H15" s="4">
        <f t="shared" si="1"/>
        <v>10.280602665602984</v>
      </c>
      <c r="I15" s="11">
        <f t="shared" si="2"/>
        <v>0.1962321562436149</v>
      </c>
      <c r="J15" s="4">
        <f>'2026.02'!$L$30</f>
        <v>0</v>
      </c>
      <c r="AA15" s="4">
        <f>'2026.02'!$B$30</f>
        <v>3.4</v>
      </c>
      <c r="AB15" s="4">
        <f>'2026.02'!$C$30</f>
        <v>10.376300000000001</v>
      </c>
      <c r="AC15" s="6">
        <f>'2026.02'!$D$30</f>
        <v>0.327669785954531</v>
      </c>
    </row>
    <row r="16" spans="1:29" x14ac:dyDescent="0.25">
      <c r="A16" s="38" t="str">
        <f>'2026.03'!$N$2</f>
        <v>2026.03</v>
      </c>
      <c r="B16" s="4">
        <f>'2026.03'!$B$30-'2026.03'!$G$30</f>
        <v>3.42</v>
      </c>
      <c r="C16" s="4">
        <f t="shared" si="3"/>
        <v>55.81</v>
      </c>
      <c r="D16" s="6">
        <f>'2026.03'!$D$30-'2026.03'!$I$30</f>
        <v>0.33814514534308876</v>
      </c>
      <c r="E16" s="6">
        <f t="shared" si="4"/>
        <v>6.261642561751688</v>
      </c>
      <c r="F16" s="6">
        <v>9.7409999999999997</v>
      </c>
      <c r="G16" s="4">
        <f t="shared" si="0"/>
        <v>60.99466019402319</v>
      </c>
      <c r="H16" s="4">
        <f t="shared" si="1"/>
        <v>5.1846601940231878</v>
      </c>
      <c r="I16" s="11">
        <f t="shared" si="2"/>
        <v>9.2898408780204042E-2</v>
      </c>
      <c r="J16" s="4">
        <f>'2026.03'!$L$30</f>
        <v>0</v>
      </c>
      <c r="AA16" s="4">
        <f>'2026.03'!$B$30</f>
        <v>3.42</v>
      </c>
      <c r="AB16" s="4">
        <f>'2026.03'!$C$30</f>
        <v>10.114000000000001</v>
      </c>
      <c r="AC16" s="6">
        <f>'2026.03'!$D$30</f>
        <v>0.33814514534308876</v>
      </c>
    </row>
    <row r="17" spans="1:29" x14ac:dyDescent="0.25">
      <c r="A17" s="38" t="str">
        <f>'2026.04'!$N$2</f>
        <v>2026.04</v>
      </c>
      <c r="B17" s="4">
        <f>'2026.04'!$B$30-'2026.04'!$G$30</f>
        <v>3.43</v>
      </c>
      <c r="C17" s="4">
        <f t="shared" si="3"/>
        <v>59.24</v>
      </c>
      <c r="D17" s="6">
        <f>'2026.04'!$D$30-'2026.04'!$I$30</f>
        <v>0.34417017860726473</v>
      </c>
      <c r="E17" s="6">
        <f t="shared" si="4"/>
        <v>6.6058127403589531</v>
      </c>
      <c r="F17" s="6">
        <v>10.125999999999999</v>
      </c>
      <c r="G17" s="4">
        <f t="shared" si="0"/>
        <v>66.890459808874752</v>
      </c>
      <c r="H17" s="4">
        <f t="shared" si="1"/>
        <v>7.65045980887475</v>
      </c>
      <c r="I17" s="11">
        <f t="shared" si="2"/>
        <v>0.12914348090605587</v>
      </c>
      <c r="J17" s="4">
        <f>'2026.04'!$L$30</f>
        <v>0</v>
      </c>
      <c r="AA17" s="4">
        <f>'2026.04'!$B$30</f>
        <v>3.43</v>
      </c>
      <c r="AB17" s="4">
        <f>'2026.04'!$C$30</f>
        <v>9.9659999999999993</v>
      </c>
      <c r="AC17" s="6">
        <f>'2026.04'!$D$30</f>
        <v>0.34417017860726473</v>
      </c>
    </row>
    <row r="18" spans="1:29" x14ac:dyDescent="0.25">
      <c r="A18" s="38" t="str">
        <f>'2026.05'!$N$2</f>
        <v>2026.05</v>
      </c>
      <c r="B18" s="4">
        <f>'2026.05'!$B$29-'2026.05'!$G$29</f>
        <v>3.23</v>
      </c>
      <c r="C18" s="4">
        <f t="shared" ref="C18" si="5">C17+B18</f>
        <v>62.47</v>
      </c>
      <c r="D18" s="6">
        <f>'2026.05'!$D$29-'2026.05'!$I$29</f>
        <v>0.31608717351522209</v>
      </c>
      <c r="E18" s="6">
        <f t="shared" ref="E18" si="6">E17+D18</f>
        <v>6.9218999138741752</v>
      </c>
      <c r="F18" s="6">
        <v>10.64</v>
      </c>
      <c r="G18" s="4">
        <f t="shared" ref="G18" si="7">E18*F18</f>
        <v>73.649015083621222</v>
      </c>
      <c r="H18" s="4">
        <f t="shared" ref="H18" si="8">G18-C18</f>
        <v>11.179015083621223</v>
      </c>
      <c r="I18" s="11">
        <f t="shared" ref="I18" si="9">(G18-C18)/C18</f>
        <v>0.17895013740389346</v>
      </c>
      <c r="J18" s="4">
        <f>'2026.05'!$L$29</f>
        <v>0</v>
      </c>
      <c r="AA18" s="4">
        <f>'2026.05'!$B$29</f>
        <v>3.23</v>
      </c>
      <c r="AB18" s="4">
        <f>'2026.05'!$C$29</f>
        <v>10.2187</v>
      </c>
      <c r="AC18" s="6">
        <f>'2026.05'!$D$29</f>
        <v>0.31608717351522209</v>
      </c>
    </row>
    <row r="19" spans="1:29" x14ac:dyDescent="0.25">
      <c r="A19" s="38" t="str">
        <f>'2026.06'!$N$2</f>
        <v>2026.06</v>
      </c>
      <c r="B19" s="4">
        <f>'2026.06'!$B$29-'2026.06'!$G$29</f>
        <v>3.16</v>
      </c>
      <c r="C19" s="4">
        <f t="shared" ref="C19" si="10">C18+B19</f>
        <v>65.63</v>
      </c>
      <c r="D19" s="6">
        <f>'2026.06'!$D$29-'2026.06'!$I$29</f>
        <v>0.29625185157407236</v>
      </c>
      <c r="E19" s="6">
        <f t="shared" ref="E19" si="11">E18+D19</f>
        <v>7.2181517654482477</v>
      </c>
      <c r="F19" s="6">
        <v>10.981999999999999</v>
      </c>
      <c r="G19" s="4">
        <f t="shared" ref="G19" si="12">E19*F19</f>
        <v>79.269742688152647</v>
      </c>
      <c r="H19" s="4">
        <f t="shared" ref="H19" si="13">G19-C19</f>
        <v>13.639742688152651</v>
      </c>
      <c r="I19" s="11">
        <f t="shared" ref="I19" si="14">(G19-C19)/C19</f>
        <v>0.20782786360128985</v>
      </c>
      <c r="J19" s="4">
        <f>'2026.06'!$L$29</f>
        <v>0</v>
      </c>
      <c r="AA19" s="4">
        <f>'2026.06'!$B$29</f>
        <v>3.16</v>
      </c>
      <c r="AB19" s="4">
        <f>'2026.06'!$C$29</f>
        <v>10.666600000000001</v>
      </c>
      <c r="AC19" s="6">
        <f>'2026.06'!$D$29</f>
        <v>0.29625185157407236</v>
      </c>
    </row>
    <row r="20" spans="1:29" x14ac:dyDescent="0.25">
      <c r="A20" s="49" t="str">
        <f>'2026.07'!$N$2</f>
        <v>2026.07</v>
      </c>
      <c r="B20" s="50">
        <f>'2026.07'!$B$29</f>
        <v>3.25</v>
      </c>
      <c r="C20" s="50">
        <f t="shared" ref="C20" si="15">C19+B20</f>
        <v>68.88</v>
      </c>
      <c r="D20" s="51">
        <f>'2026.07'!$D$29</f>
        <v>0.29263461192148388</v>
      </c>
      <c r="E20" s="51">
        <f t="shared" ref="E20" si="16">E19+D20</f>
        <v>7.5107863773697314</v>
      </c>
      <c r="F20" s="51">
        <v>10.871600000000001</v>
      </c>
      <c r="G20" s="50">
        <f t="shared" ref="G20" si="17">E20*F20</f>
        <v>81.654265180212775</v>
      </c>
      <c r="H20" s="50">
        <f t="shared" ref="H20" si="18">G20-C20</f>
        <v>12.77426518021278</v>
      </c>
      <c r="I20" s="52">
        <f t="shared" ref="I20" si="19">(G20-C20)/C20</f>
        <v>0.18545681155941898</v>
      </c>
      <c r="J20" s="50">
        <f>'2026.07'!$L$29</f>
        <v>0</v>
      </c>
      <c r="AA20" s="5"/>
      <c r="AB20" s="5"/>
      <c r="AC20" s="5"/>
    </row>
    <row r="21" spans="1:29" x14ac:dyDescent="0.25">
      <c r="A21" s="5"/>
      <c r="B21" s="4"/>
      <c r="C21" s="4"/>
      <c r="D21" s="10"/>
      <c r="E21" s="10"/>
      <c r="F21" s="4"/>
      <c r="G21" s="4"/>
      <c r="H21" s="4"/>
      <c r="I21" s="11"/>
      <c r="J21" s="4"/>
      <c r="AA21" s="5"/>
      <c r="AB21" s="5"/>
      <c r="AC21" s="5"/>
    </row>
    <row r="22" spans="1:29" x14ac:dyDescent="0.25">
      <c r="A22" s="5"/>
      <c r="B22" s="4"/>
      <c r="C22" s="4"/>
      <c r="D22" s="10"/>
      <c r="E22" s="10"/>
      <c r="F22" s="4"/>
      <c r="G22" s="4"/>
      <c r="H22" s="4"/>
      <c r="I22" s="11"/>
      <c r="J22" s="4"/>
    </row>
    <row r="23" spans="1:29" x14ac:dyDescent="0.25">
      <c r="A23" s="5"/>
      <c r="B23" s="4"/>
      <c r="C23" s="4"/>
      <c r="D23" s="10"/>
      <c r="E23" s="10"/>
      <c r="F23" s="4"/>
      <c r="G23" s="4"/>
      <c r="H23" s="4"/>
      <c r="I23" s="11"/>
      <c r="J23" s="4"/>
    </row>
    <row r="24" spans="1:29" x14ac:dyDescent="0.25">
      <c r="A24" s="5"/>
      <c r="B24" s="4"/>
      <c r="C24" s="4"/>
      <c r="D24" s="10"/>
      <c r="E24" s="10"/>
      <c r="F24" s="4"/>
      <c r="G24" s="4"/>
      <c r="H24" s="4"/>
      <c r="I24" s="11"/>
      <c r="J24" s="4"/>
    </row>
    <row r="25" spans="1:29" x14ac:dyDescent="0.25">
      <c r="A25" s="5"/>
      <c r="B25" s="4"/>
      <c r="C25" s="4"/>
      <c r="D25" s="10"/>
      <c r="E25" s="10"/>
      <c r="F25" s="4"/>
      <c r="G25" s="4"/>
      <c r="H25" s="4"/>
      <c r="I25" s="11"/>
      <c r="J25" s="4"/>
    </row>
    <row r="26" spans="1:29" x14ac:dyDescent="0.25">
      <c r="A26" s="5"/>
      <c r="B26" s="4"/>
      <c r="C26" s="4"/>
      <c r="D26" s="10"/>
      <c r="E26" s="10"/>
      <c r="F26" s="4"/>
      <c r="G26" s="4"/>
      <c r="H26" s="4"/>
      <c r="I26" s="11"/>
      <c r="J26" s="4"/>
    </row>
    <row r="27" spans="1:29" x14ac:dyDescent="0.25">
      <c r="A27" s="5"/>
      <c r="B27" s="4"/>
      <c r="C27" s="4"/>
      <c r="D27" s="10"/>
      <c r="E27" s="10"/>
      <c r="F27" s="4"/>
      <c r="G27" s="4"/>
      <c r="H27" s="4"/>
      <c r="I27" s="11"/>
      <c r="J27" s="4"/>
    </row>
    <row r="28" spans="1:29" x14ac:dyDescent="0.25">
      <c r="A28" s="5"/>
      <c r="B28" s="4"/>
      <c r="C28" s="4"/>
      <c r="D28" s="10"/>
      <c r="E28" s="10"/>
      <c r="F28" s="4"/>
      <c r="G28" s="4"/>
      <c r="H28" s="4"/>
      <c r="I28" s="11"/>
      <c r="J28" s="4"/>
    </row>
    <row r="29" spans="1:29" x14ac:dyDescent="0.25">
      <c r="A29" s="5"/>
      <c r="B29" s="4"/>
      <c r="C29" s="4"/>
      <c r="D29" s="10"/>
      <c r="E29" s="10"/>
      <c r="F29" s="4"/>
      <c r="G29" s="4"/>
      <c r="H29" s="4"/>
      <c r="I29" s="11"/>
      <c r="J29" s="4"/>
    </row>
    <row r="30" spans="1:29" x14ac:dyDescent="0.25">
      <c r="A30" s="5"/>
      <c r="B30" s="4"/>
      <c r="C30" s="4"/>
      <c r="D30" s="10"/>
      <c r="E30" s="10"/>
      <c r="F30" s="4"/>
      <c r="G30" s="4"/>
      <c r="H30" s="4"/>
      <c r="I30" s="11"/>
      <c r="J30" s="4"/>
    </row>
    <row r="31" spans="1:29" x14ac:dyDescent="0.25">
      <c r="A31" s="5"/>
      <c r="B31" s="4"/>
      <c r="C31" s="4"/>
      <c r="D31" s="10"/>
      <c r="E31" s="10"/>
      <c r="F31" s="4"/>
      <c r="G31" s="4"/>
      <c r="H31" s="4"/>
      <c r="I31" s="11"/>
      <c r="J31" s="4"/>
    </row>
  </sheetData>
  <mergeCells count="16">
    <mergeCell ref="AA3:AA4"/>
    <mergeCell ref="AB3:AB4"/>
    <mergeCell ref="AC3:AC4"/>
    <mergeCell ref="L3:L4"/>
    <mergeCell ref="A3:A4"/>
    <mergeCell ref="B3:C3"/>
    <mergeCell ref="D3:E3"/>
    <mergeCell ref="F3:I3"/>
    <mergeCell ref="J3:J4"/>
    <mergeCell ref="M3:M4"/>
    <mergeCell ref="R3:R4"/>
    <mergeCell ref="S3:S4"/>
    <mergeCell ref="N3:N4"/>
    <mergeCell ref="O3:O4"/>
    <mergeCell ref="P3:P4"/>
    <mergeCell ref="Q3:Q4"/>
  </mergeCells>
  <hyperlinks>
    <hyperlink ref="A5" location="'2025.04'!A1" display="'2025.04'!A1" xr:uid="{5B8BE313-28B6-4402-B060-9BECE8F7ABCD}"/>
    <hyperlink ref="A6" location="'2025.05'!A1" display="'2025.05'!A1" xr:uid="{432BD4A4-8856-48DD-B99B-0CF923FF407A}"/>
    <hyperlink ref="A7" location="'2025.06'!A1" display="'2025.06'!A1" xr:uid="{898270D8-BC0E-41B0-B112-FB1BE7438C20}"/>
    <hyperlink ref="A8" location="'2025.07'!A1" display="'2025.07'!A1" xr:uid="{B142284F-F782-447F-B729-46CDD47B02F7}"/>
    <hyperlink ref="A9" location="'2025.08'!A1" display="'2025.08'!A1" xr:uid="{C01A7607-09FF-44E5-BC4D-61B9D3AE2E69}"/>
    <hyperlink ref="A10" location="'2025.09'!A1" display="'2025.09'!A1" xr:uid="{CD34F101-4DD7-474E-850A-46A6E36B554B}"/>
    <hyperlink ref="A11" location="'2025.10'!A1" display="'2025.10'!A1" xr:uid="{298CB857-1576-477A-B0CD-7085F3AE9EF3}"/>
    <hyperlink ref="A12" location="'2025.11'!A1" display="'2025.11'!A1" xr:uid="{6167F4F1-48D4-445F-95AC-00173BE6B425}"/>
    <hyperlink ref="A13" location="'2025.12'!A1" display="'2025.12'!A1" xr:uid="{1CD207FC-EC09-4992-A066-A2CB3503BC1C}"/>
    <hyperlink ref="A14" location="'2026.01'!A1" display="'2026.01'!A1" xr:uid="{C9DE72BC-6068-46AE-B63A-953AA8BAC1E4}"/>
    <hyperlink ref="A15" location="'2026.02'!A1" display="'2026.02'!A1" xr:uid="{92C3D41E-9CDB-452E-B237-A3356EF33789}"/>
    <hyperlink ref="A16" location="'2026.03'!A1" display="'2026.03'!A1" xr:uid="{4CB0CAED-4FAF-4BCF-858D-11D8A8E81680}"/>
    <hyperlink ref="A17" location="'2026.04'!A1" display="'2026.04'!A1" xr:uid="{CE11258E-FCE4-46FB-BFA0-AA379BE88512}"/>
    <hyperlink ref="A18" location="'2026.05'!A1" display="'2026.05'!A1" xr:uid="{1455A32B-E944-4B93-ACF3-2FB7675BC1C3}"/>
    <hyperlink ref="A19" location="'2026.06'!A1" display="'2026.06'!A1" xr:uid="{E2518778-AF50-4771-AE4B-33BDCD1D1ACE}"/>
    <hyperlink ref="A20" location="'2026.07'!A1" display="'2026.07'!A1" xr:uid="{371E5E16-868B-4573-A5F3-B2D0BFFBF455}"/>
  </hyperlinks>
  <pageMargins left="0.7" right="0.7" top="0.75" bottom="0.75" header="0.3" footer="0.3"/>
  <pageSetup orientation="portrait" r:id="rId1"/>
  <ignoredErrors>
    <ignoredError sqref="D5:D20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9707-EDDB-4425-8080-63BE3D6AA060}">
  <dimension ref="A1:AC31"/>
  <sheetViews>
    <sheetView workbookViewId="0">
      <pane ySplit="13" topLeftCell="A14" activePane="bottomLeft" state="frozen"/>
      <selection activeCell="J36" sqref="J36"/>
      <selection pane="bottomLeft" activeCell="P7" sqref="P7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9" width="10.7109375" customWidth="1"/>
    <col min="27" max="29" width="10.7109375" customWidth="1"/>
  </cols>
  <sheetData>
    <row r="1" spans="1:29" x14ac:dyDescent="0.25">
      <c r="A1" s="9" t="s">
        <v>39</v>
      </c>
    </row>
    <row r="3" spans="1:29" x14ac:dyDescent="0.25">
      <c r="A3" s="74" t="s">
        <v>17</v>
      </c>
      <c r="B3" s="58" t="s">
        <v>3</v>
      </c>
      <c r="C3" s="77"/>
      <c r="D3" s="58" t="s">
        <v>1</v>
      </c>
      <c r="E3" s="60"/>
      <c r="F3" s="58" t="s">
        <v>18</v>
      </c>
      <c r="G3" s="59"/>
      <c r="H3" s="59"/>
      <c r="I3" s="60"/>
      <c r="J3" s="74" t="s">
        <v>13</v>
      </c>
      <c r="L3" s="74" t="s">
        <v>45</v>
      </c>
      <c r="M3" s="74" t="s">
        <v>19</v>
      </c>
      <c r="N3" s="74" t="s">
        <v>1</v>
      </c>
      <c r="O3" s="74" t="s">
        <v>34</v>
      </c>
      <c r="P3" s="74" t="s">
        <v>9</v>
      </c>
      <c r="Q3" s="74" t="s">
        <v>4</v>
      </c>
      <c r="R3" s="74" t="s">
        <v>13</v>
      </c>
      <c r="S3" s="74" t="s">
        <v>49</v>
      </c>
      <c r="AA3" s="76" t="s">
        <v>48</v>
      </c>
      <c r="AB3" s="76" t="s">
        <v>0</v>
      </c>
      <c r="AC3" s="76" t="s">
        <v>1</v>
      </c>
    </row>
    <row r="4" spans="1:29" x14ac:dyDescent="0.25">
      <c r="A4" s="75"/>
      <c r="B4" s="3" t="s">
        <v>19</v>
      </c>
      <c r="C4" s="3" t="s">
        <v>15</v>
      </c>
      <c r="D4" s="3" t="s">
        <v>20</v>
      </c>
      <c r="E4" s="3" t="s">
        <v>15</v>
      </c>
      <c r="F4" s="3" t="s">
        <v>0</v>
      </c>
      <c r="G4" s="3" t="s">
        <v>16</v>
      </c>
      <c r="H4" s="3" t="s">
        <v>9</v>
      </c>
      <c r="I4" s="3" t="s">
        <v>4</v>
      </c>
      <c r="J4" s="75"/>
      <c r="L4" s="75"/>
      <c r="M4" s="75"/>
      <c r="N4" s="75"/>
      <c r="O4" s="75"/>
      <c r="P4" s="75"/>
      <c r="Q4" s="75"/>
      <c r="R4" s="75"/>
      <c r="S4" s="75"/>
      <c r="AA4" s="76"/>
      <c r="AB4" s="76"/>
      <c r="AC4" s="76"/>
    </row>
    <row r="5" spans="1:29" x14ac:dyDescent="0.25">
      <c r="A5" s="38" t="str">
        <f>'2025.04'!$N$2</f>
        <v>2025.04</v>
      </c>
      <c r="B5" s="4">
        <f>'2025.04'!$B$40-'2025.04'!$G$40</f>
        <v>13.59</v>
      </c>
      <c r="C5" s="4">
        <f>B5</f>
        <v>13.59</v>
      </c>
      <c r="D5" s="6">
        <f>'2025.04'!$D$40-'2025.04'!$I$40</f>
        <v>2.434412889382414</v>
      </c>
      <c r="E5" s="6">
        <f>D5</f>
        <v>2.434412889382414</v>
      </c>
      <c r="F5" s="6">
        <v>5.9610000000000003</v>
      </c>
      <c r="G5" s="4">
        <f t="shared" ref="G5:G17" si="0">E5*F5</f>
        <v>14.511535233608571</v>
      </c>
      <c r="H5" s="4">
        <f t="shared" ref="H5:H17" si="1">G5-C5</f>
        <v>0.92153523360857115</v>
      </c>
      <c r="I5" s="11">
        <f t="shared" ref="I5:I17" si="2">(G5-C5)/C5</f>
        <v>6.7809803797540188E-2</v>
      </c>
      <c r="J5" s="4">
        <f>'2025.04'!$L$40</f>
        <v>0</v>
      </c>
      <c r="L5" s="3" t="s">
        <v>2</v>
      </c>
      <c r="M5" s="4">
        <f>SUM(B5:B200)</f>
        <v>52.18</v>
      </c>
      <c r="N5" s="6">
        <f>SUM(D5:D200)</f>
        <v>7.6244397923201594</v>
      </c>
      <c r="O5" s="4">
        <v>68.319999999999993</v>
      </c>
      <c r="P5" s="4">
        <f>IF(O5&gt;0,O5-M5,"")</f>
        <v>16.139999999999993</v>
      </c>
      <c r="Q5" s="11">
        <f>IF(O5&gt;0,(O5-M5)/M5,"")</f>
        <v>0.30931391337677261</v>
      </c>
      <c r="R5" s="4">
        <f>SUM(J5:J200)</f>
        <v>0</v>
      </c>
      <c r="S5" s="4" cm="1">
        <f t="array" ref="S5">SUMPRODUCT(IFERROR(AB5:AB200,0),IFERROR(AC5:AC200,0))/SUM(IFERROR(AC5:AC200,0))</f>
        <v>6.7480056102743582</v>
      </c>
      <c r="AA5" s="4">
        <f>'2025.04'!$B$40</f>
        <v>13.59</v>
      </c>
      <c r="AB5" s="4">
        <f>'2025.04'!$C$40</f>
        <v>5.5824548330614725</v>
      </c>
      <c r="AC5" s="6">
        <f>'2025.04'!$D$40</f>
        <v>2.434412889382414</v>
      </c>
    </row>
    <row r="6" spans="1:29" x14ac:dyDescent="0.25">
      <c r="A6" s="38" t="str">
        <f>'2025.05'!$N$2</f>
        <v>2025.05</v>
      </c>
      <c r="B6" s="4">
        <f>'2025.05'!$B$40-'2025.05'!$G$40</f>
        <v>5.51</v>
      </c>
      <c r="C6" s="4">
        <f t="shared" ref="C6:C17" si="3">C5+B6</f>
        <v>19.100000000000001</v>
      </c>
      <c r="D6" s="6">
        <f>'2025.05'!$D$40-'2025.05'!$I$40</f>
        <v>0.87270160488750881</v>
      </c>
      <c r="E6" s="6">
        <f t="shared" ref="E6:E17" si="4">E5+D6</f>
        <v>3.3071144942699227</v>
      </c>
      <c r="F6" s="6">
        <v>6.2370000000000001</v>
      </c>
      <c r="G6" s="4">
        <f t="shared" si="0"/>
        <v>20.626473100761508</v>
      </c>
      <c r="H6" s="4">
        <f t="shared" si="1"/>
        <v>1.5264731007615069</v>
      </c>
      <c r="I6" s="11">
        <f t="shared" si="2"/>
        <v>7.99200576314925E-2</v>
      </c>
      <c r="J6" s="4">
        <f>'2025.05'!$L$40</f>
        <v>0</v>
      </c>
      <c r="AA6" s="4">
        <f>'2025.05'!$B$40</f>
        <v>5.51</v>
      </c>
      <c r="AB6" s="4">
        <f>'2025.05'!$C$40</f>
        <v>6.3137273601212618</v>
      </c>
      <c r="AC6" s="6">
        <f>'2025.05'!$D$40</f>
        <v>0.87270160488750881</v>
      </c>
    </row>
    <row r="7" spans="1:29" x14ac:dyDescent="0.25">
      <c r="A7" s="38" t="str">
        <f>'2025.06'!$N$2</f>
        <v>2025.06</v>
      </c>
      <c r="B7" s="4">
        <f>'2025.06'!$B$40-'2025.06'!$G$40</f>
        <v>1.2</v>
      </c>
      <c r="C7" s="4">
        <f t="shared" si="3"/>
        <v>20.3</v>
      </c>
      <c r="D7" s="6">
        <f>'2025.06'!$D$40-'2025.06'!$I$40</f>
        <v>0.19224607497596924</v>
      </c>
      <c r="E7" s="6">
        <f t="shared" si="4"/>
        <v>3.499360569245892</v>
      </c>
      <c r="F7" s="6">
        <v>6.4240000000000004</v>
      </c>
      <c r="G7" s="4">
        <f t="shared" si="0"/>
        <v>22.479892296835612</v>
      </c>
      <c r="H7" s="4">
        <f t="shared" si="1"/>
        <v>2.1798922968356109</v>
      </c>
      <c r="I7" s="11">
        <f t="shared" si="2"/>
        <v>0.1073838569869759</v>
      </c>
      <c r="J7" s="4">
        <f>'2025.06'!$L$40</f>
        <v>0</v>
      </c>
      <c r="AA7" s="4">
        <f>'2025.06'!$B$40</f>
        <v>1.2</v>
      </c>
      <c r="AB7" s="4">
        <f>'2025.06'!$C$40</f>
        <v>6.242</v>
      </c>
      <c r="AC7" s="6">
        <f>'2025.06'!$D$40</f>
        <v>0.19224607497596924</v>
      </c>
    </row>
    <row r="8" spans="1:29" x14ac:dyDescent="0.25">
      <c r="A8" s="38" t="str">
        <f>'2025.07'!$N$2</f>
        <v>2025.07</v>
      </c>
      <c r="B8" s="4">
        <f>'2025.07'!$B$40-'2025.07'!$G$40</f>
        <v>1.82</v>
      </c>
      <c r="C8" s="4">
        <f t="shared" si="3"/>
        <v>22.12</v>
      </c>
      <c r="D8" s="6">
        <f>'2025.07'!$D$40-'2025.07'!$I$40</f>
        <v>0.28249026029459701</v>
      </c>
      <c r="E8" s="6">
        <f t="shared" si="4"/>
        <v>3.7818508295404891</v>
      </c>
      <c r="F8" s="6">
        <v>6.6879999999999997</v>
      </c>
      <c r="G8" s="4">
        <f t="shared" si="0"/>
        <v>25.29301834796679</v>
      </c>
      <c r="H8" s="4">
        <f t="shared" si="1"/>
        <v>3.1730183479667886</v>
      </c>
      <c r="I8" s="11">
        <f t="shared" si="2"/>
        <v>0.14344567576703385</v>
      </c>
      <c r="J8" s="4">
        <f>'2025.07'!$L$40</f>
        <v>0</v>
      </c>
      <c r="AA8" s="4">
        <f>'2025.07'!$B$40</f>
        <v>1.82</v>
      </c>
      <c r="AB8" s="4">
        <f>'2025.07'!$C$40</f>
        <v>6.4427000000000003</v>
      </c>
      <c r="AC8" s="6">
        <f>'2025.07'!$D$40</f>
        <v>0.28249026029459701</v>
      </c>
    </row>
    <row r="9" spans="1:29" x14ac:dyDescent="0.25">
      <c r="A9" s="38" t="str">
        <f>'2025.08'!$N$2</f>
        <v>2025.08</v>
      </c>
      <c r="B9" s="4">
        <f>'2025.08'!$B$40-'2025.08'!$G$40</f>
        <v>1.83</v>
      </c>
      <c r="C9" s="4">
        <f t="shared" si="3"/>
        <v>23.950000000000003</v>
      </c>
      <c r="D9" s="6">
        <f>'2025.08'!$D$40-'2025.08'!$I$40</f>
        <v>0.27535359614805899</v>
      </c>
      <c r="E9" s="6">
        <f t="shared" si="4"/>
        <v>4.057204425688548</v>
      </c>
      <c r="F9" s="6">
        <v>6.6719999999999997</v>
      </c>
      <c r="G9" s="4">
        <f t="shared" si="0"/>
        <v>27.06966792819399</v>
      </c>
      <c r="H9" s="4">
        <f t="shared" si="1"/>
        <v>3.1196679281939872</v>
      </c>
      <c r="I9" s="11">
        <f t="shared" si="2"/>
        <v>0.13025753353628339</v>
      </c>
      <c r="J9" s="4">
        <f>'2025.08'!$L$40</f>
        <v>0</v>
      </c>
      <c r="AA9" s="4">
        <f>'2025.08'!$B$40</f>
        <v>1.83</v>
      </c>
      <c r="AB9" s="4">
        <f>'2025.08'!$C$40</f>
        <v>6.6459999999999999</v>
      </c>
      <c r="AC9" s="6">
        <f>'2025.08'!$D$40</f>
        <v>0.27535359614805899</v>
      </c>
    </row>
    <row r="10" spans="1:29" x14ac:dyDescent="0.25">
      <c r="A10" s="38" t="str">
        <f>'2025.09'!$N$2</f>
        <v>2025.09</v>
      </c>
      <c r="B10" s="4">
        <f>'2025.09'!$B$40-'2025.09'!$G$40</f>
        <v>1.82</v>
      </c>
      <c r="C10" s="4">
        <f t="shared" si="3"/>
        <v>25.770000000000003</v>
      </c>
      <c r="D10" s="6">
        <f>'2025.09'!$D$40-'2025.09'!$I$40</f>
        <v>0.27241430923514443</v>
      </c>
      <c r="E10" s="6">
        <f t="shared" si="4"/>
        <v>4.3296187349236925</v>
      </c>
      <c r="F10" s="6">
        <v>7.0350000000000001</v>
      </c>
      <c r="G10" s="4">
        <f t="shared" si="0"/>
        <v>30.458867800188177</v>
      </c>
      <c r="H10" s="4">
        <f t="shared" si="1"/>
        <v>4.6888678001881736</v>
      </c>
      <c r="I10" s="11">
        <f t="shared" si="2"/>
        <v>0.18195063252573432</v>
      </c>
      <c r="J10" s="4">
        <f>'2025.09'!$L$40</f>
        <v>0</v>
      </c>
      <c r="AA10" s="4">
        <f>'2025.09'!$B$40</f>
        <v>1.82</v>
      </c>
      <c r="AB10" s="4">
        <f>'2025.09'!$C$40</f>
        <v>6.681</v>
      </c>
      <c r="AC10" s="6">
        <f>'2025.09'!$D$40</f>
        <v>0.27241430923514443</v>
      </c>
    </row>
    <row r="11" spans="1:29" x14ac:dyDescent="0.25">
      <c r="A11" s="38" t="str">
        <f>'2025.10'!$N$2</f>
        <v>2025.10</v>
      </c>
      <c r="B11" s="4">
        <f>'2025.10'!$B$40-'2025.10'!$G$40</f>
        <v>2.5</v>
      </c>
      <c r="C11" s="4">
        <f t="shared" si="3"/>
        <v>28.270000000000003</v>
      </c>
      <c r="D11" s="6">
        <f>'2025.10'!$D$40-'2025.10'!$I$40</f>
        <v>0.34559026817804811</v>
      </c>
      <c r="E11" s="6">
        <f t="shared" si="4"/>
        <v>4.6752090031017408</v>
      </c>
      <c r="F11" s="6">
        <v>7.4320000000000004</v>
      </c>
      <c r="G11" s="4">
        <f t="shared" si="0"/>
        <v>34.74615331105214</v>
      </c>
      <c r="H11" s="4">
        <f t="shared" si="1"/>
        <v>6.476153311052137</v>
      </c>
      <c r="I11" s="11">
        <f t="shared" si="2"/>
        <v>0.22908218291659485</v>
      </c>
      <c r="J11" s="4">
        <f>'2025.10'!$L$40</f>
        <v>0</v>
      </c>
      <c r="AA11" s="4">
        <f>'2025.10'!$B$40</f>
        <v>2.5</v>
      </c>
      <c r="AB11" s="4">
        <f>'2025.10'!$C$40</f>
        <v>7.234</v>
      </c>
      <c r="AC11" s="6">
        <f>'2025.10'!$D$40</f>
        <v>0.34559026817804811</v>
      </c>
    </row>
    <row r="12" spans="1:29" x14ac:dyDescent="0.25">
      <c r="A12" s="38" t="str">
        <f>'2025.11'!$N$2</f>
        <v>2025.11</v>
      </c>
      <c r="B12" s="4">
        <f>'2025.11'!$B$40-'2025.11'!$G$40</f>
        <v>2.5099999999999998</v>
      </c>
      <c r="C12" s="4">
        <f t="shared" si="3"/>
        <v>30.78</v>
      </c>
      <c r="D12" s="6">
        <f>'2025.11'!$D$40-'2025.11'!$I$40</f>
        <v>0.34043130340431299</v>
      </c>
      <c r="E12" s="6">
        <f t="shared" si="4"/>
        <v>5.0156403065060537</v>
      </c>
      <c r="F12" s="6">
        <v>7.3129999999999997</v>
      </c>
      <c r="G12" s="4">
        <f t="shared" si="0"/>
        <v>36.679377561478766</v>
      </c>
      <c r="H12" s="4">
        <f t="shared" si="1"/>
        <v>5.8993775614787651</v>
      </c>
      <c r="I12" s="11">
        <f t="shared" si="2"/>
        <v>0.19166268880697743</v>
      </c>
      <c r="J12" s="4">
        <f>'2025.11'!$L$40</f>
        <v>0</v>
      </c>
      <c r="AA12" s="4">
        <f>'2025.11'!$B$40</f>
        <v>2.5099999999999998</v>
      </c>
      <c r="AB12" s="4">
        <f>'2025.11'!$C$40</f>
        <v>7.3730000000000002</v>
      </c>
      <c r="AC12" s="6">
        <f>'2025.11'!$D$40</f>
        <v>0.34043130340431299</v>
      </c>
    </row>
    <row r="13" spans="1:29" x14ac:dyDescent="0.25">
      <c r="A13" s="38" t="str">
        <f>'2025.12'!$N$2</f>
        <v>2025.12</v>
      </c>
      <c r="B13" s="4">
        <f>'2025.12'!$B$40-'2025.12'!$G$40</f>
        <v>2.4900000000000002</v>
      </c>
      <c r="C13" s="4">
        <f t="shared" si="3"/>
        <v>33.270000000000003</v>
      </c>
      <c r="D13" s="6">
        <f>'2025.12'!$D$40-'2025.12'!$I$40</f>
        <v>0.34143264589732342</v>
      </c>
      <c r="E13" s="6">
        <f t="shared" si="4"/>
        <v>5.3570729524033771</v>
      </c>
      <c r="F13" s="6">
        <v>7.35</v>
      </c>
      <c r="G13" s="4">
        <f t="shared" si="0"/>
        <v>39.374486200164817</v>
      </c>
      <c r="H13" s="4">
        <f t="shared" si="1"/>
        <v>6.1044862001648141</v>
      </c>
      <c r="I13" s="11">
        <f t="shared" si="2"/>
        <v>0.18348320409272056</v>
      </c>
      <c r="J13" s="4">
        <f>'2025.12'!$L$40</f>
        <v>0</v>
      </c>
      <c r="AA13" s="4">
        <f>'2025.12'!$B$40</f>
        <v>2.4900000000000002</v>
      </c>
      <c r="AB13" s="4">
        <f>'2025.12'!$C$40</f>
        <v>7.2927999999999997</v>
      </c>
      <c r="AC13" s="6">
        <f>'2025.12'!$D$40</f>
        <v>0.34143264589732342</v>
      </c>
    </row>
    <row r="14" spans="1:29" x14ac:dyDescent="0.25">
      <c r="A14" s="38" t="str">
        <f>'2026.01'!$N$2</f>
        <v>2026.01</v>
      </c>
      <c r="B14" s="4">
        <f>'2026.01'!$B$40-'2026.01'!$G$40</f>
        <v>2.56</v>
      </c>
      <c r="C14" s="4">
        <f t="shared" si="3"/>
        <v>35.830000000000005</v>
      </c>
      <c r="D14" s="6">
        <f>'2026.01'!$D$40-'2026.01'!$I$40</f>
        <v>0.33342016150039072</v>
      </c>
      <c r="E14" s="6">
        <f t="shared" si="4"/>
        <v>5.6904931139037682</v>
      </c>
      <c r="F14" s="6">
        <v>7.891</v>
      </c>
      <c r="G14" s="4">
        <f t="shared" si="0"/>
        <v>44.903681161814632</v>
      </c>
      <c r="H14" s="4">
        <f t="shared" si="1"/>
        <v>9.0736811618146263</v>
      </c>
      <c r="I14" s="11">
        <f t="shared" si="2"/>
        <v>0.25324256661497696</v>
      </c>
      <c r="J14" s="4">
        <f>'2026.01'!$L$40</f>
        <v>0</v>
      </c>
      <c r="AA14" s="4">
        <f>'2026.01'!$B$40</f>
        <v>2.56</v>
      </c>
      <c r="AB14" s="4">
        <f>'2026.01'!$C$40</f>
        <v>7.6779999999999999</v>
      </c>
      <c r="AC14" s="6">
        <f>'2026.01'!$D$40</f>
        <v>0.33342016150039072</v>
      </c>
    </row>
    <row r="15" spans="1:29" x14ac:dyDescent="0.25">
      <c r="A15" s="38" t="str">
        <f>'2026.02'!$N$2</f>
        <v>2026.02</v>
      </c>
      <c r="B15" s="4">
        <f>'2026.02'!$B$40-'2026.02'!$G$40</f>
        <v>2.62</v>
      </c>
      <c r="C15" s="4">
        <f t="shared" si="3"/>
        <v>38.450000000000003</v>
      </c>
      <c r="D15" s="6">
        <f>'2026.02'!$D$40-'2026.02'!$I$40</f>
        <v>0.327655636427303</v>
      </c>
      <c r="E15" s="6">
        <f t="shared" si="4"/>
        <v>6.0181487503310711</v>
      </c>
      <c r="F15" s="6">
        <v>8.3919999999999995</v>
      </c>
      <c r="G15" s="4">
        <f t="shared" si="0"/>
        <v>50.504304312778345</v>
      </c>
      <c r="H15" s="4">
        <f t="shared" si="1"/>
        <v>12.054304312778342</v>
      </c>
      <c r="I15" s="11">
        <f t="shared" si="2"/>
        <v>0.31350596392141328</v>
      </c>
      <c r="J15" s="4">
        <f>'2026.02'!$L$40</f>
        <v>0</v>
      </c>
      <c r="AA15" s="4">
        <f>'2026.02'!$B$40</f>
        <v>2.62</v>
      </c>
      <c r="AB15" s="4">
        <f>'2026.02'!$C$40</f>
        <v>7.9962</v>
      </c>
      <c r="AC15" s="6">
        <f>'2026.02'!$D$40</f>
        <v>0.327655636427303</v>
      </c>
    </row>
    <row r="16" spans="1:29" x14ac:dyDescent="0.25">
      <c r="A16" s="38" t="str">
        <f>'2026.03'!$N$2</f>
        <v>2026.03</v>
      </c>
      <c r="B16" s="4">
        <f>'2026.03'!$B$40-'2026.03'!$G$40</f>
        <v>2.72</v>
      </c>
      <c r="C16" s="4">
        <f t="shared" si="3"/>
        <v>41.17</v>
      </c>
      <c r="D16" s="6">
        <f>'2026.03'!$D$40-'2026.03'!$I$40</f>
        <v>0.34234075491170884</v>
      </c>
      <c r="E16" s="6">
        <f t="shared" si="4"/>
        <v>6.3604895052427803</v>
      </c>
      <c r="F16" s="6">
        <v>7.516</v>
      </c>
      <c r="G16" s="4">
        <f t="shared" si="0"/>
        <v>47.805439121404739</v>
      </c>
      <c r="H16" s="4">
        <f t="shared" si="1"/>
        <v>6.6354391214047368</v>
      </c>
      <c r="I16" s="11">
        <f t="shared" si="2"/>
        <v>0.16117170564500211</v>
      </c>
      <c r="J16" s="4">
        <f>'2026.03'!$L$40</f>
        <v>0</v>
      </c>
      <c r="AA16" s="4">
        <f>'2026.03'!$B$40</f>
        <v>2.72</v>
      </c>
      <c r="AB16" s="4">
        <f>'2026.03'!$C$40</f>
        <v>7.9452999999999996</v>
      </c>
      <c r="AC16" s="6">
        <f>'2026.03'!$D$40</f>
        <v>0.34234075491170884</v>
      </c>
    </row>
    <row r="17" spans="1:29" x14ac:dyDescent="0.25">
      <c r="A17" s="38" t="str">
        <f>'2026.04'!$N$2</f>
        <v>2026.04</v>
      </c>
      <c r="B17" s="4">
        <f>'2026.04'!$B$40-'2026.04'!$G$40</f>
        <v>2.65</v>
      </c>
      <c r="C17" s="4">
        <f t="shared" si="3"/>
        <v>43.82</v>
      </c>
      <c r="D17" s="6">
        <f>'2026.04'!$D$40-'2026.04'!$I$40</f>
        <v>0.34363815550599097</v>
      </c>
      <c r="E17" s="6">
        <f t="shared" si="4"/>
        <v>6.704127660748771</v>
      </c>
      <c r="F17" s="6">
        <v>8.4239999999999995</v>
      </c>
      <c r="G17" s="4">
        <f t="shared" si="0"/>
        <v>56.475571414147645</v>
      </c>
      <c r="H17" s="4">
        <f t="shared" si="1"/>
        <v>12.655571414147644</v>
      </c>
      <c r="I17" s="11">
        <f t="shared" si="2"/>
        <v>0.28880811077470664</v>
      </c>
      <c r="J17" s="4">
        <f>'2026.04'!$L$40</f>
        <v>0</v>
      </c>
      <c r="AA17" s="4">
        <f>'2026.04'!$B$40</f>
        <v>2.65</v>
      </c>
      <c r="AB17" s="4">
        <f>'2026.04'!$C$40</f>
        <v>7.7115999999999998</v>
      </c>
      <c r="AC17" s="6">
        <f>'2026.04'!$D$40</f>
        <v>0.34363815550599097</v>
      </c>
    </row>
    <row r="18" spans="1:29" x14ac:dyDescent="0.25">
      <c r="A18" s="38" t="str">
        <f>'2026.05'!$N$2</f>
        <v>2026.05</v>
      </c>
      <c r="B18" s="4">
        <f>'2026.05'!$B$39-'2026.05'!$G$39</f>
        <v>2.75</v>
      </c>
      <c r="C18" s="4">
        <f t="shared" ref="C18" si="5">C17+B18</f>
        <v>46.57</v>
      </c>
      <c r="D18" s="6">
        <f>'2026.05'!$D$39-'2026.05'!$I$39</f>
        <v>0.31855249745158004</v>
      </c>
      <c r="E18" s="6">
        <f t="shared" ref="E18" si="6">E17+D18</f>
        <v>7.0226801582003509</v>
      </c>
      <c r="F18" s="6">
        <v>9.24</v>
      </c>
      <c r="G18" s="4">
        <f t="shared" ref="G18" si="7">E18*F18</f>
        <v>64.889564661771246</v>
      </c>
      <c r="H18" s="4">
        <f t="shared" ref="H18" si="8">G18-C18</f>
        <v>18.319564661771246</v>
      </c>
      <c r="I18" s="11">
        <f t="shared" ref="I18" si="9">(G18-C18)/C18</f>
        <v>0.39337695215312962</v>
      </c>
      <c r="J18" s="4">
        <f>'2026.05'!$L$39</f>
        <v>0</v>
      </c>
      <c r="AA18" s="4">
        <f>'2026.05'!$B$39</f>
        <v>2.75</v>
      </c>
      <c r="AB18" s="4">
        <f>'2026.05'!$C$39</f>
        <v>8.6327999999999996</v>
      </c>
      <c r="AC18" s="6">
        <f>'2026.05'!$D$39</f>
        <v>0.31855249745158004</v>
      </c>
    </row>
    <row r="19" spans="1:29" x14ac:dyDescent="0.25">
      <c r="A19" s="38" t="str">
        <f>'2026.06'!$N$2</f>
        <v>2026.06</v>
      </c>
      <c r="B19" s="4">
        <f>'2026.06'!$B$39-'2026.06'!$G$39</f>
        <v>2.84</v>
      </c>
      <c r="C19" s="4">
        <f t="shared" ref="C19" si="10">C18+B19</f>
        <v>49.41</v>
      </c>
      <c r="D19" s="6">
        <f>'2026.06'!$D$39-'2026.06'!$I$39</f>
        <v>0.29948328587999573</v>
      </c>
      <c r="E19" s="6">
        <f t="shared" ref="E19" si="11">E18+D19</f>
        <v>7.3221634440803465</v>
      </c>
      <c r="F19" s="6">
        <v>9.4359999999999999</v>
      </c>
      <c r="G19" s="4">
        <f t="shared" ref="G19" si="12">E19*F19</f>
        <v>69.09193425834215</v>
      </c>
      <c r="H19" s="4">
        <f t="shared" ref="H19" si="13">G19-C19</f>
        <v>19.681934258342153</v>
      </c>
      <c r="I19" s="11">
        <f t="shared" ref="I19" si="14">(G19-C19)/C19</f>
        <v>0.39833908638620025</v>
      </c>
      <c r="J19" s="4">
        <f>'2026.06'!$L$39</f>
        <v>0</v>
      </c>
      <c r="AA19" s="4">
        <f>'2026.06'!$B$39</f>
        <v>2.84</v>
      </c>
      <c r="AB19" s="4">
        <f>'2026.06'!$C$39</f>
        <v>9.4830000000000005</v>
      </c>
      <c r="AC19" s="6">
        <f>'2026.06'!$D$39</f>
        <v>0.29948328587999573</v>
      </c>
    </row>
    <row r="20" spans="1:29" x14ac:dyDescent="0.25">
      <c r="A20" s="49" t="str">
        <f>'2026.07'!$N$2</f>
        <v>2026.07</v>
      </c>
      <c r="B20" s="50">
        <f>'2026.07'!$B$39</f>
        <v>2.77</v>
      </c>
      <c r="C20" s="50">
        <f t="shared" ref="C20" si="15">C19+B20</f>
        <v>52.18</v>
      </c>
      <c r="D20" s="51">
        <f>'2026.07'!$D$39</f>
        <v>0.3022763482398132</v>
      </c>
      <c r="E20" s="51">
        <f t="shared" ref="E20" si="16">E19+D20</f>
        <v>7.6244397923201594</v>
      </c>
      <c r="F20" s="51">
        <v>8.9610000000000003</v>
      </c>
      <c r="G20" s="50">
        <f t="shared" ref="G20" si="17">E20*F20</f>
        <v>68.322604978980948</v>
      </c>
      <c r="H20" s="50">
        <f t="shared" ref="H20" si="18">G20-C20</f>
        <v>16.142604978980948</v>
      </c>
      <c r="I20" s="52">
        <f t="shared" ref="I20" si="19">(G20-C20)/C20</f>
        <v>0.30936383631623127</v>
      </c>
      <c r="J20" s="50">
        <f>'2026.07'!$L$39</f>
        <v>0</v>
      </c>
      <c r="AA20" s="5"/>
      <c r="AB20" s="5"/>
      <c r="AC20" s="5"/>
    </row>
    <row r="21" spans="1:29" x14ac:dyDescent="0.25">
      <c r="A21" s="5"/>
      <c r="B21" s="4"/>
      <c r="C21" s="4"/>
      <c r="D21" s="10"/>
      <c r="E21" s="10"/>
      <c r="F21" s="4"/>
      <c r="G21" s="4"/>
      <c r="H21" s="4"/>
      <c r="I21" s="11"/>
      <c r="J21" s="4"/>
      <c r="AA21" s="5"/>
      <c r="AB21" s="5"/>
      <c r="AC21" s="5"/>
    </row>
    <row r="22" spans="1:29" x14ac:dyDescent="0.25">
      <c r="A22" s="5"/>
      <c r="B22" s="4"/>
      <c r="C22" s="4"/>
      <c r="D22" s="10"/>
      <c r="E22" s="10"/>
      <c r="F22" s="4"/>
      <c r="G22" s="4"/>
      <c r="H22" s="4"/>
      <c r="I22" s="11"/>
      <c r="J22" s="4"/>
    </row>
    <row r="23" spans="1:29" x14ac:dyDescent="0.25">
      <c r="A23" s="5"/>
      <c r="B23" s="4"/>
      <c r="C23" s="4"/>
      <c r="D23" s="10"/>
      <c r="E23" s="10"/>
      <c r="F23" s="4"/>
      <c r="G23" s="4"/>
      <c r="H23" s="4"/>
      <c r="I23" s="11"/>
      <c r="J23" s="4"/>
    </row>
    <row r="24" spans="1:29" x14ac:dyDescent="0.25">
      <c r="A24" s="5"/>
      <c r="B24" s="4"/>
      <c r="C24" s="4"/>
      <c r="D24" s="10"/>
      <c r="E24" s="10"/>
      <c r="F24" s="4"/>
      <c r="G24" s="4"/>
      <c r="H24" s="4"/>
      <c r="I24" s="11"/>
      <c r="J24" s="4"/>
    </row>
    <row r="25" spans="1:29" x14ac:dyDescent="0.25">
      <c r="A25" s="5"/>
      <c r="B25" s="4"/>
      <c r="C25" s="4"/>
      <c r="D25" s="10"/>
      <c r="E25" s="10"/>
      <c r="F25" s="4"/>
      <c r="G25" s="4"/>
      <c r="H25" s="4"/>
      <c r="I25" s="11"/>
      <c r="J25" s="4"/>
    </row>
    <row r="26" spans="1:29" x14ac:dyDescent="0.25">
      <c r="A26" s="5"/>
      <c r="B26" s="4"/>
      <c r="C26" s="4"/>
      <c r="D26" s="10"/>
      <c r="E26" s="10"/>
      <c r="F26" s="4"/>
      <c r="G26" s="4"/>
      <c r="H26" s="4"/>
      <c r="I26" s="11"/>
      <c r="J26" s="4"/>
    </row>
    <row r="27" spans="1:29" x14ac:dyDescent="0.25">
      <c r="A27" s="5"/>
      <c r="B27" s="4"/>
      <c r="C27" s="4"/>
      <c r="D27" s="10"/>
      <c r="E27" s="10"/>
      <c r="F27" s="4"/>
      <c r="G27" s="4"/>
      <c r="H27" s="4"/>
      <c r="I27" s="11"/>
      <c r="J27" s="4"/>
    </row>
    <row r="28" spans="1:29" x14ac:dyDescent="0.25">
      <c r="A28" s="5"/>
      <c r="B28" s="4"/>
      <c r="C28" s="4"/>
      <c r="D28" s="10"/>
      <c r="E28" s="10"/>
      <c r="F28" s="4"/>
      <c r="G28" s="4"/>
      <c r="H28" s="4"/>
      <c r="I28" s="11"/>
      <c r="J28" s="4"/>
    </row>
    <row r="29" spans="1:29" x14ac:dyDescent="0.25">
      <c r="A29" s="5"/>
      <c r="B29" s="4"/>
      <c r="C29" s="4"/>
      <c r="D29" s="10"/>
      <c r="E29" s="10"/>
      <c r="F29" s="4"/>
      <c r="G29" s="4"/>
      <c r="H29" s="4"/>
      <c r="I29" s="11"/>
      <c r="J29" s="4"/>
    </row>
    <row r="30" spans="1:29" x14ac:dyDescent="0.25">
      <c r="A30" s="5"/>
      <c r="B30" s="4"/>
      <c r="C30" s="4"/>
      <c r="D30" s="10"/>
      <c r="E30" s="10"/>
      <c r="F30" s="4"/>
      <c r="G30" s="4"/>
      <c r="H30" s="4"/>
      <c r="I30" s="11"/>
      <c r="J30" s="4"/>
    </row>
    <row r="31" spans="1:29" x14ac:dyDescent="0.25">
      <c r="A31" s="5"/>
      <c r="B31" s="4"/>
      <c r="C31" s="4"/>
      <c r="D31" s="10"/>
      <c r="E31" s="10"/>
      <c r="F31" s="4"/>
      <c r="G31" s="4"/>
      <c r="H31" s="4"/>
      <c r="I31" s="11"/>
      <c r="J31" s="4"/>
    </row>
  </sheetData>
  <mergeCells count="16">
    <mergeCell ref="AA3:AA4"/>
    <mergeCell ref="AB3:AB4"/>
    <mergeCell ref="AC3:AC4"/>
    <mergeCell ref="L3:L4"/>
    <mergeCell ref="A3:A4"/>
    <mergeCell ref="B3:C3"/>
    <mergeCell ref="D3:E3"/>
    <mergeCell ref="F3:I3"/>
    <mergeCell ref="J3:J4"/>
    <mergeCell ref="M3:M4"/>
    <mergeCell ref="R3:R4"/>
    <mergeCell ref="S3:S4"/>
    <mergeCell ref="N3:N4"/>
    <mergeCell ref="O3:O4"/>
    <mergeCell ref="P3:P4"/>
    <mergeCell ref="Q3:Q4"/>
  </mergeCells>
  <hyperlinks>
    <hyperlink ref="A5" location="'2025.04'!A1" display="'2025.04'!A1" xr:uid="{6704CD73-8C55-406C-BA98-027E65591231}"/>
    <hyperlink ref="A6" location="'2025.05'!A1" display="'2025.05'!A1" xr:uid="{C31B72F0-DA8C-4818-8787-079335AFA108}"/>
    <hyperlink ref="A7" location="'2025.06'!A1" display="'2025.06'!A1" xr:uid="{81303D81-6527-4A7D-8679-AD09E93E0F31}"/>
    <hyperlink ref="A8" location="'2025.07'!A1" display="'2025.07'!A1" xr:uid="{8AD101C0-71B1-45C7-A1F1-F0EEB2F6AB11}"/>
    <hyperlink ref="A9" location="'2025.08'!A1" display="'2025.08'!A1" xr:uid="{91B7105A-D5F7-4BD9-8FEF-E656A48F9E7C}"/>
    <hyperlink ref="A10" location="'2025.09'!A1" display="'2025.09'!A1" xr:uid="{5E5DF0C0-1D01-400E-89BB-67955A4B5B0F}"/>
    <hyperlink ref="A11" location="'2025.10'!A1" display="'2025.10'!A1" xr:uid="{91ED84BF-F6DC-4B78-A30D-ACFA3F4628DC}"/>
    <hyperlink ref="A12" location="'2025.11'!A1" display="'2025.11'!A1" xr:uid="{2DD63008-1AA7-449F-8808-A813F3129986}"/>
    <hyperlink ref="A13" location="'2025.12'!A1" display="'2025.12'!A1" xr:uid="{96291613-208C-4E1D-B153-B06F778EA905}"/>
    <hyperlink ref="A14" location="'2026.01'!A1" display="'2026.01'!A1" xr:uid="{89EBA751-3FF0-4B15-A466-7D4A2A9012AC}"/>
    <hyperlink ref="A15" location="'2026.02'!A1" display="'2026.02'!A1" xr:uid="{5BF2C6A9-4D7D-4C95-ABA6-A33EE71003BE}"/>
    <hyperlink ref="A16" location="'2026.03'!A1" display="'2026.03'!A1" xr:uid="{E93FA0FA-2659-4D1C-9DB5-D20EDF3F5B65}"/>
    <hyperlink ref="A17" location="'2026.04'!A1" display="'2026.04'!A1" xr:uid="{A6A714DA-85A0-4D98-8E03-F5FBEB189ED9}"/>
    <hyperlink ref="A18" location="'2026.05'!A1" display="'2026.05'!A1" xr:uid="{13E4C3F5-5A42-4821-BB52-B8D7C3608DD3}"/>
    <hyperlink ref="A19" location="'2026.06'!A1" display="'2026.06'!A1" xr:uid="{A3C87F38-F078-42D8-97DE-28018496EAC3}"/>
    <hyperlink ref="A20" location="'2026.07'!A1" display="'2026.07'!A1" xr:uid="{B7F730D5-38DF-4602-BF85-B0D4263AAB55}"/>
  </hyperlinks>
  <pageMargins left="0.7" right="0.7" top="0.75" bottom="0.75" header="0.3" footer="0.3"/>
  <pageSetup orientation="portrait" r:id="rId1"/>
  <ignoredErrors>
    <ignoredError sqref="D5:D20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F1DF-D997-4F93-B178-D370FA5A20DD}">
  <dimension ref="A1:AC31"/>
  <sheetViews>
    <sheetView workbookViewId="0">
      <pane ySplit="13" topLeftCell="A14" activePane="bottomLeft" state="frozen"/>
      <selection activeCell="J36" sqref="J36"/>
      <selection pane="bottomLeft" activeCell="P5" sqref="P5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9" width="10.7109375" customWidth="1"/>
    <col min="27" max="29" width="10.7109375" customWidth="1"/>
  </cols>
  <sheetData>
    <row r="1" spans="1:29" x14ac:dyDescent="0.25">
      <c r="A1" s="9" t="s">
        <v>40</v>
      </c>
    </row>
    <row r="3" spans="1:29" x14ac:dyDescent="0.25">
      <c r="A3" s="74" t="s">
        <v>17</v>
      </c>
      <c r="B3" s="58" t="s">
        <v>3</v>
      </c>
      <c r="C3" s="77"/>
      <c r="D3" s="58" t="s">
        <v>1</v>
      </c>
      <c r="E3" s="60"/>
      <c r="F3" s="58" t="s">
        <v>18</v>
      </c>
      <c r="G3" s="59"/>
      <c r="H3" s="59"/>
      <c r="I3" s="60"/>
      <c r="J3" s="74" t="s">
        <v>13</v>
      </c>
      <c r="L3" s="74" t="s">
        <v>46</v>
      </c>
      <c r="M3" s="74" t="s">
        <v>19</v>
      </c>
      <c r="N3" s="74" t="s">
        <v>1</v>
      </c>
      <c r="O3" s="74" t="s">
        <v>34</v>
      </c>
      <c r="P3" s="74" t="s">
        <v>9</v>
      </c>
      <c r="Q3" s="74" t="s">
        <v>4</v>
      </c>
      <c r="R3" s="74" t="s">
        <v>13</v>
      </c>
      <c r="S3" s="74" t="s">
        <v>49</v>
      </c>
      <c r="AA3" s="76" t="s">
        <v>48</v>
      </c>
      <c r="AB3" s="76" t="s">
        <v>0</v>
      </c>
      <c r="AC3" s="76" t="s">
        <v>1</v>
      </c>
    </row>
    <row r="4" spans="1:29" x14ac:dyDescent="0.25">
      <c r="A4" s="75"/>
      <c r="B4" s="3" t="s">
        <v>19</v>
      </c>
      <c r="C4" s="3" t="s">
        <v>15</v>
      </c>
      <c r="D4" s="3" t="s">
        <v>20</v>
      </c>
      <c r="E4" s="3" t="s">
        <v>15</v>
      </c>
      <c r="F4" s="3" t="s">
        <v>0</v>
      </c>
      <c r="G4" s="3" t="s">
        <v>16</v>
      </c>
      <c r="H4" s="3" t="s">
        <v>9</v>
      </c>
      <c r="I4" s="3" t="s">
        <v>4</v>
      </c>
      <c r="J4" s="75"/>
      <c r="L4" s="75"/>
      <c r="M4" s="75"/>
      <c r="N4" s="75"/>
      <c r="O4" s="75"/>
      <c r="P4" s="75"/>
      <c r="Q4" s="75"/>
      <c r="R4" s="75"/>
      <c r="S4" s="75"/>
      <c r="AA4" s="76"/>
      <c r="AB4" s="76"/>
      <c r="AC4" s="76"/>
    </row>
    <row r="5" spans="1:29" x14ac:dyDescent="0.25">
      <c r="A5" s="38" t="str">
        <f>'2025.04'!$N$2</f>
        <v>2025.04</v>
      </c>
      <c r="B5" s="4">
        <f>'2025.04'!$B$50-'2025.04'!$G$50</f>
        <v>6.02</v>
      </c>
      <c r="C5" s="4">
        <f>B5</f>
        <v>6.02</v>
      </c>
      <c r="D5" s="6">
        <f>'2025.04'!$D$50-'2025.04'!$I$50</f>
        <v>1.0564056278416492</v>
      </c>
      <c r="E5" s="6">
        <f>D5</f>
        <v>1.0564056278416492</v>
      </c>
      <c r="F5" s="6">
        <v>6.1790000000000003</v>
      </c>
      <c r="G5" s="4">
        <f t="shared" ref="G5:G17" si="0">E5*F5</f>
        <v>6.5275303744335504</v>
      </c>
      <c r="H5" s="4">
        <f t="shared" ref="H5:H17" si="1">G5-C5</f>
        <v>0.50753037443355087</v>
      </c>
      <c r="I5" s="11">
        <f t="shared" ref="I5:I17" si="2">(G5-C5)/C5</f>
        <v>8.430737116836394E-2</v>
      </c>
      <c r="J5" s="4">
        <f>'2025.04'!$L$50</f>
        <v>0</v>
      </c>
      <c r="L5" s="3" t="s">
        <v>2</v>
      </c>
      <c r="M5" s="4">
        <f>SUM(B5:B200)</f>
        <v>22.8</v>
      </c>
      <c r="N5" s="6">
        <f>SUM(D5:D200)</f>
        <v>3.4144619633778657</v>
      </c>
      <c r="O5" s="4">
        <v>29.11</v>
      </c>
      <c r="P5" s="4">
        <f>IF(O5&gt;0,O5-M5,"")</f>
        <v>6.3099999999999987</v>
      </c>
      <c r="Q5" s="11">
        <f>IF(O5&gt;0,(O5-M5)/M5,"")</f>
        <v>0.2767543859649122</v>
      </c>
      <c r="R5" s="4">
        <f>SUM(J5:J200)</f>
        <v>0</v>
      </c>
      <c r="S5" s="4" cm="1">
        <f t="array" ref="S5">SUMPRODUCT(IFERROR(AB5:AB200,0),IFERROR(AC5:AC200,0))/SUM(IFERROR(AC5:AC200,0))</f>
        <v>6.5997734393812086</v>
      </c>
      <c r="AA5" s="4">
        <f>'2025.04'!$B$50</f>
        <v>6.02</v>
      </c>
      <c r="AB5" s="4">
        <f>'2025.04'!$C$50</f>
        <v>5.6985686570976624</v>
      </c>
      <c r="AC5" s="6">
        <f>'2025.04'!$D$50</f>
        <v>1.0564056278416492</v>
      </c>
    </row>
    <row r="6" spans="1:29" x14ac:dyDescent="0.25">
      <c r="A6" s="38" t="str">
        <f>'2025.05'!$N$2</f>
        <v>2025.05</v>
      </c>
      <c r="B6" s="4">
        <f>'2025.05'!$B$50-'2025.05'!$G$50</f>
        <v>2.4900000000000002</v>
      </c>
      <c r="C6" s="4">
        <f t="shared" ref="C6:C17" si="3">C5+B6</f>
        <v>8.51</v>
      </c>
      <c r="D6" s="6">
        <f>'2025.05'!$D$50-'2025.05'!$I$50</f>
        <v>0.39199756822096576</v>
      </c>
      <c r="E6" s="6">
        <f t="shared" ref="E6:E17" si="4">E5+D6</f>
        <v>1.4484031960626149</v>
      </c>
      <c r="F6" s="6">
        <v>6.4130000000000003</v>
      </c>
      <c r="G6" s="4">
        <f t="shared" si="0"/>
        <v>9.2886096963495497</v>
      </c>
      <c r="H6" s="4">
        <f t="shared" si="1"/>
        <v>0.77860969634954991</v>
      </c>
      <c r="I6" s="11">
        <f t="shared" si="2"/>
        <v>9.1493501333672136E-2</v>
      </c>
      <c r="J6" s="4">
        <f>'2025.05'!$L$50</f>
        <v>0</v>
      </c>
      <c r="AA6" s="4">
        <f>'2025.05'!$B$50</f>
        <v>2.4900000000000002</v>
      </c>
      <c r="AB6" s="4">
        <f>'2025.05'!$C$50</f>
        <v>6.3520802215701702</v>
      </c>
      <c r="AC6" s="6">
        <f>'2025.05'!$D$50</f>
        <v>0.39199756822096576</v>
      </c>
    </row>
    <row r="7" spans="1:29" x14ac:dyDescent="0.25">
      <c r="A7" s="38" t="str">
        <f>'2025.06'!$N$2</f>
        <v>2025.06</v>
      </c>
      <c r="B7" s="4">
        <f>'2025.06'!$B$50-'2025.06'!$G$50</f>
        <v>0.56000000000000005</v>
      </c>
      <c r="C7" s="4">
        <f t="shared" si="3"/>
        <v>9.07</v>
      </c>
      <c r="D7" s="6">
        <f>'2025.06'!$D$50-'2025.06'!$I$50</f>
        <v>8.7646534049113364E-2</v>
      </c>
      <c r="E7" s="6">
        <f t="shared" si="4"/>
        <v>1.5360497301117282</v>
      </c>
      <c r="F7" s="6">
        <v>6.3209999999999997</v>
      </c>
      <c r="G7" s="4">
        <f t="shared" si="0"/>
        <v>9.709370344036234</v>
      </c>
      <c r="H7" s="4">
        <f t="shared" si="1"/>
        <v>0.63937034403623372</v>
      </c>
      <c r="I7" s="11">
        <f t="shared" si="2"/>
        <v>7.0492871448316841E-2</v>
      </c>
      <c r="J7" s="4">
        <f>'2025.06'!$L$50</f>
        <v>0</v>
      </c>
      <c r="AA7" s="4">
        <f>'2025.06'!$B$50</f>
        <v>0.56000000000000005</v>
      </c>
      <c r="AB7" s="4">
        <f>'2025.06'!$C$50</f>
        <v>6.3893000000000004</v>
      </c>
      <c r="AC7" s="6">
        <f>'2025.06'!$D$50</f>
        <v>8.7646534049113364E-2</v>
      </c>
    </row>
    <row r="8" spans="1:29" x14ac:dyDescent="0.25">
      <c r="A8" s="38" t="str">
        <f>'2025.07'!$N$2</f>
        <v>2025.07</v>
      </c>
      <c r="B8" s="4">
        <f>'2025.07'!$B$50-'2025.07'!$G$50</f>
        <v>0.82</v>
      </c>
      <c r="C8" s="4">
        <f t="shared" si="3"/>
        <v>9.89</v>
      </c>
      <c r="D8" s="6">
        <f>'2025.07'!$D$50-'2025.07'!$I$50</f>
        <v>0.13038638893305771</v>
      </c>
      <c r="E8" s="6">
        <f t="shared" si="4"/>
        <v>1.6664361190447858</v>
      </c>
      <c r="F8" s="6">
        <v>6.3879999999999999</v>
      </c>
      <c r="G8" s="4">
        <f t="shared" si="0"/>
        <v>10.645193928458092</v>
      </c>
      <c r="H8" s="4">
        <f t="shared" si="1"/>
        <v>0.75519392845809108</v>
      </c>
      <c r="I8" s="11">
        <f t="shared" si="2"/>
        <v>7.6359345647936408E-2</v>
      </c>
      <c r="J8" s="4">
        <f>'2025.07'!$L$50</f>
        <v>0</v>
      </c>
      <c r="AA8" s="4">
        <f>'2025.07'!$B$50</f>
        <v>0.82</v>
      </c>
      <c r="AB8" s="4">
        <f>'2025.07'!$C$50</f>
        <v>6.2889999999999997</v>
      </c>
      <c r="AC8" s="6">
        <f>'2025.07'!$D$50</f>
        <v>0.13038638893305771</v>
      </c>
    </row>
    <row r="9" spans="1:29" x14ac:dyDescent="0.25">
      <c r="A9" s="38" t="str">
        <f>'2025.08'!$N$2</f>
        <v>2025.08</v>
      </c>
      <c r="B9" s="4">
        <f>'2025.08'!$B$50-'2025.08'!$G$50</f>
        <v>0.81</v>
      </c>
      <c r="C9" s="4">
        <f t="shared" si="3"/>
        <v>10.700000000000001</v>
      </c>
      <c r="D9" s="6">
        <f>'2025.08'!$D$50-'2025.08'!$I$50</f>
        <v>0.12573734864948774</v>
      </c>
      <c r="E9" s="6">
        <f t="shared" si="4"/>
        <v>1.7921734676942735</v>
      </c>
      <c r="F9" s="6">
        <v>6.6210000000000004</v>
      </c>
      <c r="G9" s="4">
        <f t="shared" si="0"/>
        <v>11.865980529603785</v>
      </c>
      <c r="H9" s="4">
        <f t="shared" si="1"/>
        <v>1.1659805296037842</v>
      </c>
      <c r="I9" s="11">
        <f t="shared" si="2"/>
        <v>0.10897014295362469</v>
      </c>
      <c r="J9" s="4">
        <f>'2025.08'!$L$50</f>
        <v>0</v>
      </c>
      <c r="AA9" s="4">
        <f>'2025.08'!$B$50</f>
        <v>0.81</v>
      </c>
      <c r="AB9" s="4">
        <f>'2025.08'!$C$50</f>
        <v>6.4420000000000002</v>
      </c>
      <c r="AC9" s="6">
        <f>'2025.08'!$D$50</f>
        <v>0.12573734864948774</v>
      </c>
    </row>
    <row r="10" spans="1:29" x14ac:dyDescent="0.25">
      <c r="A10" s="38" t="str">
        <f>'2025.09'!$N$2</f>
        <v>2025.09</v>
      </c>
      <c r="B10" s="4">
        <f>'2025.09'!$B$50-'2025.09'!$G$50</f>
        <v>0.82</v>
      </c>
      <c r="C10" s="4">
        <f t="shared" si="3"/>
        <v>11.520000000000001</v>
      </c>
      <c r="D10" s="6">
        <f>'2025.09'!$D$50-'2025.09'!$I$50</f>
        <v>0.12386706948640483</v>
      </c>
      <c r="E10" s="6">
        <f t="shared" si="4"/>
        <v>1.9160405371806783</v>
      </c>
      <c r="F10" s="6">
        <v>6.7370000000000001</v>
      </c>
      <c r="G10" s="4">
        <f t="shared" si="0"/>
        <v>12.908365098986231</v>
      </c>
      <c r="H10" s="4">
        <f t="shared" si="1"/>
        <v>1.3883650989862293</v>
      </c>
      <c r="I10" s="11">
        <f t="shared" si="2"/>
        <v>0.1205178037314435</v>
      </c>
      <c r="J10" s="4">
        <f>'2025.09'!$L$50</f>
        <v>0</v>
      </c>
      <c r="AA10" s="4">
        <f>'2025.09'!$B$50</f>
        <v>0.82</v>
      </c>
      <c r="AB10" s="4">
        <f>'2025.09'!$C$50</f>
        <v>6.62</v>
      </c>
      <c r="AC10" s="6">
        <f>'2025.09'!$D$50</f>
        <v>0.12386706948640483</v>
      </c>
    </row>
    <row r="11" spans="1:29" x14ac:dyDescent="0.25">
      <c r="A11" s="38" t="str">
        <f>'2025.10'!$N$2</f>
        <v>2025.10</v>
      </c>
      <c r="B11" s="4">
        <f>'2025.10'!$B$50-'2025.10'!$G$50</f>
        <v>1.1200000000000001</v>
      </c>
      <c r="C11" s="4">
        <f t="shared" si="3"/>
        <v>12.64</v>
      </c>
      <c r="D11" s="6">
        <f>'2025.10'!$D$50-'2025.10'!$I$50</f>
        <v>0.16071172334624767</v>
      </c>
      <c r="E11" s="6">
        <f t="shared" si="4"/>
        <v>2.0767522605269262</v>
      </c>
      <c r="F11" s="6">
        <v>7.1390000000000002</v>
      </c>
      <c r="G11" s="4">
        <f t="shared" si="0"/>
        <v>14.825934387901727</v>
      </c>
      <c r="H11" s="4">
        <f t="shared" si="1"/>
        <v>2.1859343879017263</v>
      </c>
      <c r="I11" s="11">
        <f t="shared" si="2"/>
        <v>0.17293784714412391</v>
      </c>
      <c r="J11" s="4">
        <f>'2025.10'!$L$50</f>
        <v>0</v>
      </c>
      <c r="AA11" s="4">
        <f>'2025.10'!$B$50</f>
        <v>1.1200000000000001</v>
      </c>
      <c r="AB11" s="4">
        <f>'2025.10'!$C$50</f>
        <v>6.9690000000000003</v>
      </c>
      <c r="AC11" s="6">
        <f>'2025.10'!$D$50</f>
        <v>0.16071172334624767</v>
      </c>
    </row>
    <row r="12" spans="1:29" x14ac:dyDescent="0.25">
      <c r="A12" s="38" t="str">
        <f>'2025.11'!$N$2</f>
        <v>2025.11</v>
      </c>
      <c r="B12" s="4">
        <f>'2025.11'!$B$50-'2025.11'!$G$50</f>
        <v>1.1000000000000001</v>
      </c>
      <c r="C12" s="4">
        <f t="shared" si="3"/>
        <v>13.74</v>
      </c>
      <c r="D12" s="6">
        <f>'2025.11'!$D$50-'2025.11'!$I$50</f>
        <v>0.15426688170535027</v>
      </c>
      <c r="E12" s="6">
        <f t="shared" si="4"/>
        <v>2.2310191422322765</v>
      </c>
      <c r="F12" s="6">
        <v>7.0609999999999999</v>
      </c>
      <c r="G12" s="4">
        <f t="shared" si="0"/>
        <v>15.753226163302104</v>
      </c>
      <c r="H12" s="4">
        <f t="shared" si="1"/>
        <v>2.0132261633021038</v>
      </c>
      <c r="I12" s="11">
        <f t="shared" si="2"/>
        <v>0.14652301042955632</v>
      </c>
      <c r="J12" s="4">
        <f>'2025.11'!$L$50</f>
        <v>0</v>
      </c>
      <c r="AA12" s="4">
        <f>'2025.11'!$B$50</f>
        <v>1.1000000000000001</v>
      </c>
      <c r="AB12" s="4">
        <f>'2025.11'!$C$50</f>
        <v>7.1304999999999996</v>
      </c>
      <c r="AC12" s="6">
        <f>'2025.11'!$D$50</f>
        <v>0.15426688170535027</v>
      </c>
    </row>
    <row r="13" spans="1:29" x14ac:dyDescent="0.25">
      <c r="A13" s="38" t="str">
        <f>'2025.12'!$N$2</f>
        <v>2025.12</v>
      </c>
      <c r="B13" s="4">
        <f>'2025.12'!$B$50-'2025.12'!$G$50</f>
        <v>1.0900000000000001</v>
      </c>
      <c r="C13" s="4">
        <f t="shared" si="3"/>
        <v>14.83</v>
      </c>
      <c r="D13" s="6">
        <f>'2025.12'!$D$50-'2025.12'!$I$50</f>
        <v>0.1550718452126903</v>
      </c>
      <c r="E13" s="6">
        <f t="shared" si="4"/>
        <v>2.3860909874449669</v>
      </c>
      <c r="F13" s="6">
        <v>7.0949999999999998</v>
      </c>
      <c r="G13" s="4">
        <f t="shared" si="0"/>
        <v>16.929315555922042</v>
      </c>
      <c r="H13" s="4">
        <f t="shared" si="1"/>
        <v>2.0993155559220416</v>
      </c>
      <c r="I13" s="11">
        <f t="shared" si="2"/>
        <v>0.14155870235482412</v>
      </c>
      <c r="J13" s="4">
        <f>'2025.12'!$L$50</f>
        <v>0</v>
      </c>
      <c r="AA13" s="4">
        <f>'2025.12'!$B$50</f>
        <v>1.0900000000000001</v>
      </c>
      <c r="AB13" s="4">
        <f>'2025.12'!$C$50</f>
        <v>7.0289999999999999</v>
      </c>
      <c r="AC13" s="6">
        <f>'2025.12'!$D$50</f>
        <v>0.1550718452126903</v>
      </c>
    </row>
    <row r="14" spans="1:29" x14ac:dyDescent="0.25">
      <c r="A14" s="38" t="str">
        <f>'2026.01'!$N$2</f>
        <v>2026.01</v>
      </c>
      <c r="B14" s="4">
        <f>'2026.01'!$B$50-'2026.01'!$G$50</f>
        <v>1.1000000000000001</v>
      </c>
      <c r="C14" s="4">
        <f t="shared" si="3"/>
        <v>15.93</v>
      </c>
      <c r="D14" s="6">
        <f>'2026.01'!$D$50-'2026.01'!$I$50</f>
        <v>0.15062303163083665</v>
      </c>
      <c r="E14" s="6">
        <f t="shared" si="4"/>
        <v>2.5367140190758035</v>
      </c>
      <c r="F14" s="6">
        <v>7.399</v>
      </c>
      <c r="G14" s="4">
        <f t="shared" si="0"/>
        <v>18.769147027141869</v>
      </c>
      <c r="H14" s="4">
        <f t="shared" si="1"/>
        <v>2.8391470271418697</v>
      </c>
      <c r="I14" s="11">
        <f t="shared" si="2"/>
        <v>0.17822642982685938</v>
      </c>
      <c r="J14" s="4">
        <f>'2026.01'!$L$50</f>
        <v>0</v>
      </c>
      <c r="AA14" s="4">
        <f>'2026.01'!$B$50</f>
        <v>1.1000000000000001</v>
      </c>
      <c r="AB14" s="4">
        <f>'2026.01'!$C$50</f>
        <v>7.3029999999999999</v>
      </c>
      <c r="AC14" s="6">
        <f>'2026.01'!$D$50</f>
        <v>0.15062303163083665</v>
      </c>
    </row>
    <row r="15" spans="1:29" x14ac:dyDescent="0.25">
      <c r="A15" s="38" t="str">
        <f>'2026.02'!$N$2</f>
        <v>2026.02</v>
      </c>
      <c r="B15" s="4">
        <f>'2026.02'!$B$50-'2026.02'!$G$50</f>
        <v>1.1100000000000001</v>
      </c>
      <c r="C15" s="4">
        <f t="shared" si="3"/>
        <v>17.04</v>
      </c>
      <c r="D15" s="6">
        <f>'2026.02'!$D$50-'2026.02'!$I$50</f>
        <v>0.14742993757471112</v>
      </c>
      <c r="E15" s="6">
        <f t="shared" si="4"/>
        <v>2.6841439566505145</v>
      </c>
      <c r="F15" s="6">
        <v>7.9989999999999997</v>
      </c>
      <c r="G15" s="4">
        <f t="shared" si="0"/>
        <v>21.470467509247463</v>
      </c>
      <c r="H15" s="4">
        <f t="shared" si="1"/>
        <v>4.4304675092474639</v>
      </c>
      <c r="I15" s="11">
        <f t="shared" si="2"/>
        <v>0.26000396181029717</v>
      </c>
      <c r="J15" s="4">
        <f>'2026.02'!$L$50</f>
        <v>0</v>
      </c>
      <c r="AA15" s="4">
        <f>'2026.02'!$B$50</f>
        <v>1.1100000000000001</v>
      </c>
      <c r="AB15" s="4">
        <f>'2026.02'!$C$50</f>
        <v>7.5290000000000008</v>
      </c>
      <c r="AC15" s="6">
        <f>'2026.02'!$D$50</f>
        <v>0.14742993757471112</v>
      </c>
    </row>
    <row r="16" spans="1:29" x14ac:dyDescent="0.25">
      <c r="A16" s="38" t="str">
        <f>'2026.03'!$N$2</f>
        <v>2026.03</v>
      </c>
      <c r="B16" s="4">
        <f>'2026.03'!$B$50-'2026.03'!$G$50</f>
        <v>1.17</v>
      </c>
      <c r="C16" s="4">
        <f t="shared" si="3"/>
        <v>18.21</v>
      </c>
      <c r="D16" s="6">
        <f>'2026.03'!$D$50-'2026.03'!$I$50</f>
        <v>0.15612073336713725</v>
      </c>
      <c r="E16" s="6">
        <f t="shared" si="4"/>
        <v>2.8402646900176518</v>
      </c>
      <c r="F16" s="6">
        <v>7.3070000000000004</v>
      </c>
      <c r="G16" s="4">
        <f t="shared" si="0"/>
        <v>20.753814089958983</v>
      </c>
      <c r="H16" s="4">
        <f t="shared" si="1"/>
        <v>2.5438140899589818</v>
      </c>
      <c r="I16" s="11">
        <f t="shared" si="2"/>
        <v>0.13969325040960909</v>
      </c>
      <c r="J16" s="4">
        <f>'2026.03'!$L$50</f>
        <v>0</v>
      </c>
      <c r="AA16" s="4">
        <f>'2026.03'!$B$50</f>
        <v>1.17</v>
      </c>
      <c r="AB16" s="4">
        <f>'2026.03'!$C$50</f>
        <v>7.4941999999999993</v>
      </c>
      <c r="AC16" s="6">
        <f>'2026.03'!$D$50</f>
        <v>0.15612073336713725</v>
      </c>
    </row>
    <row r="17" spans="1:29" x14ac:dyDescent="0.25">
      <c r="A17" s="38" t="str">
        <f>'2026.04'!$N$2</f>
        <v>2026.04</v>
      </c>
      <c r="B17" s="4">
        <f>'2026.04'!$B$50-'2026.04'!$G$50</f>
        <v>1.18</v>
      </c>
      <c r="C17" s="4">
        <f t="shared" si="3"/>
        <v>19.39</v>
      </c>
      <c r="D17" s="6">
        <f>'2026.04'!$D$50-'2026.04'!$I$50</f>
        <v>0.15745930077395248</v>
      </c>
      <c r="E17" s="6">
        <f t="shared" si="4"/>
        <v>2.9977239907916045</v>
      </c>
      <c r="F17" s="6">
        <v>7.63</v>
      </c>
      <c r="G17" s="4">
        <f t="shared" si="0"/>
        <v>22.872634049739943</v>
      </c>
      <c r="H17" s="4">
        <f t="shared" si="1"/>
        <v>3.4826340497399428</v>
      </c>
      <c r="I17" s="11">
        <f t="shared" si="2"/>
        <v>0.17960980143063141</v>
      </c>
      <c r="J17" s="4">
        <f>'2026.04'!$L$50</f>
        <v>0</v>
      </c>
      <c r="AA17" s="4">
        <f>'2026.04'!$B$50</f>
        <v>1.18</v>
      </c>
      <c r="AB17" s="4">
        <f>'2026.04'!$C$50</f>
        <v>7.4940000000000007</v>
      </c>
      <c r="AC17" s="6">
        <f>'2026.04'!$D$50</f>
        <v>0.15745930077395248</v>
      </c>
    </row>
    <row r="18" spans="1:29" x14ac:dyDescent="0.25">
      <c r="A18" s="38" t="str">
        <f>'2026.05'!$N$2</f>
        <v>2026.05</v>
      </c>
      <c r="B18" s="4">
        <f>'2026.05'!$B$49-'2026.05'!$G$49</f>
        <v>1.1299999999999999</v>
      </c>
      <c r="C18" s="4">
        <f t="shared" ref="C18" si="5">C17+B18</f>
        <v>20.52</v>
      </c>
      <c r="D18" s="6">
        <f>'2026.05'!$D$49-'2026.05'!$I$49</f>
        <v>0.14524421593830333</v>
      </c>
      <c r="E18" s="6">
        <f t="shared" ref="E18" si="6">E17+D18</f>
        <v>3.1429682067299076</v>
      </c>
      <c r="F18" s="6">
        <v>8.2089999999999996</v>
      </c>
      <c r="G18" s="4">
        <f t="shared" ref="G18" si="7">E18*F18</f>
        <v>25.800626009045811</v>
      </c>
      <c r="H18" s="4">
        <f t="shared" ref="H18" si="8">G18-C18</f>
        <v>5.280626009045811</v>
      </c>
      <c r="I18" s="11">
        <f t="shared" ref="I18" si="9">(G18-C18)/C18</f>
        <v>0.25734044878390894</v>
      </c>
      <c r="J18" s="4">
        <f>'2026.05'!$L$49</f>
        <v>0</v>
      </c>
      <c r="AA18" s="4">
        <f>'2026.05'!$B$49</f>
        <v>1.1299999999999999</v>
      </c>
      <c r="AB18" s="4">
        <f>'2026.05'!$C$49</f>
        <v>7.7799999999999994</v>
      </c>
      <c r="AC18" s="6">
        <f>'2026.05'!$D$49</f>
        <v>0.14524421593830333</v>
      </c>
    </row>
    <row r="19" spans="1:29" x14ac:dyDescent="0.25">
      <c r="A19" s="38" t="str">
        <f>'2026.06'!$N$2</f>
        <v>2026.06</v>
      </c>
      <c r="B19" s="4">
        <f>'2026.06'!$B$49-'2026.06'!$G$49</f>
        <v>1.1200000000000001</v>
      </c>
      <c r="C19" s="4">
        <f t="shared" ref="C19" si="10">C18+B19</f>
        <v>21.64</v>
      </c>
      <c r="D19" s="6">
        <f>'2026.06'!$D$49-'2026.06'!$I$49</f>
        <v>0.13593222807485983</v>
      </c>
      <c r="E19" s="6">
        <f t="shared" ref="E19" si="11">E18+D19</f>
        <v>3.2789004348047674</v>
      </c>
      <c r="F19" s="6">
        <v>8.5020000000000007</v>
      </c>
      <c r="G19" s="4">
        <f t="shared" ref="G19" si="12">E19*F19</f>
        <v>27.877211496710135</v>
      </c>
      <c r="H19" s="4">
        <f t="shared" ref="H19" si="13">G19-C19</f>
        <v>6.2372114967101346</v>
      </c>
      <c r="I19" s="11">
        <f t="shared" ref="I19" si="14">(G19-C19)/C19</f>
        <v>0.28822603958919291</v>
      </c>
      <c r="J19" s="4">
        <f>'2026.06'!$L$49</f>
        <v>0</v>
      </c>
      <c r="AA19" s="4">
        <f>'2026.06'!$B$49</f>
        <v>1.1200000000000001</v>
      </c>
      <c r="AB19" s="4">
        <f>'2026.06'!$C$49</f>
        <v>8.2393999999999998</v>
      </c>
      <c r="AC19" s="6">
        <f>'2026.06'!$D$49</f>
        <v>0.13593222807485983</v>
      </c>
    </row>
    <row r="20" spans="1:29" x14ac:dyDescent="0.25">
      <c r="A20" s="49" t="str">
        <f>'2026.07'!$N$2</f>
        <v>2026.07</v>
      </c>
      <c r="B20" s="50">
        <f>'2026.07'!$B$49</f>
        <v>1.1599999999999999</v>
      </c>
      <c r="C20" s="50">
        <f t="shared" ref="C20" si="15">C19+B20</f>
        <v>22.8</v>
      </c>
      <c r="D20" s="51">
        <f>'2026.07'!$D$49</f>
        <v>0.13556152857309803</v>
      </c>
      <c r="E20" s="51">
        <f t="shared" ref="E20" si="16">E19+D20</f>
        <v>3.4144619633778657</v>
      </c>
      <c r="F20" s="51">
        <v>8.5250000000000004</v>
      </c>
      <c r="G20" s="50">
        <f t="shared" ref="G20" si="17">E20*F20</f>
        <v>29.108288237796305</v>
      </c>
      <c r="H20" s="50">
        <f t="shared" ref="H20" si="18">G20-C20</f>
        <v>6.3082882377963045</v>
      </c>
      <c r="I20" s="52">
        <f t="shared" ref="I20" si="19">(G20-C20)/C20</f>
        <v>0.27667930867527651</v>
      </c>
      <c r="J20" s="50">
        <f>'2026.07'!$L$49</f>
        <v>0</v>
      </c>
      <c r="AA20" s="5"/>
      <c r="AB20" s="5"/>
      <c r="AC20" s="5"/>
    </row>
    <row r="21" spans="1:29" x14ac:dyDescent="0.25">
      <c r="A21" s="5"/>
      <c r="B21" s="4"/>
      <c r="C21" s="4"/>
      <c r="D21" s="10"/>
      <c r="E21" s="10"/>
      <c r="F21" s="4"/>
      <c r="G21" s="4"/>
      <c r="H21" s="4"/>
      <c r="I21" s="11"/>
      <c r="J21" s="4"/>
      <c r="AA21" s="5"/>
      <c r="AB21" s="5"/>
      <c r="AC21" s="5"/>
    </row>
    <row r="22" spans="1:29" x14ac:dyDescent="0.25">
      <c r="A22" s="5"/>
      <c r="B22" s="4"/>
      <c r="C22" s="4"/>
      <c r="D22" s="10"/>
      <c r="E22" s="10"/>
      <c r="F22" s="4"/>
      <c r="G22" s="4"/>
      <c r="H22" s="4"/>
      <c r="I22" s="11"/>
      <c r="J22" s="4"/>
    </row>
    <row r="23" spans="1:29" x14ac:dyDescent="0.25">
      <c r="A23" s="5"/>
      <c r="B23" s="4"/>
      <c r="C23" s="4"/>
      <c r="D23" s="10"/>
      <c r="E23" s="10"/>
      <c r="F23" s="4"/>
      <c r="G23" s="4"/>
      <c r="H23" s="4"/>
      <c r="I23" s="11"/>
      <c r="J23" s="4"/>
    </row>
    <row r="24" spans="1:29" x14ac:dyDescent="0.25">
      <c r="A24" s="5"/>
      <c r="B24" s="4"/>
      <c r="C24" s="4"/>
      <c r="D24" s="10"/>
      <c r="E24" s="10"/>
      <c r="F24" s="4"/>
      <c r="G24" s="4"/>
      <c r="H24" s="4"/>
      <c r="I24" s="11"/>
      <c r="J24" s="4"/>
    </row>
    <row r="25" spans="1:29" x14ac:dyDescent="0.25">
      <c r="A25" s="5"/>
      <c r="B25" s="4"/>
      <c r="C25" s="4"/>
      <c r="D25" s="10"/>
      <c r="E25" s="10"/>
      <c r="F25" s="4"/>
      <c r="G25" s="4"/>
      <c r="H25" s="4"/>
      <c r="I25" s="11"/>
      <c r="J25" s="4"/>
    </row>
    <row r="26" spans="1:29" x14ac:dyDescent="0.25">
      <c r="A26" s="5"/>
      <c r="B26" s="4"/>
      <c r="C26" s="4"/>
      <c r="D26" s="10"/>
      <c r="E26" s="10"/>
      <c r="F26" s="4"/>
      <c r="G26" s="4"/>
      <c r="H26" s="4"/>
      <c r="I26" s="11"/>
      <c r="J26" s="4"/>
    </row>
    <row r="27" spans="1:29" x14ac:dyDescent="0.25">
      <c r="A27" s="5"/>
      <c r="B27" s="4"/>
      <c r="C27" s="4"/>
      <c r="D27" s="10"/>
      <c r="E27" s="10"/>
      <c r="F27" s="4"/>
      <c r="G27" s="4"/>
      <c r="H27" s="4"/>
      <c r="I27" s="11"/>
      <c r="J27" s="4"/>
    </row>
    <row r="28" spans="1:29" x14ac:dyDescent="0.25">
      <c r="A28" s="5"/>
      <c r="B28" s="4"/>
      <c r="C28" s="4"/>
      <c r="D28" s="10"/>
      <c r="E28" s="10"/>
      <c r="F28" s="4"/>
      <c r="G28" s="4"/>
      <c r="H28" s="4"/>
      <c r="I28" s="11"/>
      <c r="J28" s="4"/>
    </row>
    <row r="29" spans="1:29" x14ac:dyDescent="0.25">
      <c r="A29" s="5"/>
      <c r="B29" s="4"/>
      <c r="C29" s="4"/>
      <c r="D29" s="10"/>
      <c r="E29" s="10"/>
      <c r="F29" s="4"/>
      <c r="G29" s="4"/>
      <c r="H29" s="4"/>
      <c r="I29" s="11"/>
      <c r="J29" s="4"/>
    </row>
    <row r="30" spans="1:29" x14ac:dyDescent="0.25">
      <c r="A30" s="5"/>
      <c r="B30" s="4"/>
      <c r="C30" s="4"/>
      <c r="D30" s="10"/>
      <c r="E30" s="10"/>
      <c r="F30" s="4"/>
      <c r="G30" s="4"/>
      <c r="H30" s="4"/>
      <c r="I30" s="11"/>
      <c r="J30" s="4"/>
    </row>
    <row r="31" spans="1:29" x14ac:dyDescent="0.25">
      <c r="A31" s="5"/>
      <c r="B31" s="4"/>
      <c r="C31" s="4"/>
      <c r="D31" s="10"/>
      <c r="E31" s="10"/>
      <c r="F31" s="4"/>
      <c r="G31" s="4"/>
      <c r="H31" s="4"/>
      <c r="I31" s="11"/>
      <c r="J31" s="4"/>
    </row>
  </sheetData>
  <mergeCells count="16">
    <mergeCell ref="L3:L4"/>
    <mergeCell ref="A3:A4"/>
    <mergeCell ref="B3:C3"/>
    <mergeCell ref="D3:E3"/>
    <mergeCell ref="F3:I3"/>
    <mergeCell ref="J3:J4"/>
    <mergeCell ref="AA3:AA4"/>
    <mergeCell ref="AB3:AB4"/>
    <mergeCell ref="AC3:AC4"/>
    <mergeCell ref="M3:M4"/>
    <mergeCell ref="R3:R4"/>
    <mergeCell ref="S3:S4"/>
    <mergeCell ref="N3:N4"/>
    <mergeCell ref="O3:O4"/>
    <mergeCell ref="P3:P4"/>
    <mergeCell ref="Q3:Q4"/>
  </mergeCells>
  <hyperlinks>
    <hyperlink ref="A5" location="'2025.04'!A1" display="'2025.04'!A1" xr:uid="{826F97AD-FD99-4F4D-AB99-628167AD3DAC}"/>
    <hyperlink ref="A6" location="'2025.05'!A1" display="'2025.05'!A1" xr:uid="{F3CD12AE-ABAD-4434-995F-ADF04ECFC5C7}"/>
    <hyperlink ref="A7" location="'2025.06'!A1" display="'2025.06'!A1" xr:uid="{543C11B4-2957-48C8-B519-4E22ED6A08AA}"/>
    <hyperlink ref="A8" location="'2025.07'!A1" display="'2025.07'!A1" xr:uid="{44720FBC-24E8-40A7-82C1-3FC2C4AD9955}"/>
    <hyperlink ref="A9" location="'2025.08'!A1" display="'2025.08'!A1" xr:uid="{89B1AEC1-ACEE-40D0-9C76-4E377B450BF9}"/>
    <hyperlink ref="A10" location="'2025.09'!A1" display="'2025.09'!A1" xr:uid="{51398E89-4CA4-435C-98C1-AF8B0ECFC27A}"/>
    <hyperlink ref="A11" location="'2025.10'!A1" display="'2025.10'!A1" xr:uid="{5948D82F-EAD8-4FFE-A973-23A8C61C49FC}"/>
    <hyperlink ref="A12" location="'2025.11'!A1" display="'2025.11'!A1" xr:uid="{DE9F1FFA-CD0E-416B-915A-AD1133357EB8}"/>
    <hyperlink ref="A13" location="'2025.12'!A1" display="'2025.12'!A1" xr:uid="{7830DA17-BFAC-4DB4-B732-AF164DAC1D85}"/>
    <hyperlink ref="A14" location="'2025.12'!A1" display="'2025.12'!A1" xr:uid="{E26598A6-88F5-4078-B5DC-3DC5A8C37FF6}"/>
    <hyperlink ref="A15" location="'2026.02'!A1" display="'2026.02'!A1" xr:uid="{567BDCB2-89A2-4AE3-A4E6-69114CD20FD7}"/>
    <hyperlink ref="A16" location="'2026.02'!A1" display="'2026.02'!A1" xr:uid="{29FD5FA3-3ABF-4684-9DCD-8E8C9F87B566}"/>
    <hyperlink ref="A17" location="'2026.04'!A1" display="'2026.04'!A1" xr:uid="{9E39E7B6-5411-4D54-A571-8DEDA0648897}"/>
    <hyperlink ref="A18" location="'2026.05'!A1" display="'2026.05'!A1" xr:uid="{98C940BB-182E-427A-BA62-8162AB14DB25}"/>
    <hyperlink ref="A19" location="'2026.06'!A1" display="'2026.06'!A1" xr:uid="{B5B6DADF-36E6-40F0-A965-B95E26FF6485}"/>
    <hyperlink ref="A20" location="'2026.07'!A1" display="'2026.07'!A1" xr:uid="{B42CA834-82F6-4F02-A1A6-4AC16FD92559}"/>
  </hyperlinks>
  <pageMargins left="0.7" right="0.7" top="0.75" bottom="0.75" header="0.3" footer="0.3"/>
  <pageSetup orientation="portrait" r:id="rId1"/>
  <ignoredErrors>
    <ignoredError sqref="D5:D20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6B6C-B2D1-4E0A-A67D-5CE43434192E}">
  <dimension ref="A1:AC31"/>
  <sheetViews>
    <sheetView workbookViewId="0">
      <pane ySplit="13" topLeftCell="A14" activePane="bottomLeft" state="frozen"/>
      <selection activeCell="J36" sqref="J36"/>
      <selection pane="bottomLeft" activeCell="P5" sqref="P5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9" width="10.7109375" customWidth="1"/>
    <col min="27" max="29" width="10.7109375" customWidth="1"/>
  </cols>
  <sheetData>
    <row r="1" spans="1:29" x14ac:dyDescent="0.25">
      <c r="A1" s="9" t="s">
        <v>41</v>
      </c>
    </row>
    <row r="3" spans="1:29" x14ac:dyDescent="0.25">
      <c r="A3" s="74" t="s">
        <v>17</v>
      </c>
      <c r="B3" s="58" t="s">
        <v>3</v>
      </c>
      <c r="C3" s="77"/>
      <c r="D3" s="58" t="s">
        <v>1</v>
      </c>
      <c r="E3" s="60"/>
      <c r="F3" s="58" t="s">
        <v>18</v>
      </c>
      <c r="G3" s="59"/>
      <c r="H3" s="59"/>
      <c r="I3" s="60"/>
      <c r="J3" s="74" t="s">
        <v>13</v>
      </c>
      <c r="L3" s="74" t="s">
        <v>46</v>
      </c>
      <c r="M3" s="74" t="s">
        <v>19</v>
      </c>
      <c r="N3" s="74" t="s">
        <v>1</v>
      </c>
      <c r="O3" s="74" t="s">
        <v>34</v>
      </c>
      <c r="P3" s="74" t="s">
        <v>9</v>
      </c>
      <c r="Q3" s="74" t="s">
        <v>4</v>
      </c>
      <c r="R3" s="74" t="s">
        <v>13</v>
      </c>
      <c r="S3" s="74" t="s">
        <v>49</v>
      </c>
      <c r="AA3" s="76" t="s">
        <v>48</v>
      </c>
      <c r="AB3" s="76" t="s">
        <v>0</v>
      </c>
      <c r="AC3" s="76" t="s">
        <v>1</v>
      </c>
    </row>
    <row r="4" spans="1:29" x14ac:dyDescent="0.25">
      <c r="A4" s="75"/>
      <c r="B4" s="3" t="s">
        <v>19</v>
      </c>
      <c r="C4" s="3" t="s">
        <v>15</v>
      </c>
      <c r="D4" s="3" t="s">
        <v>20</v>
      </c>
      <c r="E4" s="3" t="s">
        <v>15</v>
      </c>
      <c r="F4" s="3" t="s">
        <v>0</v>
      </c>
      <c r="G4" s="3" t="s">
        <v>16</v>
      </c>
      <c r="H4" s="3" t="s">
        <v>9</v>
      </c>
      <c r="I4" s="3" t="s">
        <v>4</v>
      </c>
      <c r="J4" s="75"/>
      <c r="L4" s="75"/>
      <c r="M4" s="75"/>
      <c r="N4" s="75"/>
      <c r="O4" s="75"/>
      <c r="P4" s="75"/>
      <c r="Q4" s="75"/>
      <c r="R4" s="75"/>
      <c r="S4" s="75"/>
      <c r="AA4" s="76"/>
      <c r="AB4" s="76"/>
      <c r="AC4" s="76"/>
    </row>
    <row r="5" spans="1:29" x14ac:dyDescent="0.25">
      <c r="A5" s="38" t="str">
        <f>'2025.04'!$N$2</f>
        <v>2025.04</v>
      </c>
      <c r="B5" s="4">
        <f>'2025.04'!$B$60-'2025.04'!$G$60</f>
        <v>35.65</v>
      </c>
      <c r="C5" s="4">
        <f>B5</f>
        <v>35.65</v>
      </c>
      <c r="D5" s="6">
        <f>'2025.04'!$D$60-'2025.04'!$I$60</f>
        <v>4.2148669275333059</v>
      </c>
      <c r="E5" s="6">
        <f>D5</f>
        <v>4.2148669275333059</v>
      </c>
      <c r="F5" s="6">
        <v>8.7750000000000004</v>
      </c>
      <c r="G5" s="4">
        <f t="shared" ref="G5:G17" si="0">E5*F5</f>
        <v>36.985457289104758</v>
      </c>
      <c r="H5" s="4">
        <f t="shared" ref="H5:H17" si="1">G5-C5</f>
        <v>1.3354572891047596</v>
      </c>
      <c r="I5" s="11">
        <f t="shared" ref="I5:I17" si="2">(G5-C5)/C5</f>
        <v>3.7460232513457495E-2</v>
      </c>
      <c r="J5" s="4">
        <f>'2025.04'!$L$60</f>
        <v>0</v>
      </c>
      <c r="L5" s="3" t="s">
        <v>2</v>
      </c>
      <c r="M5" s="4">
        <f>SUM(B5:B200)</f>
        <v>131.43</v>
      </c>
      <c r="N5" s="6">
        <f>SUM(D5:D200)</f>
        <v>13.487338236920975</v>
      </c>
      <c r="O5" s="4">
        <v>159.41</v>
      </c>
      <c r="P5" s="4">
        <f>IF(O5&gt;0,O5-M5,"")</f>
        <v>27.97999999999999</v>
      </c>
      <c r="Q5" s="11">
        <f>IF(O5&gt;0,(O5-M5)/M5,"")</f>
        <v>0.21288899033706146</v>
      </c>
      <c r="R5" s="4">
        <f>SUM(J5:J200)</f>
        <v>0</v>
      </c>
      <c r="S5" s="4" cm="1">
        <f t="array" ref="S5">SUMPRODUCT(IFERROR(AB5:AB200,0),IFERROR(AC5:AC200,0))/SUM(IFERROR(AC5:AC200,0))</f>
        <v>9.658876794114521</v>
      </c>
      <c r="AA5" s="4">
        <f>'2025.04'!$B$60</f>
        <v>35.65</v>
      </c>
      <c r="AB5" s="4">
        <f>'2025.04'!$C$60</f>
        <v>8.4581555273119093</v>
      </c>
      <c r="AC5" s="6">
        <f>'2025.04'!$D$60</f>
        <v>4.2148669275333059</v>
      </c>
    </row>
    <row r="6" spans="1:29" x14ac:dyDescent="0.25">
      <c r="A6" s="38" t="str">
        <f>'2025.05'!$N$2</f>
        <v>2025.05</v>
      </c>
      <c r="B6" s="4">
        <f>'2025.05'!$B$60-'2025.05'!$G$60</f>
        <v>14.64</v>
      </c>
      <c r="C6" s="4">
        <f t="shared" ref="C6:C14" si="3">C5+B6</f>
        <v>50.29</v>
      </c>
      <c r="D6" s="6">
        <f>'2025.05'!$D$60-'2025.05'!$I$60</f>
        <v>1.5562110237320446</v>
      </c>
      <c r="E6" s="6">
        <f t="shared" ref="E6:E14" si="4">E5+D6</f>
        <v>5.7710779512653509</v>
      </c>
      <c r="F6" s="6">
        <v>9.39</v>
      </c>
      <c r="G6" s="4">
        <f t="shared" si="0"/>
        <v>54.190421962381649</v>
      </c>
      <c r="H6" s="4">
        <f t="shared" si="1"/>
        <v>3.9004219623816496</v>
      </c>
      <c r="I6" s="11">
        <f t="shared" si="2"/>
        <v>7.7558599371279568E-2</v>
      </c>
      <c r="J6" s="4">
        <f>'2025.05'!$L$60</f>
        <v>0</v>
      </c>
      <c r="AA6" s="4">
        <f>'2025.05'!$B$60</f>
        <v>14.64</v>
      </c>
      <c r="AB6" s="4">
        <f>'2025.05'!$C$60</f>
        <v>9.4074645255313278</v>
      </c>
      <c r="AC6" s="6">
        <f>'2025.05'!$D$60</f>
        <v>1.5562110237320446</v>
      </c>
    </row>
    <row r="7" spans="1:29" x14ac:dyDescent="0.25">
      <c r="A7" s="38" t="str">
        <f>'2025.06'!$N$2</f>
        <v>2025.06</v>
      </c>
      <c r="B7" s="4">
        <f>'2025.06'!$B$60-'2025.06'!$G$60</f>
        <v>3.22</v>
      </c>
      <c r="C7" s="4">
        <f t="shared" si="3"/>
        <v>53.51</v>
      </c>
      <c r="D7" s="6">
        <f>'2025.06'!$D$60-'2025.06'!$I$60</f>
        <v>0.34416417272338606</v>
      </c>
      <c r="E7" s="6">
        <f t="shared" si="4"/>
        <v>6.1152421239887369</v>
      </c>
      <c r="F7" s="6">
        <v>9.5</v>
      </c>
      <c r="G7" s="4">
        <f t="shared" si="0"/>
        <v>58.094800177892999</v>
      </c>
      <c r="H7" s="4">
        <f t="shared" si="1"/>
        <v>4.5848001778930012</v>
      </c>
      <c r="I7" s="11">
        <f t="shared" si="2"/>
        <v>8.5681184412128603E-2</v>
      </c>
      <c r="J7" s="4">
        <f>'2025.06'!$L$60</f>
        <v>0</v>
      </c>
      <c r="AA7" s="4">
        <f>'2025.06'!$B$60</f>
        <v>3.22</v>
      </c>
      <c r="AB7" s="4">
        <f>'2025.06'!$C$60</f>
        <v>9.3559999999999999</v>
      </c>
      <c r="AC7" s="6">
        <f>'2025.06'!$D$60</f>
        <v>0.34416417272338606</v>
      </c>
    </row>
    <row r="8" spans="1:29" x14ac:dyDescent="0.25">
      <c r="A8" s="38" t="str">
        <f>'2025.07'!$N$2</f>
        <v>2025.07</v>
      </c>
      <c r="B8" s="4">
        <f>'2025.07'!$B$60-'2025.07'!$G$60</f>
        <v>4.82</v>
      </c>
      <c r="C8" s="4">
        <f t="shared" si="3"/>
        <v>58.33</v>
      </c>
      <c r="D8" s="6">
        <f>'2025.07'!$D$60-'2025.07'!$I$60</f>
        <v>0.50806366606935804</v>
      </c>
      <c r="E8" s="6">
        <f t="shared" si="4"/>
        <v>6.6233057900580947</v>
      </c>
      <c r="F8" s="6">
        <v>10.086</v>
      </c>
      <c r="G8" s="4">
        <f t="shared" si="0"/>
        <v>66.802662198525951</v>
      </c>
      <c r="H8" s="4">
        <f t="shared" si="1"/>
        <v>8.4726621985259527</v>
      </c>
      <c r="I8" s="11">
        <f t="shared" si="2"/>
        <v>0.14525393791403998</v>
      </c>
      <c r="J8" s="4">
        <f>'2025.07'!$L$60</f>
        <v>0</v>
      </c>
      <c r="AA8" s="4">
        <f>'2025.07'!$B$60</f>
        <v>4.82</v>
      </c>
      <c r="AB8" s="4">
        <f>'2025.07'!$C$60</f>
        <v>9.4870000000000001</v>
      </c>
      <c r="AC8" s="6">
        <f>'2025.07'!$D$60</f>
        <v>0.50806366606935804</v>
      </c>
    </row>
    <row r="9" spans="1:29" x14ac:dyDescent="0.25">
      <c r="A9" s="38" t="str">
        <f>'2025.08'!$N$2</f>
        <v>2025.08</v>
      </c>
      <c r="B9" s="4">
        <f>'2025.08'!$B$60-'2025.08'!$G$60</f>
        <v>4.88</v>
      </c>
      <c r="C9" s="4">
        <f t="shared" si="3"/>
        <v>63.21</v>
      </c>
      <c r="D9" s="6">
        <f>'2025.08'!$D$60-'2025.08'!$I$60</f>
        <v>0.49161831076724699</v>
      </c>
      <c r="E9" s="6">
        <f t="shared" si="4"/>
        <v>7.1149241008253421</v>
      </c>
      <c r="F9" s="6">
        <v>9.9600000000000009</v>
      </c>
      <c r="G9" s="4">
        <f t="shared" si="0"/>
        <v>70.864644044220412</v>
      </c>
      <c r="H9" s="4">
        <f t="shared" si="1"/>
        <v>7.6546440442204116</v>
      </c>
      <c r="I9" s="11">
        <f t="shared" si="2"/>
        <v>0.12109862433508008</v>
      </c>
      <c r="J9" s="4">
        <f>'2025.08'!$L$60</f>
        <v>0</v>
      </c>
      <c r="AA9" s="4">
        <f>'2025.08'!$B$60</f>
        <v>4.88</v>
      </c>
      <c r="AB9" s="4">
        <f>'2025.08'!$C$60</f>
        <v>9.9263999999999992</v>
      </c>
      <c r="AC9" s="6">
        <f>'2025.08'!$D$60</f>
        <v>0.49161831076724699</v>
      </c>
    </row>
    <row r="10" spans="1:29" x14ac:dyDescent="0.25">
      <c r="A10" s="38" t="str">
        <f>'2025.09'!$N$2</f>
        <v>2025.09</v>
      </c>
      <c r="B10" s="4">
        <f>'2025.09'!$B$60-'2025.09'!$G$60</f>
        <v>4.8600000000000003</v>
      </c>
      <c r="C10" s="4">
        <f t="shared" si="3"/>
        <v>68.070000000000007</v>
      </c>
      <c r="D10" s="6">
        <f>'2025.09'!$D$60-'2025.09'!$I$60</f>
        <v>0.48847166663316383</v>
      </c>
      <c r="E10" s="6">
        <f t="shared" si="4"/>
        <v>7.6033957674585055</v>
      </c>
      <c r="F10" s="6">
        <v>10.220000000000001</v>
      </c>
      <c r="G10" s="4">
        <f t="shared" si="0"/>
        <v>77.706704743425931</v>
      </c>
      <c r="H10" s="4">
        <f t="shared" si="1"/>
        <v>9.6367047434259234</v>
      </c>
      <c r="I10" s="11">
        <f t="shared" si="2"/>
        <v>0.1415705118763908</v>
      </c>
      <c r="J10" s="4">
        <f>'2025.09'!$L$60</f>
        <v>0</v>
      </c>
      <c r="AA10" s="4">
        <f>'2025.09'!$B$60</f>
        <v>4.8600000000000003</v>
      </c>
      <c r="AB10" s="4">
        <f>'2025.09'!$C$60</f>
        <v>9.9494000000000007</v>
      </c>
      <c r="AC10" s="6">
        <f>'2025.09'!$D$60</f>
        <v>0.48847166663316383</v>
      </c>
    </row>
    <row r="11" spans="1:29" x14ac:dyDescent="0.25">
      <c r="A11" s="38" t="str">
        <f>'2025.10'!$N$2</f>
        <v>2025.10</v>
      </c>
      <c r="B11" s="4">
        <f>'2025.10'!$B$60-'2025.10'!$G$60</f>
        <v>6.43</v>
      </c>
      <c r="C11" s="4">
        <f t="shared" si="3"/>
        <v>74.5</v>
      </c>
      <c r="D11" s="6">
        <f>'2025.10'!$D$60-'2025.10'!$I$60</f>
        <v>0.61794837296019367</v>
      </c>
      <c r="E11" s="6">
        <f t="shared" si="4"/>
        <v>8.2213441404186991</v>
      </c>
      <c r="F11" s="6">
        <v>10.676</v>
      </c>
      <c r="G11" s="4">
        <f t="shared" si="0"/>
        <v>87.771070043110029</v>
      </c>
      <c r="H11" s="4">
        <f t="shared" si="1"/>
        <v>13.271070043110029</v>
      </c>
      <c r="I11" s="11">
        <f t="shared" si="2"/>
        <v>0.17813516836389301</v>
      </c>
      <c r="J11" s="4">
        <f>'2025.10'!$L$60</f>
        <v>0</v>
      </c>
      <c r="AA11" s="4">
        <f>'2025.10'!$B$60</f>
        <v>6.43</v>
      </c>
      <c r="AB11" s="4">
        <f>'2025.10'!$C$60</f>
        <v>10.4054</v>
      </c>
      <c r="AC11" s="6">
        <f>'2025.10'!$D$60</f>
        <v>0.61794837296019367</v>
      </c>
    </row>
    <row r="12" spans="1:29" x14ac:dyDescent="0.25">
      <c r="A12" s="38" t="str">
        <f>'2025.11'!$N$2</f>
        <v>2025.11</v>
      </c>
      <c r="B12" s="4">
        <f>'2025.11'!$B$60-'2025.11'!$G$60</f>
        <v>6.45</v>
      </c>
      <c r="C12" s="4">
        <f t="shared" si="3"/>
        <v>80.95</v>
      </c>
      <c r="D12" s="6">
        <f>'2025.11'!$D$60-'2025.11'!$I$60</f>
        <v>0.60753341433778862</v>
      </c>
      <c r="E12" s="6">
        <f t="shared" si="4"/>
        <v>8.8288775547564882</v>
      </c>
      <c r="F12" s="6">
        <v>10.614000000000001</v>
      </c>
      <c r="G12" s="4">
        <f t="shared" si="0"/>
        <v>93.709706366185372</v>
      </c>
      <c r="H12" s="4">
        <f t="shared" si="1"/>
        <v>12.75970636618537</v>
      </c>
      <c r="I12" s="11">
        <f t="shared" si="2"/>
        <v>0.15762453818635416</v>
      </c>
      <c r="J12" s="4">
        <f>'2025.11'!$L$60</f>
        <v>0</v>
      </c>
      <c r="AA12" s="4">
        <f>'2025.11'!$B$60</f>
        <v>6.45</v>
      </c>
      <c r="AB12" s="4">
        <f>'2025.11'!$C$60</f>
        <v>10.6167</v>
      </c>
      <c r="AC12" s="6">
        <f>'2025.11'!$D$60</f>
        <v>0.60753341433778862</v>
      </c>
    </row>
    <row r="13" spans="1:29" x14ac:dyDescent="0.25">
      <c r="A13" s="38" t="str">
        <f>'2025.12'!$N$2</f>
        <v>2025.12</v>
      </c>
      <c r="B13" s="4">
        <f>'2025.12'!$B$60-'2025.12'!$G$60</f>
        <v>6.45</v>
      </c>
      <c r="C13" s="4">
        <f t="shared" si="3"/>
        <v>87.4</v>
      </c>
      <c r="D13" s="6">
        <f>'2025.12'!$D$60-'2025.12'!$I$60</f>
        <v>0.60964083175803407</v>
      </c>
      <c r="E13" s="6">
        <f t="shared" si="4"/>
        <v>9.4385183865145219</v>
      </c>
      <c r="F13" s="6">
        <v>10.577999999999999</v>
      </c>
      <c r="G13" s="4">
        <f t="shared" si="0"/>
        <v>99.840647492550602</v>
      </c>
      <c r="H13" s="4">
        <f t="shared" si="1"/>
        <v>12.440647492550596</v>
      </c>
      <c r="I13" s="11">
        <f t="shared" si="2"/>
        <v>0.14234150449142557</v>
      </c>
      <c r="J13" s="4">
        <f>'2025.12'!$L$60</f>
        <v>0</v>
      </c>
      <c r="AA13" s="4">
        <f>'2025.12'!$B$60</f>
        <v>6.45</v>
      </c>
      <c r="AB13" s="4">
        <f>'2025.12'!$C$60</f>
        <v>10.58</v>
      </c>
      <c r="AC13" s="6">
        <f>'2025.12'!$D$60</f>
        <v>0.60964083175803407</v>
      </c>
    </row>
    <row r="14" spans="1:29" x14ac:dyDescent="0.25">
      <c r="A14" s="38" t="str">
        <f>'2026.01'!$N$2</f>
        <v>2026.01</v>
      </c>
      <c r="B14" s="4">
        <f>'2026.01'!$B$60-'2026.01'!$G$60</f>
        <v>6.36</v>
      </c>
      <c r="C14" s="4">
        <f t="shared" si="3"/>
        <v>93.76</v>
      </c>
      <c r="D14" s="6">
        <f>'2026.01'!$D$60-'2026.01'!$I$60</f>
        <v>0.59977367031308948</v>
      </c>
      <c r="E14" s="6">
        <f t="shared" si="4"/>
        <v>10.038292056827611</v>
      </c>
      <c r="F14" s="6">
        <v>10.452</v>
      </c>
      <c r="G14" s="4">
        <f t="shared" si="0"/>
        <v>104.92022857796219</v>
      </c>
      <c r="H14" s="4">
        <f t="shared" si="1"/>
        <v>11.160228577962187</v>
      </c>
      <c r="I14" s="11">
        <f t="shared" si="2"/>
        <v>0.119029741659153</v>
      </c>
      <c r="J14" s="4">
        <f>'2026.01'!$L$60</f>
        <v>0</v>
      </c>
      <c r="AA14" s="4">
        <f>'2026.01'!$B$60</f>
        <v>6.36</v>
      </c>
      <c r="AB14" s="4">
        <f>'2026.01'!$C$60</f>
        <v>10.603999999999999</v>
      </c>
      <c r="AC14" s="6">
        <f>'2026.01'!$D$60</f>
        <v>0.59977367031308948</v>
      </c>
    </row>
    <row r="15" spans="1:29" x14ac:dyDescent="0.25">
      <c r="A15" s="38" t="str">
        <f>'2026.02'!$N$2</f>
        <v>2026.02</v>
      </c>
      <c r="B15" s="4">
        <f>'2026.02'!$B$60-'2026.02'!$G$60</f>
        <v>6.29</v>
      </c>
      <c r="C15" s="4">
        <f t="shared" ref="C15" si="5">C14+B15</f>
        <v>100.05000000000001</v>
      </c>
      <c r="D15" s="6">
        <f>'2026.02'!$D$60-'2026.02'!$I$60</f>
        <v>0.59429327286470146</v>
      </c>
      <c r="E15" s="6">
        <f t="shared" ref="E15" si="6">E14+D15</f>
        <v>10.632585329692313</v>
      </c>
      <c r="F15" s="6">
        <v>10.632999999999999</v>
      </c>
      <c r="G15" s="4">
        <f t="shared" si="0"/>
        <v>113.05627981061836</v>
      </c>
      <c r="H15" s="4">
        <f t="shared" si="1"/>
        <v>13.006279810618352</v>
      </c>
      <c r="I15" s="11">
        <f t="shared" si="2"/>
        <v>0.12999779920658022</v>
      </c>
      <c r="J15" s="4">
        <f>'2026.02'!$L$60</f>
        <v>0</v>
      </c>
      <c r="AA15" s="4">
        <f>'2026.02'!$B$60</f>
        <v>6.29</v>
      </c>
      <c r="AB15" s="4">
        <f>'2026.02'!$C$60</f>
        <v>10.584</v>
      </c>
      <c r="AC15" s="6">
        <f>'2026.02'!$D$60</f>
        <v>0.59429327286470146</v>
      </c>
    </row>
    <row r="16" spans="1:29" x14ac:dyDescent="0.25">
      <c r="A16" s="38" t="str">
        <f>'2026.03'!$N$2</f>
        <v>2026.03</v>
      </c>
      <c r="B16" s="4">
        <f>'2026.03'!$B$60-'2026.03'!$G$60</f>
        <v>6.23</v>
      </c>
      <c r="C16" s="4">
        <f t="shared" ref="C16" si="7">C15+B16</f>
        <v>106.28000000000002</v>
      </c>
      <c r="D16" s="6">
        <f>'2026.03'!$D$60-'2026.03'!$I$60</f>
        <v>0.59880815071126492</v>
      </c>
      <c r="E16" s="6">
        <f t="shared" ref="E16" si="8">E15+D16</f>
        <v>11.231393480403579</v>
      </c>
      <c r="F16" s="6">
        <v>9.9550000000000001</v>
      </c>
      <c r="G16" s="4">
        <f t="shared" si="0"/>
        <v>111.80852209741762</v>
      </c>
      <c r="H16" s="4">
        <f t="shared" si="1"/>
        <v>5.528522097417607</v>
      </c>
      <c r="I16" s="11">
        <f t="shared" si="2"/>
        <v>5.2018461586541269E-2</v>
      </c>
      <c r="J16" s="4">
        <f>'2026.03'!$L$60</f>
        <v>0</v>
      </c>
      <c r="AA16" s="4">
        <f>'2026.03'!$B$60</f>
        <v>6.23</v>
      </c>
      <c r="AB16" s="4">
        <f>'2026.03'!$C$60</f>
        <v>10.404</v>
      </c>
      <c r="AC16" s="6">
        <f>'2026.03'!$D$60</f>
        <v>0.59880815071126492</v>
      </c>
    </row>
    <row r="17" spans="1:29" x14ac:dyDescent="0.25">
      <c r="A17" s="38" t="str">
        <f>'2026.04'!$N$2</f>
        <v>2026.04</v>
      </c>
      <c r="B17" s="4">
        <f>'2026.04'!$B$60-'2026.04'!$G$60</f>
        <v>6.29</v>
      </c>
      <c r="C17" s="4">
        <f t="shared" ref="C17" si="9">C16+B17</f>
        <v>112.57000000000002</v>
      </c>
      <c r="D17" s="6">
        <f>'2026.04'!$D$60-'2026.04'!$I$60</f>
        <v>0.61842493363484419</v>
      </c>
      <c r="E17" s="6">
        <f t="shared" ref="E17" si="10">E16+D17</f>
        <v>11.849818414038424</v>
      </c>
      <c r="F17" s="6">
        <v>10.9</v>
      </c>
      <c r="G17" s="4">
        <f t="shared" si="0"/>
        <v>129.16302071301882</v>
      </c>
      <c r="H17" s="4">
        <f t="shared" si="1"/>
        <v>16.593020713018802</v>
      </c>
      <c r="I17" s="11">
        <f t="shared" si="2"/>
        <v>0.14740180077301945</v>
      </c>
      <c r="J17" s="4">
        <f>'2026.04'!$L$60</f>
        <v>0</v>
      </c>
      <c r="AA17" s="4">
        <f>'2026.04'!$B$60</f>
        <v>6.29</v>
      </c>
      <c r="AB17" s="4">
        <f>'2026.04'!$C$60</f>
        <v>10.170999999999999</v>
      </c>
      <c r="AC17" s="6">
        <f>'2026.04'!$D$60</f>
        <v>0.61842493363484419</v>
      </c>
    </row>
    <row r="18" spans="1:29" x14ac:dyDescent="0.25">
      <c r="A18" s="38" t="str">
        <f>'2026.05'!$N$2</f>
        <v>2026.05</v>
      </c>
      <c r="B18" s="4">
        <f>'2026.05'!$B$59-'2026.05'!$G$59</f>
        <v>6.3</v>
      </c>
      <c r="C18" s="4">
        <f t="shared" ref="C18" si="11">C17+B18</f>
        <v>118.87000000000002</v>
      </c>
      <c r="D18" s="6">
        <f>'2026.05'!$D$59-'2026.05'!$I$59</f>
        <v>0.57003257328990231</v>
      </c>
      <c r="E18" s="6">
        <f t="shared" ref="E18" si="12">E17+D18</f>
        <v>12.419850987328326</v>
      </c>
      <c r="F18" s="6">
        <v>11.64</v>
      </c>
      <c r="G18" s="4">
        <f t="shared" ref="G18" si="13">E18*F18</f>
        <v>144.56706549250171</v>
      </c>
      <c r="H18" s="4">
        <f t="shared" ref="H18" si="14">G18-C18</f>
        <v>25.697065492501693</v>
      </c>
      <c r="I18" s="11">
        <f t="shared" ref="I18" si="15">(G18-C18)/C18</f>
        <v>0.21617788754523168</v>
      </c>
      <c r="J18" s="4">
        <f>'2026.05'!$L$59</f>
        <v>0</v>
      </c>
      <c r="AA18" s="4">
        <f>'2026.05'!$B$59</f>
        <v>6.3</v>
      </c>
      <c r="AB18" s="4">
        <f>'2026.05'!$C$59</f>
        <v>11.052</v>
      </c>
      <c r="AC18" s="6">
        <f>'2026.05'!$D$59</f>
        <v>0.57003257328990231</v>
      </c>
    </row>
    <row r="19" spans="1:29" x14ac:dyDescent="0.25">
      <c r="A19" s="38" t="str">
        <f>'2026.06'!$N$2</f>
        <v>2026.06</v>
      </c>
      <c r="B19" s="4">
        <f>'2026.06'!$B$59-'2026.06'!$G$59</f>
        <v>6.3</v>
      </c>
      <c r="C19" s="4">
        <f t="shared" ref="C19" si="16">C18+B19</f>
        <v>125.17000000000002</v>
      </c>
      <c r="D19" s="6">
        <f>'2026.06'!$D$59-'2026.06'!$I$59</f>
        <v>0.53921274938589658</v>
      </c>
      <c r="E19" s="6">
        <f t="shared" ref="E19" si="17">E18+D19</f>
        <v>12.959063736714223</v>
      </c>
      <c r="F19" s="6">
        <v>11.77</v>
      </c>
      <c r="G19" s="4">
        <f t="shared" ref="G19" si="18">E19*F19</f>
        <v>152.5281801811264</v>
      </c>
      <c r="H19" s="4">
        <f t="shared" ref="H19" si="19">G19-C19</f>
        <v>27.358180181126386</v>
      </c>
      <c r="I19" s="11">
        <f t="shared" ref="I19" si="20">(G19-C19)/C19</f>
        <v>0.21856818871236225</v>
      </c>
      <c r="J19" s="4">
        <f>'2026.06'!$L$59</f>
        <v>0</v>
      </c>
      <c r="AA19" s="4">
        <f>'2026.06'!$B$59</f>
        <v>6.3</v>
      </c>
      <c r="AB19" s="4">
        <f>'2026.06'!$C$59</f>
        <v>11.6837</v>
      </c>
      <c r="AC19" s="6">
        <f>'2026.06'!$D$59</f>
        <v>0.53921274938589658</v>
      </c>
    </row>
    <row r="20" spans="1:29" x14ac:dyDescent="0.25">
      <c r="A20" s="49" t="str">
        <f>'2026.07'!$N$2</f>
        <v>2026.07</v>
      </c>
      <c r="B20" s="50">
        <f>'2026.07'!$B$59</f>
        <v>6.26</v>
      </c>
      <c r="C20" s="50">
        <f t="shared" ref="C20" si="21">C19+B20</f>
        <v>131.43</v>
      </c>
      <c r="D20" s="51">
        <f>'2026.07'!$D$59</f>
        <v>0.52827450020675282</v>
      </c>
      <c r="E20" s="51">
        <f t="shared" ref="E20" si="22">E19+D20</f>
        <v>13.487338236920975</v>
      </c>
      <c r="F20" s="51">
        <v>11.8193</v>
      </c>
      <c r="G20" s="50">
        <f t="shared" ref="G20" si="23">E20*F20</f>
        <v>159.41089682364009</v>
      </c>
      <c r="H20" s="50">
        <f t="shared" ref="H20" si="24">G20-C20</f>
        <v>27.98089682364008</v>
      </c>
      <c r="I20" s="52">
        <f t="shared" ref="I20" si="25">(G20-C20)/C20</f>
        <v>0.21289581392102319</v>
      </c>
      <c r="J20" s="50">
        <f>'2026.07'!$L$59</f>
        <v>0</v>
      </c>
      <c r="AA20" s="5"/>
      <c r="AB20" s="5"/>
      <c r="AC20" s="5"/>
    </row>
    <row r="21" spans="1:29" x14ac:dyDescent="0.25">
      <c r="A21" s="5"/>
      <c r="B21" s="4"/>
      <c r="C21" s="4"/>
      <c r="D21" s="10"/>
      <c r="E21" s="10"/>
      <c r="F21" s="4"/>
      <c r="G21" s="4"/>
      <c r="H21" s="4"/>
      <c r="I21" s="11"/>
      <c r="J21" s="4"/>
      <c r="AA21" s="5"/>
      <c r="AB21" s="5"/>
      <c r="AC21" s="5"/>
    </row>
    <row r="22" spans="1:29" x14ac:dyDescent="0.25">
      <c r="A22" s="5"/>
      <c r="B22" s="4"/>
      <c r="C22" s="4"/>
      <c r="D22" s="10"/>
      <c r="E22" s="10"/>
      <c r="F22" s="4"/>
      <c r="G22" s="4"/>
      <c r="H22" s="4"/>
      <c r="I22" s="11"/>
      <c r="J22" s="4"/>
    </row>
    <row r="23" spans="1:29" x14ac:dyDescent="0.25">
      <c r="A23" s="5"/>
      <c r="B23" s="4"/>
      <c r="C23" s="4"/>
      <c r="D23" s="10"/>
      <c r="E23" s="10"/>
      <c r="F23" s="4"/>
      <c r="G23" s="4"/>
      <c r="H23" s="4"/>
      <c r="I23" s="11"/>
      <c r="J23" s="4"/>
    </row>
    <row r="24" spans="1:29" x14ac:dyDescent="0.25">
      <c r="A24" s="5"/>
      <c r="B24" s="4"/>
      <c r="C24" s="4"/>
      <c r="D24" s="10"/>
      <c r="E24" s="10"/>
      <c r="F24" s="4"/>
      <c r="G24" s="4"/>
      <c r="H24" s="4"/>
      <c r="I24" s="11"/>
      <c r="J24" s="4"/>
    </row>
    <row r="25" spans="1:29" x14ac:dyDescent="0.25">
      <c r="A25" s="5"/>
      <c r="B25" s="4"/>
      <c r="C25" s="4"/>
      <c r="D25" s="10"/>
      <c r="E25" s="10"/>
      <c r="F25" s="4"/>
      <c r="G25" s="4"/>
      <c r="H25" s="4"/>
      <c r="I25" s="11"/>
      <c r="J25" s="4"/>
    </row>
    <row r="26" spans="1:29" x14ac:dyDescent="0.25">
      <c r="A26" s="5"/>
      <c r="B26" s="4"/>
      <c r="C26" s="4"/>
      <c r="D26" s="10"/>
      <c r="E26" s="10"/>
      <c r="F26" s="4"/>
      <c r="G26" s="4"/>
      <c r="H26" s="4"/>
      <c r="I26" s="11"/>
      <c r="J26" s="4"/>
    </row>
    <row r="27" spans="1:29" x14ac:dyDescent="0.25">
      <c r="A27" s="5"/>
      <c r="B27" s="4"/>
      <c r="C27" s="4"/>
      <c r="D27" s="10"/>
      <c r="E27" s="10"/>
      <c r="F27" s="4"/>
      <c r="G27" s="4"/>
      <c r="H27" s="4"/>
      <c r="I27" s="11"/>
      <c r="J27" s="4"/>
    </row>
    <row r="28" spans="1:29" x14ac:dyDescent="0.25">
      <c r="A28" s="5"/>
      <c r="B28" s="4"/>
      <c r="C28" s="4"/>
      <c r="D28" s="10"/>
      <c r="E28" s="10"/>
      <c r="F28" s="4"/>
      <c r="G28" s="4"/>
      <c r="H28" s="4"/>
      <c r="I28" s="11"/>
      <c r="J28" s="4"/>
    </row>
    <row r="29" spans="1:29" x14ac:dyDescent="0.25">
      <c r="A29" s="5"/>
      <c r="B29" s="4"/>
      <c r="C29" s="4"/>
      <c r="D29" s="10"/>
      <c r="E29" s="10"/>
      <c r="F29" s="4"/>
      <c r="G29" s="4"/>
      <c r="H29" s="4"/>
      <c r="I29" s="11"/>
      <c r="J29" s="4"/>
    </row>
    <row r="30" spans="1:29" x14ac:dyDescent="0.25">
      <c r="A30" s="5"/>
      <c r="B30" s="4"/>
      <c r="C30" s="4"/>
      <c r="D30" s="10"/>
      <c r="E30" s="10"/>
      <c r="F30" s="4"/>
      <c r="G30" s="4"/>
      <c r="H30" s="4"/>
      <c r="I30" s="11"/>
      <c r="J30" s="4"/>
    </row>
    <row r="31" spans="1:29" x14ac:dyDescent="0.25">
      <c r="A31" s="5"/>
      <c r="B31" s="4"/>
      <c r="C31" s="4"/>
      <c r="D31" s="10"/>
      <c r="E31" s="10"/>
      <c r="F31" s="4"/>
      <c r="G31" s="4"/>
      <c r="H31" s="4"/>
      <c r="I31" s="11"/>
      <c r="J31" s="4"/>
    </row>
  </sheetData>
  <mergeCells count="16">
    <mergeCell ref="AA3:AA4"/>
    <mergeCell ref="AB3:AB4"/>
    <mergeCell ref="AC3:AC4"/>
    <mergeCell ref="L3:L4"/>
    <mergeCell ref="A3:A4"/>
    <mergeCell ref="B3:C3"/>
    <mergeCell ref="D3:E3"/>
    <mergeCell ref="F3:I3"/>
    <mergeCell ref="J3:J4"/>
    <mergeCell ref="M3:M4"/>
    <mergeCell ref="R3:R4"/>
    <mergeCell ref="S3:S4"/>
    <mergeCell ref="N3:N4"/>
    <mergeCell ref="O3:O4"/>
    <mergeCell ref="P3:P4"/>
    <mergeCell ref="Q3:Q4"/>
  </mergeCells>
  <hyperlinks>
    <hyperlink ref="A5" location="'2025.04'!A1" display="'2025.04'!A1" xr:uid="{A8230418-B8AF-4B48-A08C-94B97454370A}"/>
    <hyperlink ref="A6" location="'2025.05'!A1" display="'2025.05'!A1" xr:uid="{3F9A4356-FF47-45C9-B5B1-0A076BC4DC65}"/>
    <hyperlink ref="A7" location="'2025.06'!A1" display="'2025.06'!A1" xr:uid="{D9B42757-A1B0-4DF3-944E-20E3B8062EE6}"/>
    <hyperlink ref="A8" location="'2025.07'!A1" display="'2025.07'!A1" xr:uid="{8A0A3B03-BFA4-464E-9C3D-D0C477A298A7}"/>
    <hyperlink ref="A9" location="'2025.08'!A1" display="'2025.08'!A1" xr:uid="{28F28F20-E8F4-418D-B28E-AB21DD144A9E}"/>
    <hyperlink ref="A10" location="'2025.09'!A1" display="'2025.09'!A1" xr:uid="{A4A2408D-4798-4019-8205-99382172646A}"/>
    <hyperlink ref="A11" location="'2025.10'!A1" display="'2025.10'!A1" xr:uid="{340B064E-0BB4-41F7-B488-439713CAC219}"/>
    <hyperlink ref="A12" location="'2025.11'!A1" display="'2025.11'!A1" xr:uid="{4D03A8D9-A4A2-4860-97F5-A9F0BC37DB06}"/>
    <hyperlink ref="A13" location="'2025.12'!A1" display="'2025.12'!A1" xr:uid="{B124D79D-DCFB-45B6-94D0-4558EDC02F14}"/>
    <hyperlink ref="A14" location="'2026.01'!A1" display="'2026.01'!A1" xr:uid="{71F2D041-4C15-4D2B-9EF3-EC529F1409A7}"/>
    <hyperlink ref="A15" location="'2026.02'!A1" display="'2026.02'!A1" xr:uid="{DA9AA044-B620-4F8F-8076-F37822652BD2}"/>
    <hyperlink ref="A16" location="'2026.03'!A1" display="'2026.03'!A1" xr:uid="{925EBD7E-8CE5-41CA-BCFD-F487A16D057D}"/>
    <hyperlink ref="A17" location="'2026.04'!A1" display="'2026.04'!A1" xr:uid="{79370D19-46E9-4680-8ADB-95C70986CF36}"/>
    <hyperlink ref="A18" location="'2026.04'!A1" display="'2026.04'!A1" xr:uid="{A101DB0A-F800-442C-948E-EB23AD70CBF3}"/>
    <hyperlink ref="A19" location="'2026.06'!A1" display="'2026.06'!A1" xr:uid="{5C94977B-6729-4E65-B0A6-DCF8A9B3EA12}"/>
    <hyperlink ref="A20" location="'2026.07'!A1" display="'2026.07'!A1" xr:uid="{69B4367F-81CF-48A7-B9B2-11710CB95ADE}"/>
  </hyperlinks>
  <pageMargins left="0.7" right="0.7" top="0.75" bottom="0.75" header="0.3" footer="0.3"/>
  <pageSetup orientation="portrait" r:id="rId1"/>
  <ignoredErrors>
    <ignoredError sqref="D5:D20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5011-0D69-4430-88B7-FD35EF8E28E1}">
  <dimension ref="A2:T59"/>
  <sheetViews>
    <sheetView workbookViewId="0">
      <selection activeCell="R15" sqref="R15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54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7">
        <v>46212</v>
      </c>
      <c r="O5" s="4">
        <v>20</v>
      </c>
      <c r="P5" s="4">
        <f>B15+B25+B35+B45+B55</f>
        <v>19.979999999999997</v>
      </c>
      <c r="Q5" s="4">
        <f>G19+G29+G39+G49+G59</f>
        <v>504.79999999999995</v>
      </c>
      <c r="R5" s="4">
        <f>O5-P5+Q5</f>
        <v>504.81999999999994</v>
      </c>
      <c r="S5" s="4">
        <f>L19+L29+L39+L49+L59</f>
        <v>0</v>
      </c>
      <c r="T5" s="4"/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19.979999999999997</v>
      </c>
      <c r="Q9" s="4">
        <f t="shared" si="0"/>
        <v>504.79999999999995</v>
      </c>
      <c r="R9" s="4">
        <f t="shared" si="0"/>
        <v>504.81999999999994</v>
      </c>
      <c r="S9" s="4">
        <f t="shared" si="0"/>
        <v>0</v>
      </c>
      <c r="T9" s="4">
        <f t="shared" si="0"/>
        <v>0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22"/>
      <c r="T11" s="7"/>
    </row>
    <row r="12" spans="1:20" ht="15" customHeight="1" x14ac:dyDescent="0.25">
      <c r="A12" s="55" t="s">
        <v>37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  <c r="N12" s="22"/>
      <c r="O12" s="7"/>
      <c r="P12" s="7"/>
      <c r="Q12" s="7"/>
      <c r="R12" s="7"/>
      <c r="S12" s="22"/>
      <c r="T12" s="7"/>
    </row>
    <row r="13" spans="1:20" x14ac:dyDescent="0.25">
      <c r="A13" s="58" t="s">
        <v>29</v>
      </c>
      <c r="B13" s="59"/>
      <c r="C13" s="59"/>
      <c r="D13" s="60"/>
      <c r="E13" s="61"/>
      <c r="F13" s="64" t="s">
        <v>30</v>
      </c>
      <c r="G13" s="65"/>
      <c r="H13" s="65"/>
      <c r="I13" s="66"/>
      <c r="J13" s="14"/>
      <c r="K13" s="58" t="s">
        <v>13</v>
      </c>
      <c r="L13" s="60"/>
      <c r="N13" s="22"/>
      <c r="O13" s="7"/>
      <c r="P13" s="7"/>
      <c r="Q13" s="7"/>
      <c r="R13" s="7"/>
      <c r="S13" s="22"/>
      <c r="T13" s="7"/>
    </row>
    <row r="14" spans="1:20" x14ac:dyDescent="0.25">
      <c r="A14" s="12" t="s">
        <v>17</v>
      </c>
      <c r="B14" s="3" t="s">
        <v>3</v>
      </c>
      <c r="C14" s="3" t="s">
        <v>0</v>
      </c>
      <c r="D14" s="3" t="s">
        <v>1</v>
      </c>
      <c r="E14" s="62"/>
      <c r="F14" s="12" t="s">
        <v>17</v>
      </c>
      <c r="G14" s="3" t="s">
        <v>32</v>
      </c>
      <c r="H14" s="3" t="s">
        <v>0</v>
      </c>
      <c r="I14" s="3" t="s">
        <v>1</v>
      </c>
      <c r="J14" s="16"/>
      <c r="K14" s="13" t="s">
        <v>17</v>
      </c>
      <c r="L14" s="3" t="s">
        <v>32</v>
      </c>
      <c r="N14" s="22"/>
      <c r="O14" s="7"/>
      <c r="P14" s="7"/>
      <c r="Q14" s="7"/>
      <c r="R14" s="7"/>
      <c r="S14" s="22"/>
      <c r="T14" s="7"/>
    </row>
    <row r="15" spans="1:20" x14ac:dyDescent="0.25">
      <c r="A15" s="17">
        <f>N5</f>
        <v>46212</v>
      </c>
      <c r="B15" s="4">
        <v>6.54</v>
      </c>
      <c r="C15" s="6">
        <v>13.734</v>
      </c>
      <c r="D15" s="39">
        <f>B15/C15</f>
        <v>0.47619047619047622</v>
      </c>
      <c r="E15" s="62"/>
      <c r="F15" s="17">
        <v>46219</v>
      </c>
      <c r="G15" s="5">
        <v>166.31</v>
      </c>
      <c r="H15" s="6">
        <v>13.708</v>
      </c>
      <c r="I15" s="6">
        <f>G15/H15</f>
        <v>12.13233148526408</v>
      </c>
      <c r="J15" s="15"/>
      <c r="K15" s="17"/>
      <c r="L15" s="4"/>
    </row>
    <row r="16" spans="1:20" x14ac:dyDescent="0.25">
      <c r="A16" s="17"/>
      <c r="B16" s="4"/>
      <c r="C16" s="5"/>
      <c r="D16" s="39"/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17"/>
      <c r="B17" s="4"/>
      <c r="C17" s="5"/>
      <c r="D17" s="33"/>
      <c r="E17" s="62"/>
      <c r="F17" s="17"/>
      <c r="G17" s="2"/>
      <c r="H17" s="2"/>
      <c r="I17" s="2"/>
      <c r="J17" s="19"/>
      <c r="K17" s="17"/>
      <c r="L17" s="2"/>
    </row>
    <row r="18" spans="1:20" ht="16.5" x14ac:dyDescent="0.3">
      <c r="A18" s="20"/>
      <c r="B18" s="4"/>
      <c r="C18" s="5"/>
      <c r="D18" s="10"/>
      <c r="E18" s="62"/>
      <c r="F18" s="20"/>
      <c r="G18" s="2"/>
      <c r="H18" s="2"/>
      <c r="I18" s="2"/>
      <c r="J18" s="19"/>
      <c r="K18" s="20"/>
      <c r="L18" s="2"/>
    </row>
    <row r="19" spans="1:20" x14ac:dyDescent="0.25">
      <c r="A19" s="3" t="s">
        <v>2</v>
      </c>
      <c r="B19" s="4">
        <f>SUM(B15:B18)</f>
        <v>6.54</v>
      </c>
      <c r="C19" s="6">
        <f>SUMPRODUCT(C15:C18,D15:D18)/SUM(D15:D18)</f>
        <v>13.734</v>
      </c>
      <c r="D19" s="6">
        <f>SUM(D15:D18)</f>
        <v>0.47619047619047622</v>
      </c>
      <c r="E19" s="63"/>
      <c r="F19" s="3" t="s">
        <v>2</v>
      </c>
      <c r="G19" s="4">
        <f>SUM(G15:G18)</f>
        <v>166.31</v>
      </c>
      <c r="H19" s="5"/>
      <c r="I19" s="6">
        <f>SUM(I15:I18)</f>
        <v>12.13233148526408</v>
      </c>
      <c r="J19" s="21"/>
      <c r="K19" s="3" t="s">
        <v>2</v>
      </c>
      <c r="L19" s="4">
        <f>SUM(L15:L18)</f>
        <v>0</v>
      </c>
    </row>
    <row r="20" spans="1:20" x14ac:dyDescent="0.25">
      <c r="A20" s="22"/>
      <c r="B20" s="7"/>
      <c r="C20" s="1"/>
      <c r="D20" s="8"/>
      <c r="E20" s="1"/>
      <c r="F20" s="22"/>
      <c r="G20" s="7"/>
      <c r="H20" s="1"/>
      <c r="I20" s="8"/>
      <c r="J20" s="30"/>
      <c r="K20" s="22"/>
      <c r="L20" s="7"/>
    </row>
    <row r="21" spans="1:20" x14ac:dyDescent="0.25">
      <c r="B21" s="1"/>
    </row>
    <row r="22" spans="1:20" ht="15" customHeight="1" x14ac:dyDescent="0.25">
      <c r="A22" s="55" t="s">
        <v>38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7"/>
      <c r="N22" s="22"/>
      <c r="O22" s="7"/>
      <c r="P22" s="7"/>
      <c r="Q22" s="7"/>
      <c r="R22" s="7"/>
      <c r="S22" s="22"/>
      <c r="T22" s="7"/>
    </row>
    <row r="23" spans="1:20" x14ac:dyDescent="0.25">
      <c r="A23" s="53" t="s">
        <v>29</v>
      </c>
      <c r="B23" s="53"/>
      <c r="C23" s="53"/>
      <c r="D23" s="53"/>
      <c r="E23" s="54"/>
      <c r="F23" s="53" t="s">
        <v>30</v>
      </c>
      <c r="G23" s="53"/>
      <c r="H23" s="53"/>
      <c r="I23" s="53"/>
      <c r="J23" s="35"/>
      <c r="K23" s="53" t="s">
        <v>13</v>
      </c>
      <c r="L23" s="53"/>
      <c r="N23" s="22"/>
      <c r="O23" s="7"/>
      <c r="P23" s="7"/>
      <c r="Q23" s="7"/>
      <c r="R23" s="7"/>
      <c r="S23" s="22"/>
      <c r="T23" s="7"/>
    </row>
    <row r="24" spans="1:20" x14ac:dyDescent="0.25">
      <c r="A24" s="12" t="s">
        <v>17</v>
      </c>
      <c r="B24" s="3" t="s">
        <v>3</v>
      </c>
      <c r="C24" s="3" t="s">
        <v>0</v>
      </c>
      <c r="D24" s="3" t="s">
        <v>1</v>
      </c>
      <c r="E24" s="54"/>
      <c r="F24" s="12" t="s">
        <v>17</v>
      </c>
      <c r="G24" s="3" t="s">
        <v>32</v>
      </c>
      <c r="H24" s="3" t="s">
        <v>0</v>
      </c>
      <c r="I24" s="3" t="s">
        <v>1</v>
      </c>
      <c r="J24" s="35"/>
      <c r="K24" s="3" t="s">
        <v>17</v>
      </c>
      <c r="L24" s="3" t="s">
        <v>32</v>
      </c>
      <c r="N24" s="22"/>
      <c r="O24" s="7"/>
      <c r="P24" s="7"/>
      <c r="Q24" s="7"/>
      <c r="R24" s="7"/>
      <c r="S24" s="22"/>
      <c r="T24" s="7"/>
    </row>
    <row r="25" spans="1:20" x14ac:dyDescent="0.25">
      <c r="A25" s="17">
        <f>N5</f>
        <v>46212</v>
      </c>
      <c r="B25" s="4">
        <v>3.25</v>
      </c>
      <c r="C25" s="6">
        <v>11.106</v>
      </c>
      <c r="D25" s="39">
        <f>B25/C25</f>
        <v>0.29263461192148388</v>
      </c>
      <c r="E25" s="54"/>
      <c r="F25" s="17">
        <v>46219</v>
      </c>
      <c r="G25" s="4">
        <v>81.650000000000006</v>
      </c>
      <c r="H25" s="6">
        <v>10.872</v>
      </c>
      <c r="I25" s="6">
        <f>G25/H25</f>
        <v>7.5101177336276681</v>
      </c>
      <c r="J25" s="34"/>
      <c r="K25" s="17"/>
      <c r="L25" s="4"/>
    </row>
    <row r="26" spans="1:20" x14ac:dyDescent="0.25">
      <c r="A26" s="17"/>
      <c r="B26" s="4"/>
      <c r="C26" s="6"/>
      <c r="D26" s="39"/>
      <c r="E26" s="54"/>
      <c r="F26" s="17"/>
      <c r="G26" s="5"/>
      <c r="H26" s="4"/>
      <c r="I26" s="5"/>
      <c r="J26" s="34"/>
      <c r="K26" s="17"/>
      <c r="L26" s="4"/>
    </row>
    <row r="27" spans="1:20" ht="16.5" x14ac:dyDescent="0.3">
      <c r="A27" s="17"/>
      <c r="B27" s="4"/>
      <c r="C27" s="5"/>
      <c r="D27" s="39"/>
      <c r="E27" s="54"/>
      <c r="F27" s="20"/>
      <c r="G27" s="2"/>
      <c r="H27" s="2"/>
      <c r="I27" s="2"/>
      <c r="J27" s="36"/>
      <c r="K27" s="20"/>
      <c r="L27" s="2"/>
    </row>
    <row r="28" spans="1:20" ht="16.5" x14ac:dyDescent="0.3">
      <c r="A28" s="20"/>
      <c r="B28" s="4"/>
      <c r="C28" s="5"/>
      <c r="D28" s="6"/>
      <c r="E28" s="54"/>
      <c r="F28" s="20"/>
      <c r="G28" s="2"/>
      <c r="H28" s="2"/>
      <c r="I28" s="2"/>
      <c r="J28" s="36"/>
      <c r="K28" s="20"/>
      <c r="L28" s="2"/>
    </row>
    <row r="29" spans="1:20" x14ac:dyDescent="0.25">
      <c r="A29" s="3" t="s">
        <v>2</v>
      </c>
      <c r="B29" s="4">
        <f>SUM(B25:B28)</f>
        <v>3.25</v>
      </c>
      <c r="C29" s="6">
        <f>SUMPRODUCT(C25:C28,D25:D28)/SUM(D25:D28)</f>
        <v>11.106</v>
      </c>
      <c r="D29" s="6">
        <f>SUM(D25:D28)</f>
        <v>0.29263461192148388</v>
      </c>
      <c r="E29" s="54"/>
      <c r="F29" s="3" t="s">
        <v>2</v>
      </c>
      <c r="G29" s="4">
        <f>SUM(G25:G28)</f>
        <v>81.650000000000006</v>
      </c>
      <c r="H29" s="5"/>
      <c r="I29" s="6">
        <f>SUM(I25:I28)</f>
        <v>7.5101177336276681</v>
      </c>
      <c r="J29" s="37"/>
      <c r="K29" s="3" t="s">
        <v>2</v>
      </c>
      <c r="L29" s="4">
        <f>SUM(L25:L28)</f>
        <v>0</v>
      </c>
    </row>
    <row r="30" spans="1:20" x14ac:dyDescent="0.25">
      <c r="A30" s="22"/>
      <c r="B30" s="7"/>
      <c r="C30" s="1"/>
      <c r="D30" s="30"/>
      <c r="E30" s="1"/>
      <c r="F30" s="22"/>
      <c r="G30" s="7"/>
      <c r="H30" s="1"/>
      <c r="I30" s="8"/>
      <c r="J30" s="30"/>
      <c r="K30" s="22"/>
      <c r="L30" s="7"/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ht="15" customHeight="1" x14ac:dyDescent="0.25">
      <c r="A32" s="55" t="s">
        <v>39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7"/>
      <c r="N32" s="22"/>
      <c r="O32" s="7"/>
      <c r="P32" s="7"/>
      <c r="Q32" s="7"/>
      <c r="R32" s="7"/>
      <c r="S32" s="22"/>
      <c r="T32" s="7"/>
    </row>
    <row r="33" spans="1:20" x14ac:dyDescent="0.25">
      <c r="A33" s="53" t="s">
        <v>29</v>
      </c>
      <c r="B33" s="53"/>
      <c r="C33" s="53"/>
      <c r="D33" s="53"/>
      <c r="E33" s="54"/>
      <c r="F33" s="53" t="s">
        <v>30</v>
      </c>
      <c r="G33" s="53"/>
      <c r="H33" s="53"/>
      <c r="I33" s="53"/>
      <c r="J33" s="35"/>
      <c r="K33" s="53" t="s">
        <v>13</v>
      </c>
      <c r="L33" s="53"/>
      <c r="N33" s="22"/>
      <c r="O33" s="7"/>
      <c r="P33" s="7"/>
      <c r="Q33" s="7"/>
      <c r="R33" s="7"/>
      <c r="S33" s="22"/>
      <c r="T33" s="7"/>
    </row>
    <row r="34" spans="1:20" x14ac:dyDescent="0.25">
      <c r="A34" s="12" t="s">
        <v>17</v>
      </c>
      <c r="B34" s="3" t="s">
        <v>3</v>
      </c>
      <c r="C34" s="3" t="s">
        <v>0</v>
      </c>
      <c r="D34" s="3" t="s">
        <v>1</v>
      </c>
      <c r="E34" s="54"/>
      <c r="F34" s="12" t="s">
        <v>17</v>
      </c>
      <c r="G34" s="3" t="s">
        <v>32</v>
      </c>
      <c r="H34" s="3" t="s">
        <v>0</v>
      </c>
      <c r="I34" s="3" t="s">
        <v>1</v>
      </c>
      <c r="J34" s="35"/>
      <c r="K34" s="3" t="s">
        <v>17</v>
      </c>
      <c r="L34" s="3" t="s">
        <v>32</v>
      </c>
      <c r="N34" s="22"/>
      <c r="O34" s="7"/>
      <c r="P34" s="7"/>
      <c r="Q34" s="7"/>
      <c r="R34" s="7"/>
      <c r="S34" s="22"/>
      <c r="T34" s="7"/>
    </row>
    <row r="35" spans="1:20" x14ac:dyDescent="0.25">
      <c r="A35" s="17">
        <f>N5</f>
        <v>46212</v>
      </c>
      <c r="B35" s="4">
        <v>2.77</v>
      </c>
      <c r="C35" s="6">
        <v>9.1638000000000002</v>
      </c>
      <c r="D35" s="39">
        <f>B35/C35</f>
        <v>0.3022763482398132</v>
      </c>
      <c r="E35" s="54"/>
      <c r="F35" s="17">
        <v>46219</v>
      </c>
      <c r="G35" s="5">
        <v>68.319999999999993</v>
      </c>
      <c r="H35" s="6">
        <v>8.9629999999999992</v>
      </c>
      <c r="I35" s="6">
        <f>G35/H35</f>
        <v>7.6224478411246235</v>
      </c>
      <c r="J35" s="34"/>
      <c r="K35" s="17"/>
      <c r="L35" s="4"/>
    </row>
    <row r="36" spans="1:20" x14ac:dyDescent="0.25">
      <c r="A36" s="17"/>
      <c r="B36" s="4"/>
      <c r="C36" s="5"/>
      <c r="D36" s="39"/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17"/>
      <c r="B37" s="18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ht="16.5" x14ac:dyDescent="0.3">
      <c r="A38" s="20"/>
      <c r="B38" s="4"/>
      <c r="C38" s="5"/>
      <c r="D38" s="6"/>
      <c r="E38" s="54"/>
      <c r="F38" s="20"/>
      <c r="G38" s="2"/>
      <c r="H38" s="2"/>
      <c r="I38" s="2"/>
      <c r="J38" s="36"/>
      <c r="K38" s="20"/>
      <c r="L38" s="2"/>
    </row>
    <row r="39" spans="1:20" x14ac:dyDescent="0.25">
      <c r="A39" s="3" t="s">
        <v>2</v>
      </c>
      <c r="B39" s="4">
        <f>SUM(B35:B38)</f>
        <v>2.77</v>
      </c>
      <c r="C39" s="6">
        <f>SUMPRODUCT(C35:C38,D35:D38)/SUM(D35:D38)</f>
        <v>9.1638000000000002</v>
      </c>
      <c r="D39" s="6">
        <f>SUM(D35:D38)</f>
        <v>0.3022763482398132</v>
      </c>
      <c r="E39" s="54"/>
      <c r="F39" s="3" t="s">
        <v>2</v>
      </c>
      <c r="G39" s="4">
        <f>SUM(G35:G38)</f>
        <v>68.319999999999993</v>
      </c>
      <c r="H39" s="5"/>
      <c r="I39" s="6">
        <f>SUM(I35:I38)</f>
        <v>7.6224478411246235</v>
      </c>
      <c r="J39" s="37"/>
      <c r="K39" s="3" t="s">
        <v>2</v>
      </c>
      <c r="L39" s="4">
        <f>SUM(L35:L38)</f>
        <v>0</v>
      </c>
    </row>
    <row r="42" spans="1:20" ht="15" customHeight="1" x14ac:dyDescent="0.25">
      <c r="A42" s="55" t="s">
        <v>40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7"/>
      <c r="N42" s="22"/>
      <c r="O42" s="7"/>
      <c r="P42" s="7"/>
      <c r="Q42" s="7"/>
      <c r="R42" s="7"/>
      <c r="S42" s="22"/>
      <c r="T42" s="7"/>
    </row>
    <row r="43" spans="1:20" x14ac:dyDescent="0.25">
      <c r="A43" s="53" t="s">
        <v>29</v>
      </c>
      <c r="B43" s="53"/>
      <c r="C43" s="53"/>
      <c r="D43" s="53"/>
      <c r="E43" s="54"/>
      <c r="F43" s="53" t="s">
        <v>30</v>
      </c>
      <c r="G43" s="53"/>
      <c r="H43" s="53"/>
      <c r="I43" s="53"/>
      <c r="J43" s="35"/>
      <c r="K43" s="53" t="s">
        <v>13</v>
      </c>
      <c r="L43" s="53"/>
      <c r="N43" s="22"/>
      <c r="O43" s="7"/>
      <c r="P43" s="7"/>
      <c r="Q43" s="7"/>
      <c r="R43" s="7"/>
      <c r="S43" s="22"/>
      <c r="T43" s="7"/>
    </row>
    <row r="44" spans="1:20" x14ac:dyDescent="0.25">
      <c r="A44" s="12" t="s">
        <v>17</v>
      </c>
      <c r="B44" s="3" t="s">
        <v>3</v>
      </c>
      <c r="C44" s="3" t="s">
        <v>0</v>
      </c>
      <c r="D44" s="3" t="s">
        <v>1</v>
      </c>
      <c r="E44" s="54"/>
      <c r="F44" s="12" t="s">
        <v>17</v>
      </c>
      <c r="G44" s="3" t="s">
        <v>32</v>
      </c>
      <c r="H44" s="3" t="s">
        <v>0</v>
      </c>
      <c r="I44" s="3" t="s">
        <v>1</v>
      </c>
      <c r="J44" s="35"/>
      <c r="K44" s="3" t="s">
        <v>17</v>
      </c>
      <c r="L44" s="3" t="s">
        <v>32</v>
      </c>
      <c r="N44" s="22"/>
      <c r="O44" s="7"/>
      <c r="P44" s="7"/>
      <c r="Q44" s="7"/>
      <c r="R44" s="7"/>
      <c r="S44" s="22"/>
      <c r="T44" s="7"/>
    </row>
    <row r="45" spans="1:20" x14ac:dyDescent="0.25">
      <c r="A45" s="17">
        <f>N5</f>
        <v>46212</v>
      </c>
      <c r="B45" s="4">
        <v>1.1599999999999999</v>
      </c>
      <c r="C45" s="6">
        <v>8.5570000000000004</v>
      </c>
      <c r="D45" s="39">
        <f>B45/C45</f>
        <v>0.13556152857309803</v>
      </c>
      <c r="E45" s="54"/>
      <c r="F45" s="17">
        <v>46219</v>
      </c>
      <c r="G45" s="5">
        <v>29.11</v>
      </c>
      <c r="H45" s="48">
        <v>8.5310000000000006</v>
      </c>
      <c r="I45" s="6">
        <f>G45/H45</f>
        <v>3.4122611651623487</v>
      </c>
      <c r="J45" s="34"/>
      <c r="K45" s="17"/>
      <c r="L45" s="4"/>
    </row>
    <row r="46" spans="1:20" x14ac:dyDescent="0.25">
      <c r="A46" s="17"/>
      <c r="B46" s="4"/>
      <c r="C46" s="6"/>
      <c r="D46" s="39"/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17"/>
      <c r="B47" s="18"/>
      <c r="C47" s="5"/>
      <c r="D47" s="39"/>
      <c r="E47" s="54"/>
      <c r="F47" s="17"/>
      <c r="G47" s="5"/>
      <c r="H47" s="4"/>
      <c r="I47" s="5"/>
      <c r="J47" s="34"/>
      <c r="K47" s="17"/>
      <c r="L47" s="4"/>
    </row>
    <row r="48" spans="1:20" ht="16.5" x14ac:dyDescent="0.3">
      <c r="A48" s="20"/>
      <c r="B48" s="4"/>
      <c r="C48" s="5"/>
      <c r="D48" s="6"/>
      <c r="E48" s="54"/>
      <c r="F48" s="20"/>
      <c r="G48" s="2"/>
      <c r="H48" s="2"/>
      <c r="I48" s="2"/>
      <c r="J48" s="36"/>
      <c r="K48" s="20"/>
      <c r="L48" s="2"/>
    </row>
    <row r="49" spans="1:20" x14ac:dyDescent="0.25">
      <c r="A49" s="3" t="s">
        <v>2</v>
      </c>
      <c r="B49" s="4">
        <f>SUM(B45:B48)</f>
        <v>1.1599999999999999</v>
      </c>
      <c r="C49" s="6">
        <f>SUMPRODUCT(C45:C48,D45:D48)/SUM(D45:D48)</f>
        <v>8.5570000000000004</v>
      </c>
      <c r="D49" s="6">
        <f>SUM(D45:D48)</f>
        <v>0.13556152857309803</v>
      </c>
      <c r="E49" s="54"/>
      <c r="F49" s="3" t="s">
        <v>2</v>
      </c>
      <c r="G49" s="4">
        <f>SUM(G45:G48)</f>
        <v>29.11</v>
      </c>
      <c r="H49" s="5"/>
      <c r="I49" s="6">
        <f>SUM(I45:I48)</f>
        <v>3.4122611651623487</v>
      </c>
      <c r="J49" s="37"/>
      <c r="K49" s="3" t="s">
        <v>2</v>
      </c>
      <c r="L49" s="4">
        <f>SUM(L45:L48)</f>
        <v>0</v>
      </c>
    </row>
    <row r="52" spans="1:20" ht="15" customHeight="1" x14ac:dyDescent="0.25">
      <c r="A52" s="55" t="s">
        <v>41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7"/>
      <c r="N52" s="22"/>
      <c r="O52" s="7"/>
      <c r="P52" s="7"/>
      <c r="Q52" s="7"/>
      <c r="R52" s="7"/>
      <c r="S52" s="22"/>
      <c r="T52" s="7"/>
    </row>
    <row r="53" spans="1:20" x14ac:dyDescent="0.25">
      <c r="A53" s="53" t="s">
        <v>29</v>
      </c>
      <c r="B53" s="53"/>
      <c r="C53" s="53"/>
      <c r="D53" s="53"/>
      <c r="E53" s="54"/>
      <c r="F53" s="53" t="s">
        <v>30</v>
      </c>
      <c r="G53" s="53"/>
      <c r="H53" s="53"/>
      <c r="I53" s="53"/>
      <c r="J53" s="35"/>
      <c r="K53" s="53" t="s">
        <v>13</v>
      </c>
      <c r="L53" s="53"/>
      <c r="N53" s="22"/>
      <c r="O53" s="7"/>
      <c r="P53" s="7"/>
      <c r="Q53" s="7"/>
      <c r="R53" s="7"/>
      <c r="S53" s="22"/>
      <c r="T53" s="7"/>
    </row>
    <row r="54" spans="1:20" x14ac:dyDescent="0.25">
      <c r="A54" s="12" t="s">
        <v>17</v>
      </c>
      <c r="B54" s="3" t="s">
        <v>3</v>
      </c>
      <c r="C54" s="3" t="s">
        <v>0</v>
      </c>
      <c r="D54" s="3" t="s">
        <v>1</v>
      </c>
      <c r="E54" s="54"/>
      <c r="F54" s="12" t="s">
        <v>17</v>
      </c>
      <c r="G54" s="3" t="s">
        <v>32</v>
      </c>
      <c r="H54" s="3" t="s">
        <v>0</v>
      </c>
      <c r="I54" s="3" t="s">
        <v>1</v>
      </c>
      <c r="J54" s="35"/>
      <c r="K54" s="3" t="s">
        <v>17</v>
      </c>
      <c r="L54" s="3" t="s">
        <v>32</v>
      </c>
      <c r="N54" s="22"/>
      <c r="O54" s="7"/>
      <c r="P54" s="7"/>
      <c r="Q54" s="7"/>
      <c r="R54" s="7"/>
      <c r="S54" s="22"/>
      <c r="T54" s="7"/>
    </row>
    <row r="55" spans="1:20" x14ac:dyDescent="0.25">
      <c r="A55" s="17">
        <f>N5</f>
        <v>46212</v>
      </c>
      <c r="B55" s="4">
        <v>6.26</v>
      </c>
      <c r="C55" s="6">
        <v>11.8499</v>
      </c>
      <c r="D55" s="39">
        <f>B55/C55</f>
        <v>0.52827450020675282</v>
      </c>
      <c r="E55" s="54"/>
      <c r="F55" s="17">
        <v>46219</v>
      </c>
      <c r="G55" s="5">
        <v>159.41</v>
      </c>
      <c r="H55" s="6">
        <v>11.8193</v>
      </c>
      <c r="I55" s="6">
        <f>G55/H55</f>
        <v>13.487262359022953</v>
      </c>
      <c r="J55" s="34"/>
      <c r="K55" s="17"/>
      <c r="L55" s="4"/>
    </row>
    <row r="56" spans="1:20" x14ac:dyDescent="0.25">
      <c r="A56" s="17"/>
      <c r="B56" s="4"/>
      <c r="C56" s="6"/>
      <c r="D56" s="39"/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17"/>
      <c r="B57" s="18"/>
      <c r="C57" s="5"/>
      <c r="D57" s="39"/>
      <c r="E57" s="54"/>
      <c r="F57" s="17"/>
      <c r="G57" s="5"/>
      <c r="H57" s="4"/>
      <c r="I57" s="5"/>
      <c r="J57" s="34"/>
      <c r="K57" s="17"/>
      <c r="L57" s="4"/>
    </row>
    <row r="58" spans="1:20" ht="16.5" x14ac:dyDescent="0.3">
      <c r="A58" s="20"/>
      <c r="B58" s="4"/>
      <c r="C58" s="5"/>
      <c r="D58" s="6"/>
      <c r="E58" s="54"/>
      <c r="F58" s="20"/>
      <c r="G58" s="2"/>
      <c r="H58" s="2"/>
      <c r="I58" s="2"/>
      <c r="J58" s="36"/>
      <c r="K58" s="20"/>
      <c r="L58" s="2"/>
    </row>
    <row r="59" spans="1:20" x14ac:dyDescent="0.25">
      <c r="A59" s="3" t="s">
        <v>2</v>
      </c>
      <c r="B59" s="4">
        <f>SUM(B55:B58)</f>
        <v>6.26</v>
      </c>
      <c r="C59" s="6">
        <f>SUMPRODUCT(C55:C58,D55:D58)/SUM(D55:D58)</f>
        <v>11.8499</v>
      </c>
      <c r="D59" s="6">
        <f>SUM(D55:D58)</f>
        <v>0.52827450020675282</v>
      </c>
      <c r="E59" s="54"/>
      <c r="F59" s="3" t="s">
        <v>2</v>
      </c>
      <c r="G59" s="4">
        <f>SUM(G55:G58)</f>
        <v>159.41</v>
      </c>
      <c r="H59" s="5"/>
      <c r="I59" s="6">
        <f>SUM(I55:I58)</f>
        <v>13.487262359022953</v>
      </c>
      <c r="J59" s="37"/>
      <c r="K59" s="3" t="s">
        <v>2</v>
      </c>
      <c r="L59" s="4">
        <f>SUM(L55:L58)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3:D33"/>
    <mergeCell ref="E33:E39"/>
    <mergeCell ref="F33:I33"/>
    <mergeCell ref="K33:L33"/>
    <mergeCell ref="A12:L12"/>
    <mergeCell ref="A13:D13"/>
    <mergeCell ref="E13:E19"/>
    <mergeCell ref="F13:I13"/>
    <mergeCell ref="K13:L13"/>
    <mergeCell ref="A22:L22"/>
    <mergeCell ref="A23:D23"/>
    <mergeCell ref="E23:E29"/>
    <mergeCell ref="F23:I23"/>
    <mergeCell ref="K23:L23"/>
    <mergeCell ref="A32:L32"/>
    <mergeCell ref="A53:D53"/>
    <mergeCell ref="E53:E59"/>
    <mergeCell ref="F53:I53"/>
    <mergeCell ref="K53:L53"/>
    <mergeCell ref="A42:L42"/>
    <mergeCell ref="A43:D43"/>
    <mergeCell ref="E43:E49"/>
    <mergeCell ref="F43:I43"/>
    <mergeCell ref="K43:L43"/>
    <mergeCell ref="A52:L52"/>
  </mergeCells>
  <hyperlinks>
    <hyperlink ref="A12:L12" location="SGAS!A1" display="SGAS GY iShares MSCI USA ESG Screened" xr:uid="{BC8B0CCB-ED9F-4803-B3AE-DB336FB4483C}"/>
    <hyperlink ref="A22:L22" location="SLMC!A1" display="SLMC GY iShares MSCI Europe ESG Screened" xr:uid="{71FD1FF7-B11E-48DA-BE77-6FC6A3E44D1A}"/>
    <hyperlink ref="A32:L32" location="AYEM!A1" display="AYEM GY iShares MSCI EM IMI ESG Screened" xr:uid="{1CB5451D-0CDF-4FC0-95AB-93AF65A0AB30}"/>
    <hyperlink ref="A42:L42" location="SGAJ!A1" display="SGAJ GY iShares MSCI Japan ESG Screened" xr:uid="{3DD2B452-661F-4463-A069-096DF3EA70C4}"/>
    <hyperlink ref="A52:L52" location="EDMU!A1" display="EDMU GY iShares MSCI USA ESG Enhanced" xr:uid="{11DA031A-6089-47DE-B1F2-4C0876D40A4E}"/>
  </hyperlinks>
  <pageMargins left="0.7" right="0.7" top="0.75" bottom="0.75" header="0.3" footer="0.3"/>
  <pageSetup orientation="portrait" r:id="rId1"/>
  <ignoredErrors>
    <ignoredError sqref="N2" numberStoredAsText="1"/>
    <ignoredError sqref="C19 C29 C39 C49 C59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E482-EB74-46ED-A8AC-7EDE142C58BB}">
  <dimension ref="A2:T59"/>
  <sheetViews>
    <sheetView workbookViewId="0"/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36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7">
        <v>46177</v>
      </c>
      <c r="O5" s="4">
        <v>20</v>
      </c>
      <c r="P5" s="4">
        <f>B15+B25+B35+B45+B55</f>
        <v>20.02</v>
      </c>
      <c r="Q5" s="4">
        <f>G19+G29+G39+G49+G59</f>
        <v>0</v>
      </c>
      <c r="R5" s="4">
        <f>O5-P5+Q5</f>
        <v>-1.9999999999999574E-2</v>
      </c>
      <c r="S5" s="4">
        <f>L19+L29+L39+L49+L59</f>
        <v>0</v>
      </c>
      <c r="T5" s="4">
        <v>0.31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20.02</v>
      </c>
      <c r="Q9" s="4">
        <f t="shared" si="0"/>
        <v>0</v>
      </c>
      <c r="R9" s="4">
        <f t="shared" si="0"/>
        <v>-1.9999999999999574E-2</v>
      </c>
      <c r="S9" s="4">
        <f t="shared" si="0"/>
        <v>0</v>
      </c>
      <c r="T9" s="4">
        <f t="shared" si="0"/>
        <v>0.31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22"/>
      <c r="T11" s="7"/>
    </row>
    <row r="12" spans="1:20" ht="15" customHeight="1" x14ac:dyDescent="0.25">
      <c r="A12" s="55" t="s">
        <v>37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  <c r="N12" s="22"/>
      <c r="O12" s="7"/>
      <c r="P12" s="7"/>
      <c r="Q12" s="7"/>
      <c r="R12" s="7"/>
      <c r="S12" s="22"/>
      <c r="T12" s="7"/>
    </row>
    <row r="13" spans="1:20" x14ac:dyDescent="0.25">
      <c r="A13" s="58" t="s">
        <v>29</v>
      </c>
      <c r="B13" s="59"/>
      <c r="C13" s="59"/>
      <c r="D13" s="60"/>
      <c r="E13" s="61"/>
      <c r="F13" s="64" t="s">
        <v>30</v>
      </c>
      <c r="G13" s="65"/>
      <c r="H13" s="65"/>
      <c r="I13" s="66"/>
      <c r="J13" s="14"/>
      <c r="K13" s="58" t="s">
        <v>13</v>
      </c>
      <c r="L13" s="60"/>
      <c r="N13" s="22"/>
      <c r="O13" s="7"/>
      <c r="P13" s="7"/>
      <c r="Q13" s="7"/>
      <c r="R13" s="7"/>
      <c r="S13" s="22"/>
      <c r="T13" s="7"/>
    </row>
    <row r="14" spans="1:20" x14ac:dyDescent="0.25">
      <c r="A14" s="12" t="s">
        <v>17</v>
      </c>
      <c r="B14" s="3" t="s">
        <v>3</v>
      </c>
      <c r="C14" s="3" t="s">
        <v>0</v>
      </c>
      <c r="D14" s="3" t="s">
        <v>1</v>
      </c>
      <c r="E14" s="62"/>
      <c r="F14" s="12" t="s">
        <v>17</v>
      </c>
      <c r="G14" s="3" t="s">
        <v>32</v>
      </c>
      <c r="H14" s="3" t="s">
        <v>0</v>
      </c>
      <c r="I14" s="3" t="s">
        <v>1</v>
      </c>
      <c r="J14" s="16"/>
      <c r="K14" s="13" t="s">
        <v>17</v>
      </c>
      <c r="L14" s="3" t="s">
        <v>32</v>
      </c>
      <c r="N14" s="22"/>
      <c r="O14" s="7"/>
      <c r="P14" s="7"/>
      <c r="Q14" s="7"/>
      <c r="R14" s="7"/>
      <c r="S14" s="22"/>
      <c r="T14" s="7"/>
    </row>
    <row r="15" spans="1:20" x14ac:dyDescent="0.25">
      <c r="A15" s="17">
        <f>N5</f>
        <v>46177</v>
      </c>
      <c r="B15" s="4">
        <v>6.6</v>
      </c>
      <c r="C15" s="6">
        <v>13.6021</v>
      </c>
      <c r="D15" s="39">
        <f>B15/C15</f>
        <v>0.48521919409502939</v>
      </c>
      <c r="E15" s="62"/>
      <c r="F15" s="17"/>
      <c r="G15" s="5"/>
      <c r="H15" s="4"/>
      <c r="I15" s="5"/>
      <c r="J15" s="15"/>
      <c r="K15" s="17"/>
      <c r="L15" s="4"/>
    </row>
    <row r="16" spans="1:20" x14ac:dyDescent="0.25">
      <c r="A16" s="17"/>
      <c r="B16" s="4"/>
      <c r="C16" s="5"/>
      <c r="D16" s="39"/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17"/>
      <c r="B17" s="4"/>
      <c r="C17" s="5"/>
      <c r="D17" s="33"/>
      <c r="E17" s="62"/>
      <c r="F17" s="17"/>
      <c r="G17" s="2"/>
      <c r="H17" s="2"/>
      <c r="I17" s="2"/>
      <c r="J17" s="19"/>
      <c r="K17" s="17"/>
      <c r="L17" s="2"/>
    </row>
    <row r="18" spans="1:20" ht="16.5" x14ac:dyDescent="0.3">
      <c r="A18" s="20"/>
      <c r="B18" s="4"/>
      <c r="C18" s="5"/>
      <c r="D18" s="10"/>
      <c r="E18" s="62"/>
      <c r="F18" s="20"/>
      <c r="G18" s="2"/>
      <c r="H18" s="2"/>
      <c r="I18" s="2"/>
      <c r="J18" s="19"/>
      <c r="K18" s="20"/>
      <c r="L18" s="2"/>
    </row>
    <row r="19" spans="1:20" x14ac:dyDescent="0.25">
      <c r="A19" s="3" t="s">
        <v>2</v>
      </c>
      <c r="B19" s="4">
        <f>SUM(B15:B18)</f>
        <v>6.6</v>
      </c>
      <c r="C19" s="6">
        <f>SUMPRODUCT(C15:C18,D15:D18)/SUM(D15:D18)</f>
        <v>13.6021</v>
      </c>
      <c r="D19" s="6">
        <f>SUM(D15:D18)</f>
        <v>0.48521919409502939</v>
      </c>
      <c r="E19" s="63"/>
      <c r="F19" s="3" t="s">
        <v>2</v>
      </c>
      <c r="G19" s="4">
        <f>SUM(G15:G18)</f>
        <v>0</v>
      </c>
      <c r="H19" s="5"/>
      <c r="I19" s="6">
        <f>SUM(I15:I18)</f>
        <v>0</v>
      </c>
      <c r="J19" s="21"/>
      <c r="K19" s="3" t="s">
        <v>2</v>
      </c>
      <c r="L19" s="4">
        <f>SUM(L15:L18)</f>
        <v>0</v>
      </c>
    </row>
    <row r="20" spans="1:20" x14ac:dyDescent="0.25">
      <c r="A20" s="22"/>
      <c r="B20" s="7"/>
      <c r="C20" s="1"/>
      <c r="D20" s="8"/>
      <c r="E20" s="1"/>
      <c r="F20" s="22"/>
      <c r="G20" s="7"/>
      <c r="H20" s="1"/>
      <c r="I20" s="8"/>
      <c r="J20" s="30"/>
      <c r="K20" s="22"/>
      <c r="L20" s="7"/>
    </row>
    <row r="21" spans="1:20" x14ac:dyDescent="0.25">
      <c r="B21" s="1"/>
    </row>
    <row r="22" spans="1:20" ht="15" customHeight="1" x14ac:dyDescent="0.25">
      <c r="A22" s="55" t="s">
        <v>38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7"/>
      <c r="N22" s="22"/>
      <c r="O22" s="7"/>
      <c r="P22" s="7"/>
      <c r="Q22" s="7"/>
      <c r="R22" s="7"/>
      <c r="S22" s="22"/>
      <c r="T22" s="7"/>
    </row>
    <row r="23" spans="1:20" x14ac:dyDescent="0.25">
      <c r="A23" s="53" t="s">
        <v>29</v>
      </c>
      <c r="B23" s="53"/>
      <c r="C23" s="53"/>
      <c r="D23" s="53"/>
      <c r="E23" s="54"/>
      <c r="F23" s="53" t="s">
        <v>30</v>
      </c>
      <c r="G23" s="53"/>
      <c r="H23" s="53"/>
      <c r="I23" s="53"/>
      <c r="J23" s="35"/>
      <c r="K23" s="53" t="s">
        <v>13</v>
      </c>
      <c r="L23" s="53"/>
      <c r="N23" s="22"/>
      <c r="O23" s="7"/>
      <c r="P23" s="7"/>
      <c r="Q23" s="7"/>
      <c r="R23" s="7"/>
      <c r="S23" s="22"/>
      <c r="T23" s="7"/>
    </row>
    <row r="24" spans="1:20" x14ac:dyDescent="0.25">
      <c r="A24" s="12" t="s">
        <v>17</v>
      </c>
      <c r="B24" s="3" t="s">
        <v>3</v>
      </c>
      <c r="C24" s="3" t="s">
        <v>0</v>
      </c>
      <c r="D24" s="3" t="s">
        <v>1</v>
      </c>
      <c r="E24" s="54"/>
      <c r="F24" s="12" t="s">
        <v>17</v>
      </c>
      <c r="G24" s="3" t="s">
        <v>32</v>
      </c>
      <c r="H24" s="3" t="s">
        <v>0</v>
      </c>
      <c r="I24" s="3" t="s">
        <v>1</v>
      </c>
      <c r="J24" s="35"/>
      <c r="K24" s="3" t="s">
        <v>17</v>
      </c>
      <c r="L24" s="3" t="s">
        <v>32</v>
      </c>
      <c r="N24" s="22"/>
      <c r="O24" s="7"/>
      <c r="P24" s="7"/>
      <c r="Q24" s="7"/>
      <c r="R24" s="7"/>
      <c r="S24" s="22"/>
      <c r="T24" s="7"/>
    </row>
    <row r="25" spans="1:20" x14ac:dyDescent="0.25">
      <c r="A25" s="17">
        <f>N5</f>
        <v>46177</v>
      </c>
      <c r="B25" s="4">
        <v>3.16</v>
      </c>
      <c r="C25" s="6">
        <v>10.666600000000001</v>
      </c>
      <c r="D25" s="39">
        <f>B25/C25</f>
        <v>0.29625185157407236</v>
      </c>
      <c r="E25" s="54"/>
      <c r="F25" s="17"/>
      <c r="G25" s="4"/>
      <c r="H25" s="4"/>
      <c r="I25" s="5"/>
      <c r="J25" s="34"/>
      <c r="K25" s="17"/>
      <c r="L25" s="4"/>
    </row>
    <row r="26" spans="1:20" x14ac:dyDescent="0.25">
      <c r="A26" s="17"/>
      <c r="B26" s="4"/>
      <c r="C26" s="6"/>
      <c r="D26" s="39"/>
      <c r="E26" s="54"/>
      <c r="F26" s="17"/>
      <c r="G26" s="5"/>
      <c r="H26" s="4"/>
      <c r="I26" s="5"/>
      <c r="J26" s="34"/>
      <c r="K26" s="17"/>
      <c r="L26" s="4"/>
    </row>
    <row r="27" spans="1:20" ht="16.5" x14ac:dyDescent="0.3">
      <c r="A27" s="17"/>
      <c r="B27" s="4"/>
      <c r="C27" s="5"/>
      <c r="D27" s="39"/>
      <c r="E27" s="54"/>
      <c r="F27" s="20"/>
      <c r="G27" s="2"/>
      <c r="H27" s="2"/>
      <c r="I27" s="2"/>
      <c r="J27" s="36"/>
      <c r="K27" s="20"/>
      <c r="L27" s="2"/>
    </row>
    <row r="28" spans="1:20" ht="16.5" x14ac:dyDescent="0.3">
      <c r="A28" s="20"/>
      <c r="B28" s="4"/>
      <c r="C28" s="5"/>
      <c r="D28" s="6"/>
      <c r="E28" s="54"/>
      <c r="F28" s="20"/>
      <c r="G28" s="2"/>
      <c r="H28" s="2"/>
      <c r="I28" s="2"/>
      <c r="J28" s="36"/>
      <c r="K28" s="20"/>
      <c r="L28" s="2"/>
    </row>
    <row r="29" spans="1:20" x14ac:dyDescent="0.25">
      <c r="A29" s="3" t="s">
        <v>2</v>
      </c>
      <c r="B29" s="4">
        <f>SUM(B25:B28)</f>
        <v>3.16</v>
      </c>
      <c r="C29" s="6">
        <f>SUMPRODUCT(C25:C28,D25:D28)/SUM(D25:D28)</f>
        <v>10.666600000000001</v>
      </c>
      <c r="D29" s="6">
        <f>SUM(D25:D28)</f>
        <v>0.29625185157407236</v>
      </c>
      <c r="E29" s="54"/>
      <c r="F29" s="3" t="s">
        <v>2</v>
      </c>
      <c r="G29" s="4">
        <f>SUM(G25:G28)</f>
        <v>0</v>
      </c>
      <c r="H29" s="5"/>
      <c r="I29" s="6">
        <f>SUM(I25:I28)</f>
        <v>0</v>
      </c>
      <c r="J29" s="37"/>
      <c r="K29" s="3" t="s">
        <v>2</v>
      </c>
      <c r="L29" s="4">
        <f>SUM(L25:L28)</f>
        <v>0</v>
      </c>
    </row>
    <row r="30" spans="1:20" x14ac:dyDescent="0.25">
      <c r="A30" s="22"/>
      <c r="B30" s="7"/>
      <c r="C30" s="1"/>
      <c r="D30" s="30"/>
      <c r="E30" s="1"/>
      <c r="F30" s="22"/>
      <c r="G30" s="7"/>
      <c r="H30" s="1"/>
      <c r="I30" s="8"/>
      <c r="J30" s="30"/>
      <c r="K30" s="22"/>
      <c r="L30" s="7"/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ht="15" customHeight="1" x14ac:dyDescent="0.25">
      <c r="A32" s="55" t="s">
        <v>39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7"/>
      <c r="N32" s="22"/>
      <c r="O32" s="7"/>
      <c r="P32" s="7"/>
      <c r="Q32" s="7"/>
      <c r="R32" s="7"/>
      <c r="S32" s="22"/>
      <c r="T32" s="7"/>
    </row>
    <row r="33" spans="1:20" x14ac:dyDescent="0.25">
      <c r="A33" s="53" t="s">
        <v>29</v>
      </c>
      <c r="B33" s="53"/>
      <c r="C33" s="53"/>
      <c r="D33" s="53"/>
      <c r="E33" s="54"/>
      <c r="F33" s="53" t="s">
        <v>30</v>
      </c>
      <c r="G33" s="53"/>
      <c r="H33" s="53"/>
      <c r="I33" s="53"/>
      <c r="J33" s="35"/>
      <c r="K33" s="53" t="s">
        <v>13</v>
      </c>
      <c r="L33" s="53"/>
      <c r="N33" s="22"/>
      <c r="O33" s="7"/>
      <c r="P33" s="7"/>
      <c r="Q33" s="7"/>
      <c r="R33" s="7"/>
      <c r="S33" s="22"/>
      <c r="T33" s="7"/>
    </row>
    <row r="34" spans="1:20" x14ac:dyDescent="0.25">
      <c r="A34" s="12" t="s">
        <v>17</v>
      </c>
      <c r="B34" s="3" t="s">
        <v>3</v>
      </c>
      <c r="C34" s="3" t="s">
        <v>0</v>
      </c>
      <c r="D34" s="3" t="s">
        <v>1</v>
      </c>
      <c r="E34" s="54"/>
      <c r="F34" s="12" t="s">
        <v>17</v>
      </c>
      <c r="G34" s="3" t="s">
        <v>32</v>
      </c>
      <c r="H34" s="3" t="s">
        <v>0</v>
      </c>
      <c r="I34" s="3" t="s">
        <v>1</v>
      </c>
      <c r="J34" s="35"/>
      <c r="K34" s="3" t="s">
        <v>17</v>
      </c>
      <c r="L34" s="3" t="s">
        <v>32</v>
      </c>
      <c r="N34" s="22"/>
      <c r="O34" s="7"/>
      <c r="P34" s="7"/>
      <c r="Q34" s="7"/>
      <c r="R34" s="7"/>
      <c r="S34" s="22"/>
      <c r="T34" s="7"/>
    </row>
    <row r="35" spans="1:20" x14ac:dyDescent="0.25">
      <c r="A35" s="17">
        <f>N5</f>
        <v>46177</v>
      </c>
      <c r="B35" s="4">
        <v>2.84</v>
      </c>
      <c r="C35" s="6">
        <v>9.4830000000000005</v>
      </c>
      <c r="D35" s="39">
        <f>B35/C35</f>
        <v>0.29948328587999573</v>
      </c>
      <c r="E35" s="54"/>
      <c r="F35" s="17"/>
      <c r="G35" s="5"/>
      <c r="H35" s="4"/>
      <c r="I35" s="5"/>
      <c r="J35" s="34"/>
      <c r="K35" s="17"/>
      <c r="L35" s="4"/>
    </row>
    <row r="36" spans="1:20" x14ac:dyDescent="0.25">
      <c r="A36" s="17"/>
      <c r="B36" s="4"/>
      <c r="C36" s="5"/>
      <c r="D36" s="39"/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17"/>
      <c r="B37" s="18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ht="16.5" x14ac:dyDescent="0.3">
      <c r="A38" s="20"/>
      <c r="B38" s="4"/>
      <c r="C38" s="5"/>
      <c r="D38" s="6"/>
      <c r="E38" s="54"/>
      <c r="F38" s="20"/>
      <c r="G38" s="2"/>
      <c r="H38" s="2"/>
      <c r="I38" s="2"/>
      <c r="J38" s="36"/>
      <c r="K38" s="20"/>
      <c r="L38" s="2"/>
    </row>
    <row r="39" spans="1:20" x14ac:dyDescent="0.25">
      <c r="A39" s="3" t="s">
        <v>2</v>
      </c>
      <c r="B39" s="4">
        <f>SUM(B35:B38)</f>
        <v>2.84</v>
      </c>
      <c r="C39" s="6">
        <f>SUMPRODUCT(C35:C38,D35:D38)/SUM(D35:D38)</f>
        <v>9.4830000000000005</v>
      </c>
      <c r="D39" s="6">
        <f>SUM(D35:D38)</f>
        <v>0.29948328587999573</v>
      </c>
      <c r="E39" s="54"/>
      <c r="F39" s="3" t="s">
        <v>2</v>
      </c>
      <c r="G39" s="4">
        <f>SUM(G35:G38)</f>
        <v>0</v>
      </c>
      <c r="H39" s="5"/>
      <c r="I39" s="6">
        <f>SUM(I35:I38)</f>
        <v>0</v>
      </c>
      <c r="J39" s="37"/>
      <c r="K39" s="3" t="s">
        <v>2</v>
      </c>
      <c r="L39" s="4">
        <f>SUM(L35:L38)</f>
        <v>0</v>
      </c>
    </row>
    <row r="42" spans="1:20" ht="15" customHeight="1" x14ac:dyDescent="0.25">
      <c r="A42" s="55" t="s">
        <v>40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7"/>
      <c r="N42" s="22"/>
      <c r="O42" s="7"/>
      <c r="P42" s="7"/>
      <c r="Q42" s="7"/>
      <c r="R42" s="7"/>
      <c r="S42" s="22"/>
      <c r="T42" s="7"/>
    </row>
    <row r="43" spans="1:20" x14ac:dyDescent="0.25">
      <c r="A43" s="53" t="s">
        <v>29</v>
      </c>
      <c r="B43" s="53"/>
      <c r="C43" s="53"/>
      <c r="D43" s="53"/>
      <c r="E43" s="54"/>
      <c r="F43" s="53" t="s">
        <v>30</v>
      </c>
      <c r="G43" s="53"/>
      <c r="H43" s="53"/>
      <c r="I43" s="53"/>
      <c r="J43" s="35"/>
      <c r="K43" s="53" t="s">
        <v>13</v>
      </c>
      <c r="L43" s="53"/>
      <c r="N43" s="22"/>
      <c r="O43" s="7"/>
      <c r="P43" s="7"/>
      <c r="Q43" s="7"/>
      <c r="R43" s="7"/>
      <c r="S43" s="22"/>
      <c r="T43" s="7"/>
    </row>
    <row r="44" spans="1:20" x14ac:dyDescent="0.25">
      <c r="A44" s="12" t="s">
        <v>17</v>
      </c>
      <c r="B44" s="3" t="s">
        <v>3</v>
      </c>
      <c r="C44" s="3" t="s">
        <v>0</v>
      </c>
      <c r="D44" s="3" t="s">
        <v>1</v>
      </c>
      <c r="E44" s="54"/>
      <c r="F44" s="12" t="s">
        <v>17</v>
      </c>
      <c r="G44" s="3" t="s">
        <v>32</v>
      </c>
      <c r="H44" s="3" t="s">
        <v>0</v>
      </c>
      <c r="I44" s="3" t="s">
        <v>1</v>
      </c>
      <c r="J44" s="35"/>
      <c r="K44" s="3" t="s">
        <v>17</v>
      </c>
      <c r="L44" s="3" t="s">
        <v>32</v>
      </c>
      <c r="N44" s="22"/>
      <c r="O44" s="7"/>
      <c r="P44" s="7"/>
      <c r="Q44" s="7"/>
      <c r="R44" s="7"/>
      <c r="S44" s="22"/>
      <c r="T44" s="7"/>
    </row>
    <row r="45" spans="1:20" x14ac:dyDescent="0.25">
      <c r="A45" s="17">
        <f>N5</f>
        <v>46177</v>
      </c>
      <c r="B45" s="4">
        <v>1.1200000000000001</v>
      </c>
      <c r="C45" s="6">
        <v>8.2393999999999998</v>
      </c>
      <c r="D45" s="39">
        <f>B45/C45</f>
        <v>0.13593222807485983</v>
      </c>
      <c r="E45" s="54"/>
      <c r="F45" s="17"/>
      <c r="G45" s="5"/>
      <c r="H45" s="4"/>
      <c r="I45" s="5"/>
      <c r="J45" s="34"/>
      <c r="K45" s="17"/>
      <c r="L45" s="4"/>
    </row>
    <row r="46" spans="1:20" x14ac:dyDescent="0.25">
      <c r="A46" s="17"/>
      <c r="B46" s="4"/>
      <c r="C46" s="6"/>
      <c r="D46" s="39"/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17"/>
      <c r="B47" s="18"/>
      <c r="C47" s="5"/>
      <c r="D47" s="39"/>
      <c r="E47" s="54"/>
      <c r="F47" s="17"/>
      <c r="G47" s="5"/>
      <c r="H47" s="4"/>
      <c r="I47" s="5"/>
      <c r="J47" s="34"/>
      <c r="K47" s="17"/>
      <c r="L47" s="4"/>
    </row>
    <row r="48" spans="1:20" ht="16.5" x14ac:dyDescent="0.3">
      <c r="A48" s="20"/>
      <c r="B48" s="4"/>
      <c r="C48" s="5"/>
      <c r="D48" s="6"/>
      <c r="E48" s="54"/>
      <c r="F48" s="20"/>
      <c r="G48" s="2"/>
      <c r="H48" s="2"/>
      <c r="I48" s="2"/>
      <c r="J48" s="36"/>
      <c r="K48" s="20"/>
      <c r="L48" s="2"/>
    </row>
    <row r="49" spans="1:20" x14ac:dyDescent="0.25">
      <c r="A49" s="3" t="s">
        <v>2</v>
      </c>
      <c r="B49" s="4">
        <f>SUM(B45:B48)</f>
        <v>1.1200000000000001</v>
      </c>
      <c r="C49" s="6">
        <f>SUMPRODUCT(C45:C48,D45:D48)/SUM(D45:D48)</f>
        <v>8.2393999999999998</v>
      </c>
      <c r="D49" s="6">
        <f>SUM(D45:D48)</f>
        <v>0.13593222807485983</v>
      </c>
      <c r="E49" s="54"/>
      <c r="F49" s="3" t="s">
        <v>2</v>
      </c>
      <c r="G49" s="4">
        <f>SUM(G45:G48)</f>
        <v>0</v>
      </c>
      <c r="H49" s="5"/>
      <c r="I49" s="6">
        <f>SUM(I45:I48)</f>
        <v>0</v>
      </c>
      <c r="J49" s="37"/>
      <c r="K49" s="3" t="s">
        <v>2</v>
      </c>
      <c r="L49" s="4">
        <f>SUM(L45:L48)</f>
        <v>0</v>
      </c>
    </row>
    <row r="52" spans="1:20" ht="15" customHeight="1" x14ac:dyDescent="0.25">
      <c r="A52" s="55" t="s">
        <v>41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7"/>
      <c r="N52" s="22"/>
      <c r="O52" s="7"/>
      <c r="P52" s="7"/>
      <c r="Q52" s="7"/>
      <c r="R52" s="7"/>
      <c r="S52" s="22"/>
      <c r="T52" s="7"/>
    </row>
    <row r="53" spans="1:20" x14ac:dyDescent="0.25">
      <c r="A53" s="53" t="s">
        <v>29</v>
      </c>
      <c r="B53" s="53"/>
      <c r="C53" s="53"/>
      <c r="D53" s="53"/>
      <c r="E53" s="54"/>
      <c r="F53" s="53" t="s">
        <v>30</v>
      </c>
      <c r="G53" s="53"/>
      <c r="H53" s="53"/>
      <c r="I53" s="53"/>
      <c r="J53" s="35"/>
      <c r="K53" s="53" t="s">
        <v>13</v>
      </c>
      <c r="L53" s="53"/>
      <c r="N53" s="22"/>
      <c r="O53" s="7"/>
      <c r="P53" s="7"/>
      <c r="Q53" s="7"/>
      <c r="R53" s="7"/>
      <c r="S53" s="22"/>
      <c r="T53" s="7"/>
    </row>
    <row r="54" spans="1:20" x14ac:dyDescent="0.25">
      <c r="A54" s="12" t="s">
        <v>17</v>
      </c>
      <c r="B54" s="3" t="s">
        <v>3</v>
      </c>
      <c r="C54" s="3" t="s">
        <v>0</v>
      </c>
      <c r="D54" s="3" t="s">
        <v>1</v>
      </c>
      <c r="E54" s="54"/>
      <c r="F54" s="12" t="s">
        <v>17</v>
      </c>
      <c r="G54" s="3" t="s">
        <v>32</v>
      </c>
      <c r="H54" s="3" t="s">
        <v>0</v>
      </c>
      <c r="I54" s="3" t="s">
        <v>1</v>
      </c>
      <c r="J54" s="35"/>
      <c r="K54" s="3" t="s">
        <v>17</v>
      </c>
      <c r="L54" s="3" t="s">
        <v>32</v>
      </c>
      <c r="N54" s="22"/>
      <c r="O54" s="7"/>
      <c r="P54" s="7"/>
      <c r="Q54" s="7"/>
      <c r="R54" s="7"/>
      <c r="S54" s="22"/>
      <c r="T54" s="7"/>
    </row>
    <row r="55" spans="1:20" x14ac:dyDescent="0.25">
      <c r="A55" s="17">
        <f>N5</f>
        <v>46177</v>
      </c>
      <c r="B55" s="4">
        <v>6.3</v>
      </c>
      <c r="C55" s="6">
        <v>11.6837</v>
      </c>
      <c r="D55" s="39">
        <f>B55/C55</f>
        <v>0.53921274938589658</v>
      </c>
      <c r="E55" s="54"/>
      <c r="F55" s="17"/>
      <c r="G55" s="5"/>
      <c r="H55" s="4"/>
      <c r="I55" s="5"/>
      <c r="J55" s="34"/>
      <c r="K55" s="17"/>
      <c r="L55" s="4"/>
    </row>
    <row r="56" spans="1:20" x14ac:dyDescent="0.25">
      <c r="A56" s="17"/>
      <c r="B56" s="4"/>
      <c r="C56" s="6"/>
      <c r="D56" s="39"/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17"/>
      <c r="B57" s="18"/>
      <c r="C57" s="5"/>
      <c r="D57" s="39"/>
      <c r="E57" s="54"/>
      <c r="F57" s="17"/>
      <c r="G57" s="5"/>
      <c r="H57" s="4"/>
      <c r="I57" s="5"/>
      <c r="J57" s="34"/>
      <c r="K57" s="17"/>
      <c r="L57" s="4"/>
    </row>
    <row r="58" spans="1:20" ht="16.5" x14ac:dyDescent="0.3">
      <c r="A58" s="20"/>
      <c r="B58" s="4"/>
      <c r="C58" s="5"/>
      <c r="D58" s="6"/>
      <c r="E58" s="54"/>
      <c r="F58" s="20"/>
      <c r="G58" s="2"/>
      <c r="H58" s="2"/>
      <c r="I58" s="2"/>
      <c r="J58" s="36"/>
      <c r="K58" s="20"/>
      <c r="L58" s="2"/>
    </row>
    <row r="59" spans="1:20" x14ac:dyDescent="0.25">
      <c r="A59" s="3" t="s">
        <v>2</v>
      </c>
      <c r="B59" s="4">
        <f>SUM(B55:B58)</f>
        <v>6.3</v>
      </c>
      <c r="C59" s="6">
        <f>SUMPRODUCT(C55:C58,D55:D58)/SUM(D55:D58)</f>
        <v>11.6837</v>
      </c>
      <c r="D59" s="6">
        <f>SUM(D55:D58)</f>
        <v>0.53921274938589658</v>
      </c>
      <c r="E59" s="54"/>
      <c r="F59" s="3" t="s">
        <v>2</v>
      </c>
      <c r="G59" s="4">
        <f>SUM(G55:G58)</f>
        <v>0</v>
      </c>
      <c r="H59" s="5"/>
      <c r="I59" s="6">
        <f>SUM(I55:I58)</f>
        <v>0</v>
      </c>
      <c r="J59" s="37"/>
      <c r="K59" s="3" t="s">
        <v>2</v>
      </c>
      <c r="L59" s="4">
        <f>SUM(L55:L58)</f>
        <v>0</v>
      </c>
    </row>
  </sheetData>
  <mergeCells count="32">
    <mergeCell ref="A52:L52"/>
    <mergeCell ref="A53:D53"/>
    <mergeCell ref="E53:E59"/>
    <mergeCell ref="F53:I53"/>
    <mergeCell ref="K53:L53"/>
    <mergeCell ref="A42:L42"/>
    <mergeCell ref="A43:D43"/>
    <mergeCell ref="F43:I43"/>
    <mergeCell ref="K43:L43"/>
    <mergeCell ref="E23:E29"/>
    <mergeCell ref="F23:I23"/>
    <mergeCell ref="K23:L23"/>
    <mergeCell ref="A32:L32"/>
    <mergeCell ref="A33:D33"/>
    <mergeCell ref="E33:E39"/>
    <mergeCell ref="F33:I33"/>
    <mergeCell ref="K33:L33"/>
    <mergeCell ref="E43:E49"/>
    <mergeCell ref="A2:L2"/>
    <mergeCell ref="N2:T2"/>
    <mergeCell ref="A3:D3"/>
    <mergeCell ref="F3:I3"/>
    <mergeCell ref="K3:L3"/>
    <mergeCell ref="N3:T3"/>
    <mergeCell ref="E3:E9"/>
    <mergeCell ref="A22:L22"/>
    <mergeCell ref="A23:D23"/>
    <mergeCell ref="A12:L12"/>
    <mergeCell ref="A13:D13"/>
    <mergeCell ref="E13:E19"/>
    <mergeCell ref="F13:I13"/>
    <mergeCell ref="K13:L13"/>
  </mergeCells>
  <hyperlinks>
    <hyperlink ref="A12:L12" location="SGAS!A1" display="SGAS GY iShares MSCI USA ESG Screened" xr:uid="{6289E488-0C54-4987-86D4-AFA254ED9E2D}"/>
    <hyperlink ref="A22:L22" location="SLMC!A1" display="SLMC GY iShares MSCI Europe ESG Screened" xr:uid="{B54F422B-4566-4707-8E6E-4900C428E396}"/>
    <hyperlink ref="A32:L32" location="AYEM!A1" display="AYEM GY iShares MSCI EM IMI ESG Screened" xr:uid="{E96C8E2F-D3EC-402C-9973-F9FF69AC1F07}"/>
    <hyperlink ref="A42:L42" location="SGAJ!A1" display="SGAJ GY iShares MSCI Japan ESG Screened" xr:uid="{463A9C4D-D508-4262-BD51-BEB8C0943CC3}"/>
    <hyperlink ref="A52:L52" location="EDMU!A1" display="EDMU GY iShares MSCI USA ESG Enhanced" xr:uid="{AC4250D7-6620-4E7E-A225-31CFC62D6542}"/>
  </hyperlinks>
  <pageMargins left="0.7" right="0.7" top="0.75" bottom="0.75" header="0.3" footer="0.3"/>
  <pageSetup orientation="portrait" r:id="rId1"/>
  <ignoredErrors>
    <ignoredError sqref="C39 C59 C49 C19 C29" formula="1"/>
    <ignoredError sqref="N2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EA24-F833-464D-9855-8DB8F8EBC202}">
  <dimension ref="A2:T59"/>
  <sheetViews>
    <sheetView workbookViewId="0">
      <pane ySplit="10" topLeftCell="A11" activePane="bottomLeft" state="frozen"/>
      <selection pane="bottomLeft" activeCell="R21" sqref="R21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35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7">
        <v>46147</v>
      </c>
      <c r="O5" s="4">
        <v>20</v>
      </c>
      <c r="P5" s="4">
        <f>B15+B25+B35+B45+B55</f>
        <v>19.97</v>
      </c>
      <c r="Q5" s="4">
        <f>G19+G29+G39+G49+G59</f>
        <v>0</v>
      </c>
      <c r="R5" s="4">
        <f>O5-P5+Q5</f>
        <v>3.0000000000001137E-2</v>
      </c>
      <c r="S5" s="4">
        <f>L19+L29+L39+L49+L59</f>
        <v>0</v>
      </c>
      <c r="T5" s="4">
        <v>0.3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19.97</v>
      </c>
      <c r="Q9" s="4">
        <f t="shared" si="0"/>
        <v>0</v>
      </c>
      <c r="R9" s="4">
        <f t="shared" si="0"/>
        <v>3.0000000000001137E-2</v>
      </c>
      <c r="S9" s="4">
        <f t="shared" si="0"/>
        <v>0</v>
      </c>
      <c r="T9" s="4">
        <f t="shared" si="0"/>
        <v>0.3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22"/>
      <c r="T11" s="7"/>
    </row>
    <row r="12" spans="1:20" ht="15" customHeight="1" x14ac:dyDescent="0.25">
      <c r="A12" s="55" t="s">
        <v>37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  <c r="N12" s="22"/>
      <c r="O12" s="7"/>
      <c r="P12" s="7"/>
      <c r="Q12" s="7"/>
      <c r="R12" s="7"/>
      <c r="S12" s="22"/>
      <c r="T12" s="7"/>
    </row>
    <row r="13" spans="1:20" x14ac:dyDescent="0.25">
      <c r="A13" s="58" t="s">
        <v>29</v>
      </c>
      <c r="B13" s="59"/>
      <c r="C13" s="59"/>
      <c r="D13" s="60"/>
      <c r="E13" s="61"/>
      <c r="F13" s="64" t="s">
        <v>30</v>
      </c>
      <c r="G13" s="65"/>
      <c r="H13" s="65"/>
      <c r="I13" s="66"/>
      <c r="J13" s="14"/>
      <c r="K13" s="58" t="s">
        <v>13</v>
      </c>
      <c r="L13" s="60"/>
      <c r="N13" s="22"/>
      <c r="O13" s="7"/>
      <c r="P13" s="7"/>
      <c r="Q13" s="7"/>
      <c r="R13" s="7"/>
      <c r="S13" s="22"/>
      <c r="T13" s="7"/>
    </row>
    <row r="14" spans="1:20" x14ac:dyDescent="0.25">
      <c r="A14" s="12" t="s">
        <v>17</v>
      </c>
      <c r="B14" s="3" t="s">
        <v>3</v>
      </c>
      <c r="C14" s="3" t="s">
        <v>0</v>
      </c>
      <c r="D14" s="3" t="s">
        <v>1</v>
      </c>
      <c r="E14" s="62"/>
      <c r="F14" s="12" t="s">
        <v>17</v>
      </c>
      <c r="G14" s="3" t="s">
        <v>32</v>
      </c>
      <c r="H14" s="3" t="s">
        <v>0</v>
      </c>
      <c r="I14" s="3" t="s">
        <v>1</v>
      </c>
      <c r="J14" s="16"/>
      <c r="K14" s="13" t="s">
        <v>17</v>
      </c>
      <c r="L14" s="3" t="s">
        <v>32</v>
      </c>
      <c r="N14" s="22"/>
      <c r="O14" s="7"/>
      <c r="P14" s="7"/>
      <c r="Q14" s="7"/>
      <c r="R14" s="7"/>
      <c r="S14" s="22"/>
      <c r="T14" s="7"/>
    </row>
    <row r="15" spans="1:20" x14ac:dyDescent="0.25">
      <c r="A15" s="17">
        <f>N5</f>
        <v>46147</v>
      </c>
      <c r="B15" s="4">
        <v>6.56</v>
      </c>
      <c r="C15" s="6">
        <v>12.815200000000001</v>
      </c>
      <c r="D15" s="39">
        <f>B15/C15</f>
        <v>0.51189212809788365</v>
      </c>
      <c r="E15" s="62"/>
      <c r="F15" s="17"/>
      <c r="G15" s="5"/>
      <c r="H15" s="4"/>
      <c r="I15" s="5"/>
      <c r="J15" s="15"/>
      <c r="K15" s="17"/>
      <c r="L15" s="4"/>
    </row>
    <row r="16" spans="1:20" x14ac:dyDescent="0.25">
      <c r="A16" s="17"/>
      <c r="B16" s="4"/>
      <c r="C16" s="5"/>
      <c r="D16" s="39"/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17"/>
      <c r="B17" s="4"/>
      <c r="C17" s="5"/>
      <c r="D17" s="33"/>
      <c r="E17" s="62"/>
      <c r="F17" s="17"/>
      <c r="G17" s="2"/>
      <c r="H17" s="2"/>
      <c r="I17" s="2"/>
      <c r="J17" s="19"/>
      <c r="K17" s="17"/>
      <c r="L17" s="2"/>
    </row>
    <row r="18" spans="1:20" ht="16.5" x14ac:dyDescent="0.3">
      <c r="A18" s="20"/>
      <c r="B18" s="4"/>
      <c r="C18" s="5"/>
      <c r="D18" s="10"/>
      <c r="E18" s="62"/>
      <c r="F18" s="20"/>
      <c r="G18" s="2"/>
      <c r="H18" s="2"/>
      <c r="I18" s="2"/>
      <c r="J18" s="19"/>
      <c r="K18" s="20"/>
      <c r="L18" s="2"/>
    </row>
    <row r="19" spans="1:20" x14ac:dyDescent="0.25">
      <c r="A19" s="3" t="s">
        <v>2</v>
      </c>
      <c r="B19" s="4">
        <f>SUM(B15:B18)</f>
        <v>6.56</v>
      </c>
      <c r="C19" s="6">
        <f>SUMPRODUCT(C15:C18,D15:D18)/SUM(D15:D18)</f>
        <v>12.815200000000001</v>
      </c>
      <c r="D19" s="6">
        <f>SUM(D15:D18)</f>
        <v>0.51189212809788365</v>
      </c>
      <c r="E19" s="63"/>
      <c r="F19" s="3" t="s">
        <v>2</v>
      </c>
      <c r="G19" s="4">
        <f>SUM(G15:G18)</f>
        <v>0</v>
      </c>
      <c r="H19" s="5"/>
      <c r="I19" s="6">
        <f>SUM(I15:I18)</f>
        <v>0</v>
      </c>
      <c r="J19" s="21"/>
      <c r="K19" s="3" t="s">
        <v>2</v>
      </c>
      <c r="L19" s="4">
        <f>SUM(L15:L18)</f>
        <v>0</v>
      </c>
    </row>
    <row r="20" spans="1:20" x14ac:dyDescent="0.25">
      <c r="A20" s="22"/>
      <c r="B20" s="7"/>
      <c r="C20" s="1"/>
      <c r="D20" s="8"/>
      <c r="E20" s="1"/>
      <c r="F20" s="22"/>
      <c r="G20" s="7"/>
      <c r="H20" s="1"/>
      <c r="I20" s="8"/>
      <c r="J20" s="30"/>
      <c r="K20" s="22"/>
      <c r="L20" s="7"/>
    </row>
    <row r="21" spans="1:20" x14ac:dyDescent="0.25">
      <c r="B21" s="1"/>
    </row>
    <row r="22" spans="1:20" ht="15" customHeight="1" x14ac:dyDescent="0.25">
      <c r="A22" s="55" t="s">
        <v>38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7"/>
      <c r="N22" s="22"/>
      <c r="O22" s="7"/>
      <c r="P22" s="7"/>
      <c r="Q22" s="7"/>
      <c r="R22" s="7"/>
      <c r="S22" s="22"/>
      <c r="T22" s="7"/>
    </row>
    <row r="23" spans="1:20" x14ac:dyDescent="0.25">
      <c r="A23" s="53" t="s">
        <v>29</v>
      </c>
      <c r="B23" s="53"/>
      <c r="C23" s="53"/>
      <c r="D23" s="53"/>
      <c r="E23" s="54"/>
      <c r="F23" s="53" t="s">
        <v>30</v>
      </c>
      <c r="G23" s="53"/>
      <c r="H23" s="53"/>
      <c r="I23" s="53"/>
      <c r="J23" s="35"/>
      <c r="K23" s="53" t="s">
        <v>13</v>
      </c>
      <c r="L23" s="53"/>
      <c r="N23" s="22"/>
      <c r="O23" s="7"/>
      <c r="P23" s="7"/>
      <c r="Q23" s="7"/>
      <c r="R23" s="7"/>
      <c r="S23" s="22"/>
      <c r="T23" s="7"/>
    </row>
    <row r="24" spans="1:20" x14ac:dyDescent="0.25">
      <c r="A24" s="12" t="s">
        <v>17</v>
      </c>
      <c r="B24" s="3" t="s">
        <v>3</v>
      </c>
      <c r="C24" s="3" t="s">
        <v>0</v>
      </c>
      <c r="D24" s="3" t="s">
        <v>1</v>
      </c>
      <c r="E24" s="54"/>
      <c r="F24" s="12" t="s">
        <v>17</v>
      </c>
      <c r="G24" s="3" t="s">
        <v>32</v>
      </c>
      <c r="H24" s="3" t="s">
        <v>0</v>
      </c>
      <c r="I24" s="3" t="s">
        <v>1</v>
      </c>
      <c r="J24" s="35"/>
      <c r="K24" s="3" t="s">
        <v>17</v>
      </c>
      <c r="L24" s="3" t="s">
        <v>32</v>
      </c>
      <c r="N24" s="22"/>
      <c r="O24" s="7"/>
      <c r="P24" s="7"/>
      <c r="Q24" s="7"/>
      <c r="R24" s="7"/>
      <c r="S24" s="22"/>
      <c r="T24" s="7"/>
    </row>
    <row r="25" spans="1:20" x14ac:dyDescent="0.25">
      <c r="A25" s="17">
        <f>N5</f>
        <v>46147</v>
      </c>
      <c r="B25" s="4">
        <v>3.23</v>
      </c>
      <c r="C25" s="6">
        <v>10.2187</v>
      </c>
      <c r="D25" s="39">
        <f>B25/C25</f>
        <v>0.31608717351522209</v>
      </c>
      <c r="E25" s="54"/>
      <c r="F25" s="17"/>
      <c r="G25" s="4"/>
      <c r="H25" s="4"/>
      <c r="I25" s="5"/>
      <c r="J25" s="34"/>
      <c r="K25" s="17"/>
      <c r="L25" s="4"/>
    </row>
    <row r="26" spans="1:20" x14ac:dyDescent="0.25">
      <c r="A26" s="17"/>
      <c r="B26" s="4"/>
      <c r="C26" s="6"/>
      <c r="D26" s="39"/>
      <c r="E26" s="54"/>
      <c r="F26" s="17"/>
      <c r="G26" s="5"/>
      <c r="H26" s="4"/>
      <c r="I26" s="5"/>
      <c r="J26" s="34"/>
      <c r="K26" s="17"/>
      <c r="L26" s="4"/>
    </row>
    <row r="27" spans="1:20" ht="16.5" x14ac:dyDescent="0.3">
      <c r="A27" s="17"/>
      <c r="B27" s="4"/>
      <c r="C27" s="5"/>
      <c r="D27" s="39"/>
      <c r="E27" s="54"/>
      <c r="F27" s="20"/>
      <c r="G27" s="2"/>
      <c r="H27" s="2"/>
      <c r="I27" s="2"/>
      <c r="J27" s="36"/>
      <c r="K27" s="20"/>
      <c r="L27" s="2"/>
    </row>
    <row r="28" spans="1:20" ht="16.5" x14ac:dyDescent="0.3">
      <c r="A28" s="20"/>
      <c r="B28" s="4"/>
      <c r="C28" s="5"/>
      <c r="D28" s="6"/>
      <c r="E28" s="54"/>
      <c r="F28" s="20"/>
      <c r="G28" s="2"/>
      <c r="H28" s="2"/>
      <c r="I28" s="2"/>
      <c r="J28" s="36"/>
      <c r="K28" s="20"/>
      <c r="L28" s="2"/>
    </row>
    <row r="29" spans="1:20" x14ac:dyDescent="0.25">
      <c r="A29" s="3" t="s">
        <v>2</v>
      </c>
      <c r="B29" s="4">
        <f>SUM(B25:B28)</f>
        <v>3.23</v>
      </c>
      <c r="C29" s="6">
        <f>SUMPRODUCT(C25:C28,D25:D28)/SUM(D25:D28)</f>
        <v>10.2187</v>
      </c>
      <c r="D29" s="6">
        <f>SUM(D25:D28)</f>
        <v>0.31608717351522209</v>
      </c>
      <c r="E29" s="54"/>
      <c r="F29" s="3" t="s">
        <v>2</v>
      </c>
      <c r="G29" s="4">
        <f>SUM(G25:G28)</f>
        <v>0</v>
      </c>
      <c r="H29" s="5"/>
      <c r="I29" s="6">
        <f>SUM(I25:I28)</f>
        <v>0</v>
      </c>
      <c r="J29" s="37"/>
      <c r="K29" s="3" t="s">
        <v>2</v>
      </c>
      <c r="L29" s="4">
        <f>SUM(L25:L28)</f>
        <v>0</v>
      </c>
    </row>
    <row r="30" spans="1:20" x14ac:dyDescent="0.25">
      <c r="A30" s="22"/>
      <c r="B30" s="7"/>
      <c r="C30" s="1"/>
      <c r="D30" s="30"/>
      <c r="E30" s="1"/>
      <c r="F30" s="22"/>
      <c r="G30" s="7"/>
      <c r="H30" s="1"/>
      <c r="I30" s="8"/>
      <c r="J30" s="30"/>
      <c r="K30" s="22"/>
      <c r="L30" s="7"/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ht="15" customHeight="1" x14ac:dyDescent="0.25">
      <c r="A32" s="55" t="s">
        <v>39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7"/>
      <c r="N32" s="22"/>
      <c r="O32" s="7"/>
      <c r="P32" s="7"/>
      <c r="Q32" s="7"/>
      <c r="R32" s="7"/>
      <c r="S32" s="22"/>
      <c r="T32" s="7"/>
    </row>
    <row r="33" spans="1:20" x14ac:dyDescent="0.25">
      <c r="A33" s="53" t="s">
        <v>29</v>
      </c>
      <c r="B33" s="53"/>
      <c r="C33" s="53"/>
      <c r="D33" s="53"/>
      <c r="E33" s="54"/>
      <c r="F33" s="53" t="s">
        <v>30</v>
      </c>
      <c r="G33" s="53"/>
      <c r="H33" s="53"/>
      <c r="I33" s="53"/>
      <c r="J33" s="35"/>
      <c r="K33" s="53" t="s">
        <v>13</v>
      </c>
      <c r="L33" s="53"/>
      <c r="N33" s="22"/>
      <c r="O33" s="7"/>
      <c r="P33" s="7"/>
      <c r="Q33" s="7"/>
      <c r="R33" s="7"/>
      <c r="S33" s="22"/>
      <c r="T33" s="7"/>
    </row>
    <row r="34" spans="1:20" x14ac:dyDescent="0.25">
      <c r="A34" s="12" t="s">
        <v>17</v>
      </c>
      <c r="B34" s="3" t="s">
        <v>3</v>
      </c>
      <c r="C34" s="3" t="s">
        <v>0</v>
      </c>
      <c r="D34" s="3" t="s">
        <v>1</v>
      </c>
      <c r="E34" s="54"/>
      <c r="F34" s="12" t="s">
        <v>17</v>
      </c>
      <c r="G34" s="3" t="s">
        <v>32</v>
      </c>
      <c r="H34" s="3" t="s">
        <v>0</v>
      </c>
      <c r="I34" s="3" t="s">
        <v>1</v>
      </c>
      <c r="J34" s="35"/>
      <c r="K34" s="3" t="s">
        <v>17</v>
      </c>
      <c r="L34" s="3" t="s">
        <v>32</v>
      </c>
      <c r="N34" s="22"/>
      <c r="O34" s="7"/>
      <c r="P34" s="7"/>
      <c r="Q34" s="7"/>
      <c r="R34" s="7"/>
      <c r="S34" s="22"/>
      <c r="T34" s="7"/>
    </row>
    <row r="35" spans="1:20" x14ac:dyDescent="0.25">
      <c r="A35" s="17">
        <f>N5</f>
        <v>46147</v>
      </c>
      <c r="B35" s="4">
        <v>2.75</v>
      </c>
      <c r="C35" s="6">
        <v>8.6327999999999996</v>
      </c>
      <c r="D35" s="39">
        <f>B35/C35</f>
        <v>0.31855249745158004</v>
      </c>
      <c r="E35" s="54"/>
      <c r="F35" s="17"/>
      <c r="G35" s="5"/>
      <c r="H35" s="4"/>
      <c r="I35" s="5"/>
      <c r="J35" s="34"/>
      <c r="K35" s="17"/>
      <c r="L35" s="4"/>
    </row>
    <row r="36" spans="1:20" x14ac:dyDescent="0.25">
      <c r="A36" s="17"/>
      <c r="B36" s="4"/>
      <c r="C36" s="5"/>
      <c r="D36" s="39"/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17"/>
      <c r="B37" s="18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ht="16.5" x14ac:dyDescent="0.3">
      <c r="A38" s="20"/>
      <c r="B38" s="4"/>
      <c r="C38" s="5"/>
      <c r="D38" s="6"/>
      <c r="E38" s="54"/>
      <c r="F38" s="20"/>
      <c r="G38" s="2"/>
      <c r="H38" s="2"/>
      <c r="I38" s="2"/>
      <c r="J38" s="36"/>
      <c r="K38" s="20"/>
      <c r="L38" s="2"/>
    </row>
    <row r="39" spans="1:20" x14ac:dyDescent="0.25">
      <c r="A39" s="3" t="s">
        <v>2</v>
      </c>
      <c r="B39" s="4">
        <f>SUM(B35:B38)</f>
        <v>2.75</v>
      </c>
      <c r="C39" s="6">
        <f>SUMPRODUCT(C35:C38,D35:D38)/SUM(D35:D38)</f>
        <v>8.6327999999999996</v>
      </c>
      <c r="D39" s="6">
        <f>SUM(D35:D38)</f>
        <v>0.31855249745158004</v>
      </c>
      <c r="E39" s="54"/>
      <c r="F39" s="3" t="s">
        <v>2</v>
      </c>
      <c r="G39" s="4">
        <f>SUM(G35:G38)</f>
        <v>0</v>
      </c>
      <c r="H39" s="5"/>
      <c r="I39" s="6">
        <f>SUM(I35:I38)</f>
        <v>0</v>
      </c>
      <c r="J39" s="37"/>
      <c r="K39" s="3" t="s">
        <v>2</v>
      </c>
      <c r="L39" s="4">
        <f>SUM(L35:L38)</f>
        <v>0</v>
      </c>
    </row>
    <row r="42" spans="1:20" ht="15" customHeight="1" x14ac:dyDescent="0.25">
      <c r="A42" s="55" t="s">
        <v>40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7"/>
      <c r="N42" s="22"/>
      <c r="O42" s="7"/>
      <c r="P42" s="7"/>
      <c r="Q42" s="7"/>
      <c r="R42" s="7"/>
      <c r="S42" s="22"/>
      <c r="T42" s="7"/>
    </row>
    <row r="43" spans="1:20" x14ac:dyDescent="0.25">
      <c r="A43" s="53" t="s">
        <v>29</v>
      </c>
      <c r="B43" s="53"/>
      <c r="C43" s="53"/>
      <c r="D43" s="53"/>
      <c r="E43" s="54"/>
      <c r="F43" s="53" t="s">
        <v>30</v>
      </c>
      <c r="G43" s="53"/>
      <c r="H43" s="53"/>
      <c r="I43" s="53"/>
      <c r="J43" s="35"/>
      <c r="K43" s="53" t="s">
        <v>13</v>
      </c>
      <c r="L43" s="53"/>
      <c r="N43" s="22"/>
      <c r="O43" s="7"/>
      <c r="P43" s="7"/>
      <c r="Q43" s="7"/>
      <c r="R43" s="7"/>
      <c r="S43" s="22"/>
      <c r="T43" s="7"/>
    </row>
    <row r="44" spans="1:20" x14ac:dyDescent="0.25">
      <c r="A44" s="12" t="s">
        <v>17</v>
      </c>
      <c r="B44" s="3" t="s">
        <v>3</v>
      </c>
      <c r="C44" s="3" t="s">
        <v>0</v>
      </c>
      <c r="D44" s="3" t="s">
        <v>1</v>
      </c>
      <c r="E44" s="54"/>
      <c r="F44" s="12" t="s">
        <v>17</v>
      </c>
      <c r="G44" s="3" t="s">
        <v>32</v>
      </c>
      <c r="H44" s="3" t="s">
        <v>0</v>
      </c>
      <c r="I44" s="3" t="s">
        <v>1</v>
      </c>
      <c r="J44" s="35"/>
      <c r="K44" s="3" t="s">
        <v>17</v>
      </c>
      <c r="L44" s="3" t="s">
        <v>32</v>
      </c>
      <c r="N44" s="22"/>
      <c r="O44" s="7"/>
      <c r="P44" s="7"/>
      <c r="Q44" s="7"/>
      <c r="R44" s="7"/>
      <c r="S44" s="22"/>
      <c r="T44" s="7"/>
    </row>
    <row r="45" spans="1:20" x14ac:dyDescent="0.25">
      <c r="A45" s="17">
        <f>N5</f>
        <v>46147</v>
      </c>
      <c r="B45" s="4">
        <v>1.1299999999999999</v>
      </c>
      <c r="C45" s="6">
        <v>7.78</v>
      </c>
      <c r="D45" s="39">
        <f>B45/C45</f>
        <v>0.14524421593830333</v>
      </c>
      <c r="E45" s="54"/>
      <c r="F45" s="17"/>
      <c r="G45" s="5"/>
      <c r="H45" s="4"/>
      <c r="I45" s="5"/>
      <c r="J45" s="34"/>
      <c r="K45" s="17"/>
      <c r="L45" s="4"/>
    </row>
    <row r="46" spans="1:20" x14ac:dyDescent="0.25">
      <c r="A46" s="17"/>
      <c r="B46" s="4"/>
      <c r="C46" s="6"/>
      <c r="D46" s="39"/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17"/>
      <c r="B47" s="18"/>
      <c r="C47" s="5"/>
      <c r="D47" s="39"/>
      <c r="E47" s="54"/>
      <c r="F47" s="17"/>
      <c r="G47" s="5"/>
      <c r="H47" s="4"/>
      <c r="I47" s="5"/>
      <c r="J47" s="34"/>
      <c r="K47" s="17"/>
      <c r="L47" s="4"/>
    </row>
    <row r="48" spans="1:20" ht="16.5" x14ac:dyDescent="0.3">
      <c r="A48" s="20"/>
      <c r="B48" s="4"/>
      <c r="C48" s="5"/>
      <c r="D48" s="6"/>
      <c r="E48" s="54"/>
      <c r="F48" s="20"/>
      <c r="G48" s="2"/>
      <c r="H48" s="2"/>
      <c r="I48" s="2"/>
      <c r="J48" s="36"/>
      <c r="K48" s="20"/>
      <c r="L48" s="2"/>
    </row>
    <row r="49" spans="1:20" x14ac:dyDescent="0.25">
      <c r="A49" s="3" t="s">
        <v>2</v>
      </c>
      <c r="B49" s="4">
        <f>SUM(B45:B48)</f>
        <v>1.1299999999999999</v>
      </c>
      <c r="C49" s="6">
        <f>SUMPRODUCT(C45:C48,D45:D48)/SUM(D45:D48)</f>
        <v>7.7799999999999994</v>
      </c>
      <c r="D49" s="6">
        <f>SUM(D45:D48)</f>
        <v>0.14524421593830333</v>
      </c>
      <c r="E49" s="54"/>
      <c r="F49" s="3" t="s">
        <v>2</v>
      </c>
      <c r="G49" s="4">
        <f>SUM(G45:G48)</f>
        <v>0</v>
      </c>
      <c r="H49" s="5"/>
      <c r="I49" s="6">
        <f>SUM(I45:I48)</f>
        <v>0</v>
      </c>
      <c r="J49" s="37"/>
      <c r="K49" s="3" t="s">
        <v>2</v>
      </c>
      <c r="L49" s="4">
        <f>SUM(L45:L48)</f>
        <v>0</v>
      </c>
    </row>
    <row r="52" spans="1:20" ht="15" customHeight="1" x14ac:dyDescent="0.25">
      <c r="A52" s="55" t="s">
        <v>41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7"/>
      <c r="N52" s="22"/>
      <c r="O52" s="7"/>
      <c r="P52" s="7"/>
      <c r="Q52" s="7"/>
      <c r="R52" s="7"/>
      <c r="S52" s="22"/>
      <c r="T52" s="7"/>
    </row>
    <row r="53" spans="1:20" x14ac:dyDescent="0.25">
      <c r="A53" s="53" t="s">
        <v>29</v>
      </c>
      <c r="B53" s="53"/>
      <c r="C53" s="53"/>
      <c r="D53" s="53"/>
      <c r="E53" s="54"/>
      <c r="F53" s="53" t="s">
        <v>30</v>
      </c>
      <c r="G53" s="53"/>
      <c r="H53" s="53"/>
      <c r="I53" s="53"/>
      <c r="J53" s="35"/>
      <c r="K53" s="53" t="s">
        <v>13</v>
      </c>
      <c r="L53" s="53"/>
      <c r="N53" s="22"/>
      <c r="O53" s="7"/>
      <c r="P53" s="7"/>
      <c r="Q53" s="7"/>
      <c r="R53" s="7"/>
      <c r="S53" s="22"/>
      <c r="T53" s="7"/>
    </row>
    <row r="54" spans="1:20" x14ac:dyDescent="0.25">
      <c r="A54" s="12" t="s">
        <v>17</v>
      </c>
      <c r="B54" s="3" t="s">
        <v>3</v>
      </c>
      <c r="C54" s="3" t="s">
        <v>0</v>
      </c>
      <c r="D54" s="3" t="s">
        <v>1</v>
      </c>
      <c r="E54" s="54"/>
      <c r="F54" s="12" t="s">
        <v>17</v>
      </c>
      <c r="G54" s="3" t="s">
        <v>32</v>
      </c>
      <c r="H54" s="3" t="s">
        <v>0</v>
      </c>
      <c r="I54" s="3" t="s">
        <v>1</v>
      </c>
      <c r="J54" s="35"/>
      <c r="K54" s="3" t="s">
        <v>17</v>
      </c>
      <c r="L54" s="3" t="s">
        <v>32</v>
      </c>
      <c r="N54" s="22"/>
      <c r="O54" s="7"/>
      <c r="P54" s="7"/>
      <c r="Q54" s="7"/>
      <c r="R54" s="7"/>
      <c r="S54" s="22"/>
      <c r="T54" s="7"/>
    </row>
    <row r="55" spans="1:20" x14ac:dyDescent="0.25">
      <c r="A55" s="17">
        <f>N5</f>
        <v>46147</v>
      </c>
      <c r="B55" s="4">
        <v>6.3</v>
      </c>
      <c r="C55" s="6">
        <v>11.052</v>
      </c>
      <c r="D55" s="39">
        <f>B55/C55</f>
        <v>0.57003257328990231</v>
      </c>
      <c r="E55" s="54"/>
      <c r="F55" s="17"/>
      <c r="G55" s="5"/>
      <c r="H55" s="4"/>
      <c r="I55" s="5"/>
      <c r="J55" s="34"/>
      <c r="K55" s="17"/>
      <c r="L55" s="4"/>
    </row>
    <row r="56" spans="1:20" x14ac:dyDescent="0.25">
      <c r="A56" s="17"/>
      <c r="B56" s="4"/>
      <c r="C56" s="6"/>
      <c r="D56" s="39"/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17"/>
      <c r="B57" s="18"/>
      <c r="C57" s="5"/>
      <c r="D57" s="39"/>
      <c r="E57" s="54"/>
      <c r="F57" s="17"/>
      <c r="G57" s="5"/>
      <c r="H57" s="4"/>
      <c r="I57" s="5"/>
      <c r="J57" s="34"/>
      <c r="K57" s="17"/>
      <c r="L57" s="4"/>
    </row>
    <row r="58" spans="1:20" ht="16.5" x14ac:dyDescent="0.3">
      <c r="A58" s="20"/>
      <c r="B58" s="4"/>
      <c r="C58" s="5"/>
      <c r="D58" s="6"/>
      <c r="E58" s="54"/>
      <c r="F58" s="20"/>
      <c r="G58" s="2"/>
      <c r="H58" s="2"/>
      <c r="I58" s="2"/>
      <c r="J58" s="36"/>
      <c r="K58" s="20"/>
      <c r="L58" s="2"/>
    </row>
    <row r="59" spans="1:20" x14ac:dyDescent="0.25">
      <c r="A59" s="3" t="s">
        <v>2</v>
      </c>
      <c r="B59" s="4">
        <f>SUM(B55:B58)</f>
        <v>6.3</v>
      </c>
      <c r="C59" s="6">
        <f>SUMPRODUCT(C55:C58,D55:D58)/SUM(D55:D58)</f>
        <v>11.052</v>
      </c>
      <c r="D59" s="6">
        <f>SUM(D55:D58)</f>
        <v>0.57003257328990231</v>
      </c>
      <c r="E59" s="54"/>
      <c r="F59" s="3" t="s">
        <v>2</v>
      </c>
      <c r="G59" s="4">
        <f>SUM(G55:G58)</f>
        <v>0</v>
      </c>
      <c r="H59" s="5"/>
      <c r="I59" s="6">
        <f>SUM(I55:I58)</f>
        <v>0</v>
      </c>
      <c r="J59" s="37"/>
      <c r="K59" s="3" t="s">
        <v>2</v>
      </c>
      <c r="L59" s="4">
        <f>SUM(L55:L58)</f>
        <v>0</v>
      </c>
    </row>
  </sheetData>
  <mergeCells count="32">
    <mergeCell ref="A52:L52"/>
    <mergeCell ref="A53:D53"/>
    <mergeCell ref="E53:E59"/>
    <mergeCell ref="F53:I53"/>
    <mergeCell ref="K53:L53"/>
    <mergeCell ref="A42:L42"/>
    <mergeCell ref="A43:D43"/>
    <mergeCell ref="F43:I43"/>
    <mergeCell ref="K43:L43"/>
    <mergeCell ref="E23:E29"/>
    <mergeCell ref="F23:I23"/>
    <mergeCell ref="K23:L23"/>
    <mergeCell ref="A32:L32"/>
    <mergeCell ref="A33:D33"/>
    <mergeCell ref="E33:E39"/>
    <mergeCell ref="F33:I33"/>
    <mergeCell ref="K33:L33"/>
    <mergeCell ref="E43:E49"/>
    <mergeCell ref="A2:L2"/>
    <mergeCell ref="N2:T2"/>
    <mergeCell ref="A3:D3"/>
    <mergeCell ref="F3:I3"/>
    <mergeCell ref="K3:L3"/>
    <mergeCell ref="N3:T3"/>
    <mergeCell ref="E3:E9"/>
    <mergeCell ref="A22:L22"/>
    <mergeCell ref="A23:D23"/>
    <mergeCell ref="A12:L12"/>
    <mergeCell ref="A13:D13"/>
    <mergeCell ref="E13:E19"/>
    <mergeCell ref="F13:I13"/>
    <mergeCell ref="K13:L13"/>
  </mergeCells>
  <hyperlinks>
    <hyperlink ref="A12:L12" location="SGAS!A1" display="SGAS GY iShares MSCI USA ESG Screened" xr:uid="{CF5A896C-93DB-4285-BD4D-F6016B6E78E1}"/>
    <hyperlink ref="A22:L22" location="SLMC!A1" display="SLMC GY iShares MSCI Europe ESG Screened" xr:uid="{FA76EE11-3B2D-4485-81E4-3D2D136BDA7B}"/>
    <hyperlink ref="A32:L32" location="AYEM!A1" display="AYEM GY iShares MSCI EM IMI ESG Screened" xr:uid="{7A845AB3-A124-4285-9764-C98EDAD13FDD}"/>
    <hyperlink ref="A42:L42" location="SGAJ!A1" display="SGAJ GY iShares MSCI Japan ESG Screened" xr:uid="{4E279B83-D397-473C-8F9D-7CC28DFE9F50}"/>
    <hyperlink ref="A52:L52" location="EDMU!A1" display="EDMU GY iShares MSCI USA ESG Enhanced" xr:uid="{BC00DCEE-2CAF-400C-BE32-B7B50087B008}"/>
  </hyperlinks>
  <pageMargins left="0.7" right="0.7" top="0.75" bottom="0.75" header="0.3" footer="0.3"/>
  <pageSetup orientation="portrait" r:id="rId1"/>
  <ignoredErrors>
    <ignoredError sqref="C19 C29 C39 C49 C59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2E12-1913-4ED6-9D28-C4941D49972E}">
  <dimension ref="A2:T60"/>
  <sheetViews>
    <sheetView workbookViewId="0">
      <pane ySplit="10" topLeftCell="A11" activePane="bottomLeft" state="frozen"/>
      <selection pane="bottomLeft" activeCell="C50" sqref="C50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33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46121</v>
      </c>
      <c r="O5" s="4">
        <v>20</v>
      </c>
      <c r="P5" s="4">
        <f>B16+B26+B36+B46+B56</f>
        <v>20.07</v>
      </c>
      <c r="Q5" s="4">
        <f>G20+G30+G40+G50+G60</f>
        <v>0</v>
      </c>
      <c r="R5" s="4">
        <f>O5-P5+Q5</f>
        <v>-7.0000000000000284E-2</v>
      </c>
      <c r="S5" s="4">
        <f>L20+L30+L40+L50+L60</f>
        <v>0</v>
      </c>
      <c r="T5" s="4">
        <v>0.27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20.07</v>
      </c>
      <c r="Q9" s="4">
        <f t="shared" si="0"/>
        <v>0</v>
      </c>
      <c r="R9" s="4">
        <f t="shared" si="0"/>
        <v>-7.0000000000000284E-2</v>
      </c>
      <c r="S9" s="4">
        <f t="shared" si="0"/>
        <v>0</v>
      </c>
      <c r="T9" s="4">
        <f t="shared" si="0"/>
        <v>0.27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46121</v>
      </c>
      <c r="B16" s="4">
        <v>6.52</v>
      </c>
      <c r="C16" s="6">
        <v>11.72</v>
      </c>
      <c r="D16" s="39">
        <f>B16/C16</f>
        <v>0.55631399317406138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6.52</v>
      </c>
      <c r="C20" s="6">
        <f>SUMPRODUCT(C16:C19,D16:D19)/SUM(D16:D19)</f>
        <v>11.72</v>
      </c>
      <c r="D20" s="6">
        <f>SUM(D16:D19)</f>
        <v>0.55631399317406138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46121</v>
      </c>
      <c r="B26" s="4">
        <v>3.43</v>
      </c>
      <c r="C26" s="6">
        <v>9.9659999999999993</v>
      </c>
      <c r="D26" s="39">
        <f>B26/C26</f>
        <v>0.34417017860726473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3.43</v>
      </c>
      <c r="C30" s="6">
        <f>SUMPRODUCT(C26:C29,D26:D29)/SUM(D26:D29)</f>
        <v>9.9659999999999993</v>
      </c>
      <c r="D30" s="6">
        <f>SUM(D26:D29)</f>
        <v>0.34417017860726473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46121</v>
      </c>
      <c r="B36" s="4">
        <v>2.65</v>
      </c>
      <c r="C36" s="6">
        <v>7.7115999999999998</v>
      </c>
      <c r="D36" s="39">
        <f>B36/C36</f>
        <v>0.34363815550599097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2.65</v>
      </c>
      <c r="C40" s="6">
        <f>SUMPRODUCT(C36:C39,D36:D39)/SUM(D36:D39)</f>
        <v>7.7115999999999998</v>
      </c>
      <c r="D40" s="6">
        <f>SUM(D36:D39)</f>
        <v>0.34363815550599097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46121</v>
      </c>
      <c r="B46" s="4">
        <v>1.18</v>
      </c>
      <c r="C46" s="6">
        <v>7.4939999999999998</v>
      </c>
      <c r="D46" s="39">
        <f>B46/C46</f>
        <v>0.15745930077395248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1.18</v>
      </c>
      <c r="C50" s="6">
        <f>SUMPRODUCT(C46:C49,D46:D49)/SUM(D46:D49)</f>
        <v>7.4940000000000007</v>
      </c>
      <c r="D50" s="6">
        <f>SUM(D46:D49)</f>
        <v>0.15745930077395248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46121</v>
      </c>
      <c r="B56" s="4">
        <v>6.29</v>
      </c>
      <c r="C56" s="6">
        <v>10.170999999999999</v>
      </c>
      <c r="D56" s="39">
        <f>B56/C56</f>
        <v>0.61842493363484419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6.29</v>
      </c>
      <c r="C60" s="6">
        <f>SUMPRODUCT(C56:C59,D56:D59)/SUM(D56:D59)</f>
        <v>10.170999999999999</v>
      </c>
      <c r="D60" s="6">
        <f>SUM(D56:D59)</f>
        <v>0.61842493363484419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53:L53"/>
    <mergeCell ref="A54:D54"/>
    <mergeCell ref="E54:E60"/>
    <mergeCell ref="F54:I54"/>
    <mergeCell ref="K54:L54"/>
    <mergeCell ref="A44:D44"/>
    <mergeCell ref="F44:I44"/>
    <mergeCell ref="K44:L44"/>
    <mergeCell ref="K34:L34"/>
    <mergeCell ref="E44:E50"/>
    <mergeCell ref="A43:L43"/>
    <mergeCell ref="A33:L33"/>
    <mergeCell ref="A34:D34"/>
    <mergeCell ref="E34:E40"/>
    <mergeCell ref="F34:I34"/>
    <mergeCell ref="N3:T3"/>
    <mergeCell ref="A23:L23"/>
    <mergeCell ref="A24:D24"/>
    <mergeCell ref="E24:E30"/>
    <mergeCell ref="F24:I24"/>
    <mergeCell ref="K24:L24"/>
    <mergeCell ref="E3:E9"/>
    <mergeCell ref="A13:L13"/>
    <mergeCell ref="A14:D14"/>
    <mergeCell ref="E14:E20"/>
    <mergeCell ref="F14:I14"/>
    <mergeCell ref="K14:L14"/>
    <mergeCell ref="A2:L2"/>
    <mergeCell ref="A3:D3"/>
    <mergeCell ref="F3:I3"/>
    <mergeCell ref="K3:L3"/>
    <mergeCell ref="N2:T2"/>
  </mergeCells>
  <hyperlinks>
    <hyperlink ref="A13:L13" location="SGAS!A1" display="SGAS GY iShares MSCI USA ESG Screened" xr:uid="{21DAB0EB-0F39-4D43-A0AF-ED268B279264}"/>
    <hyperlink ref="A23:L23" location="SLMC!A1" display="SLMC GY iShares MSCI Europe ESG Screened" xr:uid="{599D7AFD-A0E4-497A-B4CA-CE460F7EBA36}"/>
    <hyperlink ref="A33:L33" location="AYEM!A1" display="AYEM GY iShares MSCI EM IMI ESG Screened" xr:uid="{BC0645A2-0B58-4AFF-B723-987E69F5D2CE}"/>
    <hyperlink ref="A43:L43" location="SGAJ!A1" display="SGAJ GY iShares MSCI Japan ESG Screened" xr:uid="{E2926DE4-32C0-476B-BB9C-6C5102BD1D98}"/>
    <hyperlink ref="A53:L53" location="EDMU!A1" display="EDMU GY iShares MSCI USA ESG Enhanced" xr:uid="{18009A89-F9BB-482B-923B-D9DB4E5C76A8}"/>
  </hyperlinks>
  <pageMargins left="0.7" right="0.7" top="0.75" bottom="0.75" header="0.3" footer="0.3"/>
  <pageSetup orientation="portrait" r:id="rId1"/>
  <ignoredErrors>
    <ignoredError sqref="C20 C30 C40 C60 C50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T60"/>
  <sheetViews>
    <sheetView workbookViewId="0">
      <pane ySplit="10" topLeftCell="A11" activePane="bottomLeft" state="frozen"/>
      <selection pane="bottomLeft" activeCell="N24" sqref="N24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53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46086</v>
      </c>
      <c r="O5" s="4">
        <v>20</v>
      </c>
      <c r="P5" s="4">
        <f>B16+B26+B36+B46+B56</f>
        <v>19.98</v>
      </c>
      <c r="Q5" s="4">
        <f>G20+G30+G40+G50+G60</f>
        <v>0</v>
      </c>
      <c r="R5" s="4">
        <f>O5-P5+Q5</f>
        <v>1.9999999999999574E-2</v>
      </c>
      <c r="S5" s="4">
        <f>L20+L30+L40+L50+L60</f>
        <v>0</v>
      </c>
      <c r="T5" s="4">
        <v>0.25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19.98</v>
      </c>
      <c r="Q9" s="4">
        <f t="shared" si="0"/>
        <v>0</v>
      </c>
      <c r="R9" s="4">
        <f t="shared" si="0"/>
        <v>1.9999999999999574E-2</v>
      </c>
      <c r="S9" s="4">
        <f t="shared" si="0"/>
        <v>0</v>
      </c>
      <c r="T9" s="4">
        <f t="shared" si="0"/>
        <v>0.25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46086</v>
      </c>
      <c r="B16" s="4">
        <v>6.44</v>
      </c>
      <c r="C16" s="6">
        <v>11.944000000000001</v>
      </c>
      <c r="D16" s="39">
        <f>B16/C16</f>
        <v>0.53918285331547222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6.44</v>
      </c>
      <c r="C20" s="6">
        <f>SUMPRODUCT(C16:C19,D16:D19)/SUM(D16:D19)</f>
        <v>11.944000000000001</v>
      </c>
      <c r="D20" s="6">
        <f>SUM(D16:D19)</f>
        <v>0.53918285331547222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46086</v>
      </c>
      <c r="B26" s="4">
        <v>3.42</v>
      </c>
      <c r="C26" s="6">
        <v>10.114000000000001</v>
      </c>
      <c r="D26" s="39">
        <f>B26/C26</f>
        <v>0.33814514534308876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3.42</v>
      </c>
      <c r="C30" s="6">
        <f>SUMPRODUCT(C26:C29,D26:D29)/SUM(D26:D29)</f>
        <v>10.114000000000001</v>
      </c>
      <c r="D30" s="6">
        <f>SUM(D26:D29)</f>
        <v>0.33814514534308876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46086</v>
      </c>
      <c r="B36" s="4">
        <v>2.72</v>
      </c>
      <c r="C36" s="6">
        <v>7.9452999999999996</v>
      </c>
      <c r="D36" s="39">
        <f>B36/C36</f>
        <v>0.34234075491170884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2.72</v>
      </c>
      <c r="C40" s="6">
        <f>SUMPRODUCT(C36:C39,D36:D39)/SUM(D36:D39)</f>
        <v>7.9452999999999996</v>
      </c>
      <c r="D40" s="6">
        <f>SUM(D36:D39)</f>
        <v>0.34234075491170884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46086</v>
      </c>
      <c r="B46" s="4">
        <v>1.17</v>
      </c>
      <c r="C46" s="6">
        <v>7.4942000000000002</v>
      </c>
      <c r="D46" s="39">
        <f>B46/C46</f>
        <v>0.15612073336713725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1.17</v>
      </c>
      <c r="C50" s="6">
        <f>SUMPRODUCT(C46:C49,D46:D49)/SUM(D46:D49)</f>
        <v>7.4941999999999993</v>
      </c>
      <c r="D50" s="6">
        <f>SUM(D46:D49)</f>
        <v>0.15612073336713725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46086</v>
      </c>
      <c r="B56" s="4">
        <v>6.23</v>
      </c>
      <c r="C56" s="6">
        <v>10.404</v>
      </c>
      <c r="D56" s="39">
        <f>B56/C56</f>
        <v>0.59880815071126492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6.23</v>
      </c>
      <c r="C60" s="6">
        <f>SUMPRODUCT(C56:C59,D56:D59)/SUM(D56:D59)</f>
        <v>10.404</v>
      </c>
      <c r="D60" s="6">
        <f>SUM(D56:D59)</f>
        <v>0.59880815071126492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2CAC61AB-47ED-427E-9EF0-47344DF8186A}"/>
    <hyperlink ref="A23:L23" location="SLMC!A1" display="SLMC GY iShares MSCI Europe ESG Screened" xr:uid="{F82DC7E3-C813-4EEF-9B3D-5A4FAC5C9542}"/>
    <hyperlink ref="A33:L33" location="AYEM!A1" display="AYEM GY iShares MSCI EM IMI ESG Screened" xr:uid="{0ED23D3B-1F65-4D00-AB87-9149A32FE099}"/>
    <hyperlink ref="A43:L43" location="SGAJ!A1" display="SGAJ GY iShares MSCI Japan ESG Screened" xr:uid="{359AD49C-E7CF-4471-BE3D-433A7942D512}"/>
    <hyperlink ref="A53:L53" location="EDMU!A1" display="EDMU GY iShares MSCI USA ESG Enhanced" xr:uid="{C9C73F48-85D2-4C5F-9156-7481D536F386}"/>
  </hyperlinks>
  <pageMargins left="0.7" right="0.7" top="0.75" bottom="0.75" header="0.3" footer="0.3"/>
  <pageSetup orientation="portrait" r:id="rId1"/>
  <ignoredErrors>
    <ignoredError sqref="C60 C50 C40 C30 C20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T60"/>
  <sheetViews>
    <sheetView workbookViewId="0">
      <pane ySplit="10" topLeftCell="A11" activePane="bottomLeft" state="frozen"/>
      <selection pane="bottomLeft" activeCell="A11" sqref="A11:XFD11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52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46058</v>
      </c>
      <c r="O5" s="4">
        <v>20</v>
      </c>
      <c r="P5" s="4">
        <f>B16+B26+B36+B46+B56</f>
        <v>19.97</v>
      </c>
      <c r="Q5" s="4">
        <f>G20+G30+G40+G50+G60</f>
        <v>0</v>
      </c>
      <c r="R5" s="4">
        <f>O5-P5+Q5</f>
        <v>3.0000000000001137E-2</v>
      </c>
      <c r="S5" s="4">
        <f>L20+L30+L40+L50+L60</f>
        <v>0</v>
      </c>
      <c r="T5" s="4">
        <v>0.22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19.97</v>
      </c>
      <c r="Q9" s="4">
        <f t="shared" si="0"/>
        <v>0</v>
      </c>
      <c r="R9" s="4">
        <f t="shared" si="0"/>
        <v>3.0000000000001137E-2</v>
      </c>
      <c r="S9" s="4">
        <f t="shared" si="0"/>
        <v>0</v>
      </c>
      <c r="T9" s="4">
        <f t="shared" si="0"/>
        <v>0.22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46058</v>
      </c>
      <c r="B16" s="4">
        <v>6.55</v>
      </c>
      <c r="C16" s="6">
        <v>12.247999999999999</v>
      </c>
      <c r="D16" s="39">
        <f>B16/C16</f>
        <v>0.53478118876551273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6.55</v>
      </c>
      <c r="C20" s="6">
        <f>SUMPRODUCT(C16:C19,D16:D19)/SUM(D16:D19)</f>
        <v>12.247999999999999</v>
      </c>
      <c r="D20" s="6">
        <f>SUM(D16:D19)</f>
        <v>0.53478118876551273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46058</v>
      </c>
      <c r="B26" s="4">
        <v>3.4</v>
      </c>
      <c r="C26" s="6">
        <v>10.376300000000001</v>
      </c>
      <c r="D26" s="39">
        <f>B26/C26</f>
        <v>0.327669785954531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3.4</v>
      </c>
      <c r="C30" s="6">
        <f>SUMPRODUCT(C26:C29,D26:D29)/SUM(D26:D29)</f>
        <v>10.376300000000001</v>
      </c>
      <c r="D30" s="6">
        <f>SUM(D26:D29)</f>
        <v>0.327669785954531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46058</v>
      </c>
      <c r="B36" s="4">
        <v>2.62</v>
      </c>
      <c r="C36" s="6">
        <v>7.9962</v>
      </c>
      <c r="D36" s="39">
        <f>B36/C36</f>
        <v>0.327655636427303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2.62</v>
      </c>
      <c r="C40" s="6">
        <f>SUMPRODUCT(C36:C39,D36:D39)/SUM(D36:D39)</f>
        <v>7.9962</v>
      </c>
      <c r="D40" s="6">
        <f>SUM(D36:D39)</f>
        <v>0.327655636427303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46058</v>
      </c>
      <c r="B46" s="4">
        <v>1.1100000000000001</v>
      </c>
      <c r="C46" s="6">
        <v>7.5289999999999999</v>
      </c>
      <c r="D46" s="39">
        <f>B46/C46</f>
        <v>0.14742993757471112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1.1100000000000001</v>
      </c>
      <c r="C50" s="6">
        <f>SUMPRODUCT(C46:C49,D46:D49)/SUM(D46:D49)</f>
        <v>7.5290000000000008</v>
      </c>
      <c r="D50" s="6">
        <f>SUM(D46:D49)</f>
        <v>0.14742993757471112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46058</v>
      </c>
      <c r="B56" s="4">
        <v>6.29</v>
      </c>
      <c r="C56" s="6">
        <v>10.584</v>
      </c>
      <c r="D56" s="39">
        <f>B56/C56</f>
        <v>0.59429327286470146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6.29</v>
      </c>
      <c r="C60" s="6">
        <f>SUMPRODUCT(C56:C59,D56:D59)/SUM(D56:D59)</f>
        <v>10.584</v>
      </c>
      <c r="D60" s="6">
        <f>SUM(D56:D59)</f>
        <v>0.59429327286470146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F37CC403-0D07-414E-B6F9-2F744F99B9EC}"/>
    <hyperlink ref="A23:L23" location="SLMC!A1" display="SLMC GY iShares MSCI Europe ESG Screened" xr:uid="{C04AFBB4-E18D-417E-9072-886ABCB4EC7B}"/>
    <hyperlink ref="A33:L33" location="AYEM!A1" display="AYEM GY iShares MSCI EM IMI ESG Screened" xr:uid="{3885A6B9-85D9-4C78-B452-C998D50BC4DF}"/>
    <hyperlink ref="A43:L43" location="SGAJ!A1" display="SGAJ GY iShares MSCI Japan ESG Screened" xr:uid="{DC0D7A0B-1FAA-40A4-AFE9-A2ACA13E01C5}"/>
    <hyperlink ref="A53:L53" location="EDMU!A1" display="EDMU GY iShares MSCI USA ESG Enhanced" xr:uid="{601ACED3-52C1-41EE-AF3A-260DDD3BB0F7}"/>
  </hyperlinks>
  <pageMargins left="0.7" right="0.7" top="0.75" bottom="0.75" header="0.3" footer="0.3"/>
  <pageSetup orientation="portrait" r:id="rId1"/>
  <ignoredErrors>
    <ignoredError sqref="C60 C50 C40 C30 C20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T60"/>
  <sheetViews>
    <sheetView workbookViewId="0">
      <pane ySplit="10" topLeftCell="A11" activePane="bottomLeft" state="frozen"/>
      <selection pane="bottomLeft" activeCell="A11" sqref="A11:XFD11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21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46030</v>
      </c>
      <c r="O5" s="4">
        <v>20</v>
      </c>
      <c r="P5" s="4">
        <f>B16+B26+B36+B46+B56</f>
        <v>20</v>
      </c>
      <c r="Q5" s="4">
        <f>G20+G30+G40+G50+G60</f>
        <v>0</v>
      </c>
      <c r="R5" s="4">
        <f>O5-P5+Q5</f>
        <v>0</v>
      </c>
      <c r="S5" s="4">
        <f>L20+L30+L40+L50+L60</f>
        <v>0</v>
      </c>
      <c r="T5" s="4">
        <v>0.23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20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0.23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46030</v>
      </c>
      <c r="B16" s="4">
        <v>6.63</v>
      </c>
      <c r="C16" s="6">
        <v>12.25</v>
      </c>
      <c r="D16" s="39">
        <f>B16/C16</f>
        <v>0.54122448979591831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6.63</v>
      </c>
      <c r="C20" s="6">
        <f>SUMPRODUCT(C16:C19,D16:D19)/SUM(D16:D19)</f>
        <v>12.25</v>
      </c>
      <c r="D20" s="6">
        <f>SUM(D16:D19)</f>
        <v>0.54122448979591831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46030</v>
      </c>
      <c r="B26" s="4">
        <v>3.35</v>
      </c>
      <c r="C26" s="6">
        <v>10.1099</v>
      </c>
      <c r="D26" s="39">
        <f>B26/C26</f>
        <v>0.33135837149724529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3.35</v>
      </c>
      <c r="C30" s="6">
        <f>SUMPRODUCT(C26:C29,D26:D29)/SUM(D26:D29)</f>
        <v>10.1099</v>
      </c>
      <c r="D30" s="6">
        <f>SUM(D26:D29)</f>
        <v>0.33135837149724529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46030</v>
      </c>
      <c r="B36" s="4">
        <v>2.56</v>
      </c>
      <c r="C36" s="6">
        <v>7.6779999999999999</v>
      </c>
      <c r="D36" s="39">
        <f>B36/C36</f>
        <v>0.33342016150039072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2.56</v>
      </c>
      <c r="C40" s="6">
        <f>SUMPRODUCT(C36:C39,D36:D39)/SUM(D36:D39)</f>
        <v>7.6779999999999999</v>
      </c>
      <c r="D40" s="6">
        <f>SUM(D36:D39)</f>
        <v>0.33342016150039072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46030</v>
      </c>
      <c r="B46" s="4">
        <v>1.1000000000000001</v>
      </c>
      <c r="C46" s="6">
        <v>7.3029999999999999</v>
      </c>
      <c r="D46" s="39">
        <f>B46/C46</f>
        <v>0.15062303163083665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1.1000000000000001</v>
      </c>
      <c r="C50" s="6">
        <f>SUMPRODUCT(C46:C49,D46:D49)/SUM(D46:D49)</f>
        <v>7.3029999999999999</v>
      </c>
      <c r="D50" s="6">
        <f>SUM(D46:D49)</f>
        <v>0.15062303163083665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46030</v>
      </c>
      <c r="B56" s="4">
        <v>6.36</v>
      </c>
      <c r="C56" s="6">
        <v>10.603999999999999</v>
      </c>
      <c r="D56" s="39">
        <f>B56/C56</f>
        <v>0.59977367031308948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6.36</v>
      </c>
      <c r="C60" s="6">
        <f>SUMPRODUCT(C56:C59,D56:D59)/SUM(D56:D59)</f>
        <v>10.603999999999999</v>
      </c>
      <c r="D60" s="6">
        <f>SUM(D56:D59)</f>
        <v>0.59977367031308948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D5BE3D74-7468-4828-AA34-D67E5A1C6427}"/>
    <hyperlink ref="A23:L23" location="SLMC!A1" display="SLMC GY iShares MSCI Europe ESG Screened" xr:uid="{B2AE535B-631A-42B8-8347-38405DF04AAB}"/>
    <hyperlink ref="A33:L33" location="AYEM!A1" display="AYEM GY iShares MSCI EM IMI ESG Screened" xr:uid="{7141E8D9-5FD6-425B-8C79-4FFD101F41F2}"/>
    <hyperlink ref="A43:L43" location="SGAJ!A1" display="SGAJ GY iShares MSCI Japan ESG Screened" xr:uid="{0061A41A-62DC-40E4-A564-7FD0A85CEFE8}"/>
    <hyperlink ref="A53:L53" location="EDMU!A1" display="EDMU GY iShares MSCI USA ESG Enhanced" xr:uid="{24FA0DC2-8D67-4B22-8E78-F6AC86F5D181}"/>
  </hyperlinks>
  <pageMargins left="0.7" right="0.7" top="0.75" bottom="0.75" header="0.3" footer="0.3"/>
  <pageSetup orientation="portrait" r:id="rId1"/>
  <ignoredErrors>
    <ignoredError sqref="C20 C30 C40 C50 C60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T60"/>
  <sheetViews>
    <sheetView workbookViewId="0">
      <pane ySplit="10" topLeftCell="A11" activePane="bottomLeft" state="frozen"/>
      <selection pane="bottomLeft" activeCell="A11" sqref="A11:XFD11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22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45995</v>
      </c>
      <c r="O5" s="4">
        <v>20</v>
      </c>
      <c r="P5" s="4">
        <f>B16+B26+B36+B46+B56</f>
        <v>20.02</v>
      </c>
      <c r="Q5" s="4">
        <f>G20+G30+G40+G50+G60</f>
        <v>0</v>
      </c>
      <c r="R5" s="4">
        <f>O5-P5+Q5</f>
        <v>-1.9999999999999574E-2</v>
      </c>
      <c r="S5" s="4">
        <f>L20+L30+L40+L50+L60</f>
        <v>0</v>
      </c>
      <c r="T5" s="4">
        <v>0.22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20.02</v>
      </c>
      <c r="Q9" s="4">
        <f t="shared" si="0"/>
        <v>0</v>
      </c>
      <c r="R9" s="4">
        <f t="shared" si="0"/>
        <v>-1.9999999999999574E-2</v>
      </c>
      <c r="S9" s="4">
        <f t="shared" si="0"/>
        <v>0</v>
      </c>
      <c r="T9" s="4">
        <f t="shared" si="0"/>
        <v>0.22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45995</v>
      </c>
      <c r="B16" s="4">
        <v>6.71</v>
      </c>
      <c r="C16" s="6">
        <v>12.22</v>
      </c>
      <c r="D16" s="39">
        <f>B16/C16</f>
        <v>0.54909983633387882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6.71</v>
      </c>
      <c r="C20" s="6">
        <f>SUMPRODUCT(C16:C19,D16:D19)/SUM(D16:D19)</f>
        <v>12.22</v>
      </c>
      <c r="D20" s="6">
        <f>SUM(D16:D19)</f>
        <v>0.54909983633387882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45995</v>
      </c>
      <c r="B26" s="4">
        <v>3.28</v>
      </c>
      <c r="C26" s="6">
        <v>9.6696000000000009</v>
      </c>
      <c r="D26" s="39">
        <f>B26/C26</f>
        <v>0.33920741292297507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3.28</v>
      </c>
      <c r="C30" s="6">
        <f>SUMPRODUCT(C26:C29,D26:D29)/SUM(D26:D29)</f>
        <v>9.6696000000000009</v>
      </c>
      <c r="D30" s="6">
        <f>SUM(D26:D29)</f>
        <v>0.33920741292297507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45995</v>
      </c>
      <c r="B36" s="4">
        <v>2.4900000000000002</v>
      </c>
      <c r="C36" s="6">
        <v>7.2927999999999997</v>
      </c>
      <c r="D36" s="39">
        <f>B36/C36</f>
        <v>0.34143264589732342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2.4900000000000002</v>
      </c>
      <c r="C40" s="6">
        <f>SUMPRODUCT(C36:C39,D36:D39)/SUM(D36:D39)</f>
        <v>7.2927999999999997</v>
      </c>
      <c r="D40" s="6">
        <f>SUM(D36:D39)</f>
        <v>0.34143264589732342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45995</v>
      </c>
      <c r="B46" s="4">
        <v>1.0900000000000001</v>
      </c>
      <c r="C46" s="6">
        <v>7.0289999999999999</v>
      </c>
      <c r="D46" s="39">
        <f>B46/C46</f>
        <v>0.1550718452126903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1.0900000000000001</v>
      </c>
      <c r="C50" s="6">
        <f>SUMPRODUCT(C46:C49,D46:D49)/SUM(D46:D49)</f>
        <v>7.0289999999999999</v>
      </c>
      <c r="D50" s="6">
        <f>SUM(D46:D49)</f>
        <v>0.1550718452126903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45995</v>
      </c>
      <c r="B56" s="4">
        <v>6.45</v>
      </c>
      <c r="C56" s="6">
        <v>10.58</v>
      </c>
      <c r="D56" s="39">
        <f>B56/C56</f>
        <v>0.60964083175803407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6.45</v>
      </c>
      <c r="C60" s="6">
        <f>SUMPRODUCT(C56:C59,D56:D59)/SUM(D56:D59)</f>
        <v>10.58</v>
      </c>
      <c r="D60" s="6">
        <f>SUM(D56:D59)</f>
        <v>0.60964083175803407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E419C80E-A003-4399-94AD-32126FEE6655}"/>
    <hyperlink ref="A23:L23" location="SLMC!A1" display="SLMC GY iShares MSCI Europe ESG Screened" xr:uid="{BA938772-FC7D-4445-B0C4-94649B2C9B3E}"/>
    <hyperlink ref="A33:L33" location="AYEM!A1" display="AYEM GY iShares MSCI EM IMI ESG Screened" xr:uid="{2868643A-06CE-4EB0-8217-D72C9C3BD21E}"/>
    <hyperlink ref="A43:L43" location="SGAJ!A1" display="SGAJ GY iShares MSCI Japan ESG Screened" xr:uid="{4384A5FA-418D-4908-A55B-4FE4D195C4CE}"/>
    <hyperlink ref="A53:L53" location="EDMU!A1" display="EDMU GY iShares MSCI USA ESG Enhanced" xr:uid="{5A919818-5602-49A8-9157-8EB673314A93}"/>
  </hyperlinks>
  <pageMargins left="0.7" right="0.7" top="0.75" bottom="0.75" header="0.3" footer="0.3"/>
  <pageSetup orientation="portrait" r:id="rId1"/>
  <ignoredErrors>
    <ignoredError sqref="C60 C50 C40 C30 C20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T60"/>
  <sheetViews>
    <sheetView workbookViewId="0">
      <pane ySplit="10" topLeftCell="A46" activePane="bottomLeft" state="frozen"/>
      <selection pane="bottomLeft" activeCell="A11" sqref="A11:XFD11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23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45967</v>
      </c>
      <c r="O5" s="4">
        <v>20</v>
      </c>
      <c r="P5" s="4">
        <f>B16+B26+B36+B46+B56</f>
        <v>19.97</v>
      </c>
      <c r="Q5" s="4">
        <f>G20+G30+G40+G50+G60</f>
        <v>0</v>
      </c>
      <c r="R5" s="4">
        <f>O5-P5+Q5</f>
        <v>3.0000000000001137E-2</v>
      </c>
      <c r="S5" s="4">
        <f>L20+L30+L40+L50+L60</f>
        <v>0</v>
      </c>
      <c r="T5" s="4">
        <v>0.18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19.97</v>
      </c>
      <c r="Q9" s="4">
        <f t="shared" si="0"/>
        <v>0</v>
      </c>
      <c r="R9" s="4">
        <f t="shared" si="0"/>
        <v>3.0000000000001137E-2</v>
      </c>
      <c r="S9" s="4">
        <f t="shared" si="0"/>
        <v>0</v>
      </c>
      <c r="T9" s="4">
        <f t="shared" si="0"/>
        <v>0.18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45967</v>
      </c>
      <c r="B16" s="4">
        <v>6.71</v>
      </c>
      <c r="C16" s="6">
        <v>12.247999999999999</v>
      </c>
      <c r="D16" s="39">
        <f>B16/C16</f>
        <v>0.54784454604833444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6.71</v>
      </c>
      <c r="C20" s="6">
        <f>SUMPRODUCT(C16:C19,D16:D19)/SUM(D16:D19)</f>
        <v>12.247999999999999</v>
      </c>
      <c r="D20" s="6">
        <f>SUM(D16:D19)</f>
        <v>0.54784454604833444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45967</v>
      </c>
      <c r="B26" s="4">
        <v>3.2</v>
      </c>
      <c r="C26" s="6">
        <v>9.4326000000000008</v>
      </c>
      <c r="D26" s="39">
        <f>B26/C26</f>
        <v>0.33924898755380278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3.2</v>
      </c>
      <c r="C30" s="6">
        <f>SUMPRODUCT(C26:C29,D26:D29)/SUM(D26:D29)</f>
        <v>9.4326000000000008</v>
      </c>
      <c r="D30" s="6">
        <f>SUM(D26:D29)</f>
        <v>0.33924898755380278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45967</v>
      </c>
      <c r="B36" s="4">
        <v>2.5099999999999998</v>
      </c>
      <c r="C36" s="6">
        <v>7.3730000000000002</v>
      </c>
      <c r="D36" s="39">
        <f>B36/C36</f>
        <v>0.34043130340431299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2.5099999999999998</v>
      </c>
      <c r="C40" s="6">
        <f>SUMPRODUCT(C36:C39,D36:D39)/SUM(D36:D39)</f>
        <v>7.3730000000000002</v>
      </c>
      <c r="D40" s="6">
        <f>SUM(D36:D39)</f>
        <v>0.34043130340431299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45967</v>
      </c>
      <c r="B46" s="4">
        <v>1.1000000000000001</v>
      </c>
      <c r="C46" s="6">
        <v>7.1304999999999996</v>
      </c>
      <c r="D46" s="39">
        <f>B46/C46</f>
        <v>0.15426688170535027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1.1000000000000001</v>
      </c>
      <c r="C50" s="6">
        <f>SUMPRODUCT(C46:C49,D46:D49)/SUM(D46:D49)</f>
        <v>7.1304999999999996</v>
      </c>
      <c r="D50" s="6">
        <f>SUM(D46:D49)</f>
        <v>0.15426688170535027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45967</v>
      </c>
      <c r="B56" s="4">
        <v>6.45</v>
      </c>
      <c r="C56" s="6">
        <v>10.6167</v>
      </c>
      <c r="D56" s="39">
        <f>B56/C56</f>
        <v>0.60753341433778862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6.45</v>
      </c>
      <c r="C60" s="6">
        <f>SUMPRODUCT(C56:C59,D56:D59)/SUM(D56:D59)</f>
        <v>10.6167</v>
      </c>
      <c r="D60" s="6">
        <f>SUM(D56:D59)</f>
        <v>0.60753341433778862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B66C11E3-7E45-4864-9C9F-3AA2F0451ED6}"/>
    <hyperlink ref="A23:L23" location="SLMC!A1" display="SLMC GY iShares MSCI Europe ESG Screened" xr:uid="{4EDDD7D1-2850-4EA7-A46B-85028C9B815C}"/>
    <hyperlink ref="A33:L33" location="AYEM!A1" display="AYEM GY iShares MSCI EM IMI ESG Screened" xr:uid="{3791E5ED-B7CF-4588-BBC4-1D43AF6722D4}"/>
    <hyperlink ref="A43:L43" location="SGAJ!A1" display="SGAJ GY iShares MSCI Japan ESG Screened" xr:uid="{64912C5F-0F7C-40AA-94AF-870884516499}"/>
    <hyperlink ref="A53:L53" location="EDMU!A1" display="EDMU GY iShares MSCI USA ESG Enhanced" xr:uid="{974E32B7-BECB-4242-810F-2C4DD62905F5}"/>
  </hyperlinks>
  <pageMargins left="0.7" right="0.7" top="0.75" bottom="0.75" header="0.3" footer="0.3"/>
  <pageSetup orientation="portrait" r:id="rId1"/>
  <ignoredErrors>
    <ignoredError sqref="C20 C30 C40 C50 C60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T60"/>
  <sheetViews>
    <sheetView workbookViewId="0">
      <pane ySplit="10" topLeftCell="A11" activePane="bottomLeft" state="frozen"/>
      <selection pane="bottomLeft" activeCell="A11" sqref="A11:XFD11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24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45939</v>
      </c>
      <c r="O5" s="4">
        <v>20</v>
      </c>
      <c r="P5" s="4">
        <f>B16+B26+B36+B46+B56</f>
        <v>20.03</v>
      </c>
      <c r="Q5" s="4">
        <f>G20+G30+G40+G50+G60</f>
        <v>0</v>
      </c>
      <c r="R5" s="4">
        <f>O5-P5+Q5</f>
        <v>-3.0000000000001137E-2</v>
      </c>
      <c r="S5" s="4">
        <f>L20+L30+L40+L50+L60</f>
        <v>0</v>
      </c>
      <c r="T5" s="4">
        <v>0.18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20</v>
      </c>
      <c r="P9" s="4">
        <f t="shared" ref="P9:T9" si="0">SUM(P5:P8)</f>
        <v>20.03</v>
      </c>
      <c r="Q9" s="4">
        <f t="shared" si="0"/>
        <v>0</v>
      </c>
      <c r="R9" s="4">
        <f t="shared" si="0"/>
        <v>-3.0000000000001137E-2</v>
      </c>
      <c r="S9" s="4">
        <f t="shared" si="0"/>
        <v>0</v>
      </c>
      <c r="T9" s="4">
        <f t="shared" si="0"/>
        <v>0.18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45939</v>
      </c>
      <c r="B16" s="4">
        <v>6.68</v>
      </c>
      <c r="C16" s="6">
        <v>11.9628</v>
      </c>
      <c r="D16" s="39">
        <f>B16/C16</f>
        <v>0.55839769953522589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6.68</v>
      </c>
      <c r="C20" s="6">
        <f>SUMPRODUCT(C16:C19,D16:D19)/SUM(D16:D19)</f>
        <v>11.9628</v>
      </c>
      <c r="D20" s="6">
        <f>SUM(D16:D19)</f>
        <v>0.55839769953522589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45939</v>
      </c>
      <c r="B26" s="4">
        <v>3.3</v>
      </c>
      <c r="C26" s="6">
        <v>9.5528999999999993</v>
      </c>
      <c r="D26" s="39">
        <f>B26/C26</f>
        <v>0.34544483874006848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3.3</v>
      </c>
      <c r="C30" s="6">
        <f>SUMPRODUCT(C26:C29,D26:D29)/SUM(D26:D29)</f>
        <v>9.5528999999999993</v>
      </c>
      <c r="D30" s="6">
        <f>SUM(D26:D29)</f>
        <v>0.34544483874006848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45939</v>
      </c>
      <c r="B36" s="4">
        <v>2.5</v>
      </c>
      <c r="C36" s="6">
        <v>7.234</v>
      </c>
      <c r="D36" s="39">
        <f>B36/C36</f>
        <v>0.34559026817804811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2.5</v>
      </c>
      <c r="C40" s="6">
        <f>SUMPRODUCT(C36:C39,D36:D39)/SUM(D36:D39)</f>
        <v>7.234</v>
      </c>
      <c r="D40" s="6">
        <f>SUM(D36:D39)</f>
        <v>0.34559026817804811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45939</v>
      </c>
      <c r="B46" s="4">
        <v>1.1200000000000001</v>
      </c>
      <c r="C46" s="6">
        <v>6.9690000000000003</v>
      </c>
      <c r="D46" s="39">
        <f>B46/C46</f>
        <v>0.16071172334624767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1.1200000000000001</v>
      </c>
      <c r="C50" s="6">
        <f>SUMPRODUCT(C46:C49,D46:D49)/SUM(D46:D49)</f>
        <v>6.9690000000000003</v>
      </c>
      <c r="D50" s="6">
        <f>SUM(D46:D49)</f>
        <v>0.16071172334624767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45939</v>
      </c>
      <c r="B56" s="4">
        <v>6.43</v>
      </c>
      <c r="C56" s="6">
        <v>10.4054</v>
      </c>
      <c r="D56" s="39">
        <f>B56/C56</f>
        <v>0.61794837296019367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6.43</v>
      </c>
      <c r="C60" s="6">
        <f>SUMPRODUCT(C56:C59,D56:D59)/SUM(D56:D59)</f>
        <v>10.4054</v>
      </c>
      <c r="D60" s="6">
        <f>SUM(D56:D59)</f>
        <v>0.61794837296019367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A7988278-ACA8-4F38-A3EE-B42DFCF87641}"/>
    <hyperlink ref="A23:L23" location="SLMC!A1" display="SLMC GY iShares MSCI Europe ESG Screened" xr:uid="{5FD5E097-F1DC-4C26-B318-25904F776763}"/>
    <hyperlink ref="A33:L33" location="AYEM!A1" display="AYEM GY iShares MSCI EM IMI ESG Screened" xr:uid="{15874AFD-91C2-488C-AB12-95721AEC4D47}"/>
    <hyperlink ref="A43:L43" location="SGAJ!A1" display="SGAJ GY iShares MSCI Japan ESG Screened" xr:uid="{A675CD22-1AB4-4E3C-885C-226209C83D45}"/>
    <hyperlink ref="A53:L53" location="EDMU!A1" display="EDMU GY iShares MSCI USA ESG Enhanced" xr:uid="{5FBFE8A9-0F6C-4314-AD0C-F8B7BE1A29D5}"/>
  </hyperlinks>
  <pageMargins left="0.7" right="0.7" top="0.75" bottom="0.75" header="0.3" footer="0.3"/>
  <pageSetup orientation="portrait" r:id="rId1"/>
  <ignoredErrors>
    <ignoredError sqref="C60 C50 C40 C30 C20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T60"/>
  <sheetViews>
    <sheetView workbookViewId="0">
      <pane ySplit="10" topLeftCell="A11" activePane="bottomLeft" state="frozen"/>
      <selection pane="bottomLeft" activeCell="A11" sqref="A11:XFD11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25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45905</v>
      </c>
      <c r="O5" s="4">
        <v>15</v>
      </c>
      <c r="P5" s="4">
        <f>B16+B26+B36+B46+B56</f>
        <v>14.990000000000002</v>
      </c>
      <c r="Q5" s="4">
        <f>G20+G30+G40+G50+G60</f>
        <v>0</v>
      </c>
      <c r="R5" s="4">
        <f>O5-P5+Q5</f>
        <v>9.9999999999980105E-3</v>
      </c>
      <c r="S5" s="4">
        <f>L20+L30+L40+L50+L60</f>
        <v>0</v>
      </c>
      <c r="T5" s="4">
        <v>0.16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15</v>
      </c>
      <c r="P9" s="4">
        <f t="shared" ref="P9:T9" si="0">SUM(P5:P8)</f>
        <v>14.990000000000002</v>
      </c>
      <c r="Q9" s="4">
        <f t="shared" si="0"/>
        <v>0</v>
      </c>
      <c r="R9" s="4">
        <f t="shared" si="0"/>
        <v>9.9999999999980105E-3</v>
      </c>
      <c r="S9" s="4">
        <f t="shared" si="0"/>
        <v>0</v>
      </c>
      <c r="T9" s="4">
        <f t="shared" si="0"/>
        <v>0.16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45905</v>
      </c>
      <c r="B16" s="4">
        <v>5.01</v>
      </c>
      <c r="C16" s="6">
        <v>11.3842</v>
      </c>
      <c r="D16" s="39">
        <f>B16/C16</f>
        <v>0.44008362467279211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5.01</v>
      </c>
      <c r="C20" s="6">
        <f>SUMPRODUCT(C16:C19,D16:D19)/SUM(D16:D19)</f>
        <v>11.3842</v>
      </c>
      <c r="D20" s="6">
        <f>SUM(D16:D19)</f>
        <v>0.44008362467279211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45905</v>
      </c>
      <c r="B26" s="4">
        <v>2.48</v>
      </c>
      <c r="C26" s="6">
        <v>9.1590000000000007</v>
      </c>
      <c r="D26" s="39">
        <f>B26/C26</f>
        <v>0.27077191833169556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2.48</v>
      </c>
      <c r="C30" s="6">
        <f>SUMPRODUCT(C26:C29,D26:D29)/SUM(D26:D29)</f>
        <v>9.1590000000000007</v>
      </c>
      <c r="D30" s="6">
        <f>SUM(D26:D29)</f>
        <v>0.27077191833169556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45905</v>
      </c>
      <c r="B36" s="4">
        <v>1.82</v>
      </c>
      <c r="C36" s="6">
        <v>6.681</v>
      </c>
      <c r="D36" s="39">
        <f>B36/C36</f>
        <v>0.27241430923514443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1.82</v>
      </c>
      <c r="C40" s="6">
        <f>SUMPRODUCT(C36:C39,D36:D39)/SUM(D36:D39)</f>
        <v>6.681</v>
      </c>
      <c r="D40" s="6">
        <f>SUM(D36:D39)</f>
        <v>0.27241430923514443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45905</v>
      </c>
      <c r="B46" s="4">
        <v>0.82</v>
      </c>
      <c r="C46" s="6">
        <v>6.62</v>
      </c>
      <c r="D46" s="39">
        <f>B46/C46</f>
        <v>0.12386706948640483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0.82</v>
      </c>
      <c r="C50" s="6">
        <f>SUMPRODUCT(C46:C49,D46:D49)/SUM(D46:D49)</f>
        <v>6.62</v>
      </c>
      <c r="D50" s="6">
        <f>SUM(D46:D49)</f>
        <v>0.12386706948640483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45905</v>
      </c>
      <c r="B56" s="4">
        <v>4.8600000000000003</v>
      </c>
      <c r="C56" s="6">
        <v>9.9494000000000007</v>
      </c>
      <c r="D56" s="39">
        <f>B56/C56</f>
        <v>0.48847166663316383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4.8600000000000003</v>
      </c>
      <c r="C60" s="6">
        <f>SUMPRODUCT(C56:C59,D56:D59)/SUM(D56:D59)</f>
        <v>9.9494000000000007</v>
      </c>
      <c r="D60" s="6">
        <f>SUM(D56:D59)</f>
        <v>0.48847166663316383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E0D01536-F429-49A6-98DC-3EB170B0DBE3}"/>
    <hyperlink ref="A23:L23" location="SLMC!A1" display="SLMC GY iShares MSCI Europe ESG Screened" xr:uid="{6635BB70-07B3-4EB2-907C-5EDE940B19A2}"/>
    <hyperlink ref="A33:L33" location="AYEM!A1" display="AYEM GY iShares MSCI EM IMI ESG Screened" xr:uid="{253B3FA4-ECD6-4F5C-A1D1-C0458FB33C46}"/>
    <hyperlink ref="A43:L43" location="SGAJ!A1" display="SGAJ GY iShares MSCI Japan ESG Screened" xr:uid="{C1A3DE6B-72FB-4155-854C-069BF8909369}"/>
    <hyperlink ref="A53:L53" location="EDMU!A1" display="EDMU GY iShares MSCI USA ESG Enhanced" xr:uid="{5B865147-927F-4EE6-A50F-A37A451366AC}"/>
  </hyperlinks>
  <pageMargins left="0.7" right="0.7" top="0.75" bottom="0.75" header="0.3" footer="0.3"/>
  <pageSetup orientation="portrait" r:id="rId1"/>
  <ignoredErrors>
    <ignoredError sqref="C60 C50 C40 C30 C20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T60"/>
  <sheetViews>
    <sheetView workbookViewId="0">
      <pane ySplit="10" topLeftCell="A11" activePane="bottomLeft" state="frozen"/>
      <selection pane="bottomLeft" activeCell="A11" sqref="A11:XFD11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26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45876</v>
      </c>
      <c r="O5" s="4">
        <v>15</v>
      </c>
      <c r="P5" s="4">
        <f>B16+B26+B36+B46+B56</f>
        <v>15.010000000000002</v>
      </c>
      <c r="Q5" s="4">
        <f>G20+G30+G40+G50+G60</f>
        <v>0</v>
      </c>
      <c r="R5" s="4">
        <f>O5-P5+Q5</f>
        <v>-1.0000000000001563E-2</v>
      </c>
      <c r="S5" s="4">
        <f>L20+L30+L40+L50+L60</f>
        <v>0</v>
      </c>
      <c r="T5" s="4">
        <v>0.15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15</v>
      </c>
      <c r="P9" s="4">
        <f t="shared" ref="P9:T9" si="0">SUM(P5:P8)</f>
        <v>15.010000000000002</v>
      </c>
      <c r="Q9" s="4">
        <f t="shared" si="0"/>
        <v>0</v>
      </c>
      <c r="R9" s="4">
        <f t="shared" si="0"/>
        <v>-1.0000000000001563E-2</v>
      </c>
      <c r="S9" s="4">
        <f t="shared" si="0"/>
        <v>0</v>
      </c>
      <c r="T9" s="4">
        <f t="shared" si="0"/>
        <v>0.15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45876</v>
      </c>
      <c r="B16" s="4">
        <v>5.01</v>
      </c>
      <c r="C16" s="6">
        <v>11.334300000000001</v>
      </c>
      <c r="D16" s="39">
        <f>B16/C16</f>
        <v>0.44202112172785257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5.01</v>
      </c>
      <c r="C20" s="6">
        <f>SUMPRODUCT(C16:C19,D16:D19)/SUM(D16:D19)</f>
        <v>11.334300000000001</v>
      </c>
      <c r="D20" s="6">
        <f>SUM(D16:D19)</f>
        <v>0.44202112172785257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45876</v>
      </c>
      <c r="B26" s="4">
        <v>2.48</v>
      </c>
      <c r="C26" s="6">
        <v>9.0272000000000006</v>
      </c>
      <c r="D26" s="39">
        <f>B26/C26</f>
        <v>0.27472527472527469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2.48</v>
      </c>
      <c r="C30" s="6">
        <f>SUMPRODUCT(C26:C29,D26:D29)/SUM(D26:D29)</f>
        <v>9.0272000000000006</v>
      </c>
      <c r="D30" s="6">
        <f>SUM(D26:D29)</f>
        <v>0.27472527472527469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45876</v>
      </c>
      <c r="B36" s="4">
        <v>1.83</v>
      </c>
      <c r="C36" s="6">
        <v>6.6459999999999999</v>
      </c>
      <c r="D36" s="39">
        <f>B36/C36</f>
        <v>0.27535359614805899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1.83</v>
      </c>
      <c r="C40" s="6">
        <f>SUMPRODUCT(C36:C39,D36:D39)/SUM(D36:D39)</f>
        <v>6.6459999999999999</v>
      </c>
      <c r="D40" s="6">
        <f>SUM(D36:D39)</f>
        <v>0.27535359614805899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45876</v>
      </c>
      <c r="B46" s="4">
        <v>0.81</v>
      </c>
      <c r="C46" s="6">
        <v>6.4420000000000002</v>
      </c>
      <c r="D46" s="39">
        <f>B46/C46</f>
        <v>0.12573734864948774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0.81</v>
      </c>
      <c r="C50" s="6">
        <f>SUMPRODUCT(C46:C49,D46:D49)/SUM(D46:D49)</f>
        <v>6.4420000000000002</v>
      </c>
      <c r="D50" s="6">
        <f>SUM(D46:D49)</f>
        <v>0.12573734864948774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45876</v>
      </c>
      <c r="B56" s="4">
        <v>4.88</v>
      </c>
      <c r="C56" s="6">
        <v>9.9263999999999992</v>
      </c>
      <c r="D56" s="39">
        <f>B56/C56</f>
        <v>0.49161831076724699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4.88</v>
      </c>
      <c r="C60" s="6">
        <f>SUMPRODUCT(C56:C59,D56:D59)/SUM(D56:D59)</f>
        <v>9.9263999999999992</v>
      </c>
      <c r="D60" s="6">
        <f>SUM(D56:D59)</f>
        <v>0.49161831076724699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E2C0FF65-EA22-4576-BDFB-723207C1C443}"/>
    <hyperlink ref="A23:L23" location="SLMC!A1" display="SLMC GY iShares MSCI Europe ESG Screened" xr:uid="{8B1C1C3E-A02A-481B-AFFF-66B3667CB706}"/>
    <hyperlink ref="A33:L33" location="AYEM!A1" display="AYEM GY iShares MSCI EM IMI ESG Screened" xr:uid="{7112AA4C-EF14-4DD5-A2AB-9BEE4144BC54}"/>
    <hyperlink ref="A43:L43" location="SGAJ!A1" display="SGAJ GY iShares MSCI Japan ESG Screened" xr:uid="{344F92A6-02E4-43EA-B7D0-9326A28D359B}"/>
    <hyperlink ref="A53:L53" location="EDMU!A1" display="EDMU GY iShares MSCI USA ESG Enhanced" xr:uid="{DC759D72-26D6-41D6-B08A-63C863EF0E16}"/>
  </hyperlinks>
  <pageMargins left="0.7" right="0.7" top="0.75" bottom="0.75" header="0.3" footer="0.3"/>
  <pageSetup orientation="portrait" r:id="rId1"/>
  <ignoredErrors>
    <ignoredError sqref="C60 C50 C40 C30 C20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T60"/>
  <sheetViews>
    <sheetView workbookViewId="0">
      <pane ySplit="10" topLeftCell="A11" activePane="bottomLeft" state="frozen"/>
      <selection pane="bottomLeft" activeCell="A11" sqref="A11:XFD11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27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>
        <v>45841</v>
      </c>
      <c r="O5" s="4">
        <v>15</v>
      </c>
      <c r="P5" s="4">
        <f>B16+B26+B36+B46+B56</f>
        <v>14.97</v>
      </c>
      <c r="Q5" s="4">
        <f>G20+G30+G40+G50+G60</f>
        <v>0</v>
      </c>
      <c r="R5" s="4">
        <f>O5-P5+Q5</f>
        <v>2.9999999999999361E-2</v>
      </c>
      <c r="S5" s="4">
        <f>L20+L30+L40+L50+L60</f>
        <v>0</v>
      </c>
      <c r="T5" s="4">
        <v>0.13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15</v>
      </c>
      <c r="P9" s="4">
        <f t="shared" ref="P9:T9" si="0">SUM(P5:P8)</f>
        <v>14.97</v>
      </c>
      <c r="Q9" s="4">
        <f t="shared" si="0"/>
        <v>0</v>
      </c>
      <c r="R9" s="4">
        <f t="shared" si="0"/>
        <v>2.9999999999999361E-2</v>
      </c>
      <c r="S9" s="4">
        <f t="shared" si="0"/>
        <v>0</v>
      </c>
      <c r="T9" s="4">
        <f t="shared" si="0"/>
        <v>0.13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45841</v>
      </c>
      <c r="B16" s="4">
        <v>4.97</v>
      </c>
      <c r="C16" s="6">
        <v>10.83</v>
      </c>
      <c r="D16" s="39">
        <f>B16/C16</f>
        <v>0.45891043397968601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4.97</v>
      </c>
      <c r="C20" s="6">
        <f>SUMPRODUCT(C16:C19,D16:D19)/SUM(D16:D19)</f>
        <v>10.83</v>
      </c>
      <c r="D20" s="6">
        <f>SUM(D16:D19)</f>
        <v>0.45891043397968601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45841</v>
      </c>
      <c r="B26" s="4">
        <v>2.54</v>
      </c>
      <c r="C26" s="6">
        <v>9.0434999999999999</v>
      </c>
      <c r="D26" s="39">
        <f>B26/C26</f>
        <v>0.28086470945983305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2.54</v>
      </c>
      <c r="C30" s="6">
        <f>SUMPRODUCT(C26:C29,D26:D29)/SUM(D26:D29)</f>
        <v>9.0434999999999999</v>
      </c>
      <c r="D30" s="6">
        <f>SUM(D26:D29)</f>
        <v>0.28086470945983305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45841</v>
      </c>
      <c r="B36" s="4">
        <v>1.82</v>
      </c>
      <c r="C36" s="5">
        <v>6.4427000000000003</v>
      </c>
      <c r="D36" s="39">
        <f>B36/C36</f>
        <v>0.28249026029459701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1.82</v>
      </c>
      <c r="C40" s="6">
        <f>SUMPRODUCT(C36:C39,D36:D39)/SUM(D36:D39)</f>
        <v>6.4427000000000003</v>
      </c>
      <c r="D40" s="6">
        <f>SUM(D36:D39)</f>
        <v>0.28249026029459701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45841</v>
      </c>
      <c r="B46" s="4">
        <v>0.82</v>
      </c>
      <c r="C46" s="6">
        <v>6.2889999999999997</v>
      </c>
      <c r="D46" s="39">
        <f>B46/C46</f>
        <v>0.13038638893305771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0.82</v>
      </c>
      <c r="C50" s="6">
        <f>SUMPRODUCT(C46:C49,D46:D49)/SUM(D46:D49)</f>
        <v>6.2889999999999997</v>
      </c>
      <c r="D50" s="6">
        <f>SUM(D46:D49)</f>
        <v>0.13038638893305771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45841</v>
      </c>
      <c r="B56" s="4">
        <v>4.82</v>
      </c>
      <c r="C56" s="6">
        <v>9.4870000000000001</v>
      </c>
      <c r="D56" s="39">
        <f>B56/C56</f>
        <v>0.50806366606935804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4.82</v>
      </c>
      <c r="C60" s="6">
        <f>SUMPRODUCT(C56:C59,D56:D59)/SUM(D56:D59)</f>
        <v>9.4870000000000001</v>
      </c>
      <c r="D60" s="6">
        <f>SUM(D56:D59)</f>
        <v>0.50806366606935804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2E4D44DD-2227-463F-BEEA-EA8CDFB77F28}"/>
    <hyperlink ref="A23:L23" location="SLMC!A1" display="SLMC GY iShares MSCI Europe ESG Screened" xr:uid="{767FD176-EADB-4D56-94FE-C04FFA930772}"/>
    <hyperlink ref="A33:L33" location="AYEM!A1" display="AYEM GY iShares MSCI EM IMI ESG Screened" xr:uid="{C18E74FB-4A2C-406F-BCB4-8517A04C0B24}"/>
    <hyperlink ref="A43:L43" location="SGAJ!A1" display="SGAJ GY iShares MSCI Japan ESG Screened" xr:uid="{A1979591-27D9-49E5-8DD0-59FD3CA4FDB7}"/>
    <hyperlink ref="A53:L53" location="EDMU!A1" display="EDMU GY iShares MSCI USA ESG Enhanced" xr:uid="{8BD8030B-DFBD-49A9-9C45-DEE1680D458B}"/>
  </hyperlinks>
  <pageMargins left="0.7" right="0.7" top="0.75" bottom="0.75" header="0.3" footer="0.3"/>
  <pageSetup orientation="portrait" r:id="rId1"/>
  <ignoredErrors>
    <ignoredError sqref="C60 C20 C30 C40 C50" 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T60"/>
  <sheetViews>
    <sheetView workbookViewId="0">
      <pane ySplit="10" topLeftCell="A11" activePane="bottomLeft" state="frozen"/>
      <selection pane="bottomLeft" activeCell="R23" sqref="R23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28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7">
        <v>45813</v>
      </c>
      <c r="O5" s="4">
        <v>10</v>
      </c>
      <c r="P5" s="4">
        <f>B16+B26+B36+B46+B56</f>
        <v>10.020000000000001</v>
      </c>
      <c r="Q5" s="4">
        <f>G20+G30+G40+G50+G60</f>
        <v>0</v>
      </c>
      <c r="R5" s="4">
        <f>O5-P5+Q5</f>
        <v>-2.000000000000135E-2</v>
      </c>
      <c r="S5" s="4">
        <f>L20+L30+L40+L50+L60</f>
        <v>0</v>
      </c>
      <c r="T5" s="4">
        <v>0.1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/>
      <c r="O6" s="4"/>
      <c r="P6" s="4"/>
      <c r="Q6" s="4"/>
      <c r="R6" s="4"/>
      <c r="S6" s="4"/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45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45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10</v>
      </c>
      <c r="P9" s="4">
        <f t="shared" ref="P9:T9" si="0">SUM(P5:P8)</f>
        <v>10.020000000000001</v>
      </c>
      <c r="Q9" s="4">
        <f t="shared" si="0"/>
        <v>0</v>
      </c>
      <c r="R9" s="4">
        <f t="shared" si="0"/>
        <v>-2.000000000000135E-2</v>
      </c>
      <c r="S9" s="4">
        <f t="shared" si="0"/>
        <v>0</v>
      </c>
      <c r="T9" s="4">
        <f t="shared" si="0"/>
        <v>0.1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4">
        <f>N5</f>
        <v>45813</v>
      </c>
      <c r="B16" s="4">
        <v>3.28</v>
      </c>
      <c r="C16" s="6">
        <v>10.625999999999999</v>
      </c>
      <c r="D16" s="39">
        <f>B16/C16</f>
        <v>0.30867683041596083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4"/>
      <c r="B17" s="4"/>
      <c r="C17" s="5"/>
      <c r="D17" s="39"/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44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46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3.28</v>
      </c>
      <c r="C20" s="6">
        <f>SUMPRODUCT(C16:C19,D16:D19)/SUM(D16:D19)</f>
        <v>10.625999999999999</v>
      </c>
      <c r="D20" s="6">
        <f>SUM(D16:D19)</f>
        <v>0.30867683041596083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4">
        <f>N5</f>
        <v>45813</v>
      </c>
      <c r="B26" s="4">
        <v>1.76</v>
      </c>
      <c r="C26" s="6">
        <v>9.1110000000000007</v>
      </c>
      <c r="D26" s="39">
        <f>B26/C26</f>
        <v>0.19317308747667652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4"/>
      <c r="B27" s="4"/>
      <c r="C27" s="6"/>
      <c r="D27" s="39"/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44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46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1.76</v>
      </c>
      <c r="C30" s="6">
        <f>SUMPRODUCT(C26:C29,D26:D29)/SUM(D26:D29)</f>
        <v>9.1110000000000007</v>
      </c>
      <c r="D30" s="6">
        <f>SUM(D26:D29)</f>
        <v>0.19317308747667652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4">
        <f>N5</f>
        <v>45813</v>
      </c>
      <c r="B36" s="4">
        <v>1.2</v>
      </c>
      <c r="C36" s="5">
        <v>6.242</v>
      </c>
      <c r="D36" s="39">
        <f>B36/C36</f>
        <v>0.19224607497596924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4"/>
      <c r="B37" s="4"/>
      <c r="C37" s="5"/>
      <c r="D37" s="39"/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44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46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1.2</v>
      </c>
      <c r="C40" s="6">
        <f>SUMPRODUCT(C36:C39,D36:D39)/SUM(D36:D39)</f>
        <v>6.242</v>
      </c>
      <c r="D40" s="6">
        <f>SUM(D36:D39)</f>
        <v>0.19224607497596924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4">
        <f>N5</f>
        <v>45813</v>
      </c>
      <c r="B46" s="4">
        <v>0.56000000000000005</v>
      </c>
      <c r="C46" s="6">
        <v>6.3893000000000004</v>
      </c>
      <c r="D46" s="39">
        <f>B46/C46</f>
        <v>8.7646534049113364E-2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4"/>
      <c r="B47" s="4"/>
      <c r="C47" s="6"/>
      <c r="D47" s="39"/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44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46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0.56000000000000005</v>
      </c>
      <c r="C50" s="6">
        <f>SUMPRODUCT(C46:C49,D46:D49)/SUM(D46:D49)</f>
        <v>6.3893000000000004</v>
      </c>
      <c r="D50" s="6">
        <f>SUM(D46:D49)</f>
        <v>8.7646534049113364E-2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4">
        <f>N5</f>
        <v>45813</v>
      </c>
      <c r="B56" s="4">
        <v>3.22</v>
      </c>
      <c r="C56" s="6">
        <v>9.3559999999999999</v>
      </c>
      <c r="D56" s="39">
        <f>B56/C56</f>
        <v>0.34416417272338606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4"/>
      <c r="B57" s="4"/>
      <c r="C57" s="6"/>
      <c r="D57" s="39"/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44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46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3.22</v>
      </c>
      <c r="C60" s="6">
        <f>SUMPRODUCT(C56:C59,D56:D59)/SUM(D56:D59)</f>
        <v>9.3559999999999999</v>
      </c>
      <c r="D60" s="6">
        <f>SUM(D56:D59)</f>
        <v>0.34416417272338606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AA166709-DB68-4C1D-86BA-68FDAFB7A9E0}"/>
    <hyperlink ref="A23:L23" location="SLMC!A1" display="SLMC GY iShares MSCI Europe ESG Screened" xr:uid="{3F274C65-9961-464E-B3C5-E8EBD4F90B6D}"/>
    <hyperlink ref="A33:L33" location="AYEM!A1" display="AYEM GY iShares MSCI EM IMI ESG Screened" xr:uid="{0DA91D80-DB85-41B7-8C2F-8420862C51F1}"/>
    <hyperlink ref="A43:L43" location="SGAJ!A1" display="SGAJ GY iShares MSCI Japan ESG Screened" xr:uid="{9905DA90-6748-4650-ADF1-DC1F495747EB}"/>
    <hyperlink ref="A53:L53" location="EDMU!A1" display="EDMU GY iShares MSCI USA ESG Enhanced" xr:uid="{A39D90E7-1747-42F0-B8A5-2D742DC201C1}"/>
  </hyperlinks>
  <pageMargins left="0.7" right="0.7" top="0.75" bottom="0.75" header="0.3" footer="0.3"/>
  <pageSetup orientation="portrait" r:id="rId1"/>
  <ignoredErrors>
    <ignoredError sqref="C20 C30 C40 C50 C60" formula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T60"/>
  <sheetViews>
    <sheetView workbookViewId="0">
      <pane ySplit="10" topLeftCell="A11" activePane="bottomLeft" state="frozen"/>
      <selection pane="bottomLeft" activeCell="I5" sqref="I5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6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3" t="s">
        <v>50</v>
      </c>
      <c r="O5" s="4">
        <v>10</v>
      </c>
      <c r="P5" s="4">
        <f>B16+B26+B36+B46+B56</f>
        <v>9.99</v>
      </c>
      <c r="Q5" s="4">
        <f>G20+G30+G40+G50+G60</f>
        <v>0</v>
      </c>
      <c r="R5" s="4">
        <f>O5-P5+Q5</f>
        <v>9.9999999999997868E-3</v>
      </c>
      <c r="S5" s="4">
        <f>L20+L30+L40+L50+L60</f>
        <v>0</v>
      </c>
      <c r="T5" s="4">
        <v>0.05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3" t="s">
        <v>51</v>
      </c>
      <c r="O6" s="4">
        <v>35.479999999999997</v>
      </c>
      <c r="P6" s="4">
        <f>B17+B27+B37+B47+B57</f>
        <v>35.5</v>
      </c>
      <c r="Q6" s="4">
        <f>G21+G31+G41+G51+G61</f>
        <v>0</v>
      </c>
      <c r="R6" s="4">
        <f>O6-P6+Q6</f>
        <v>-2.0000000000003126E-2</v>
      </c>
      <c r="S6" s="4">
        <f>L21+L31+L41+L51+L61</f>
        <v>0</v>
      </c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31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31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45.48</v>
      </c>
      <c r="P9" s="4">
        <f t="shared" ref="P9:T9" si="0">SUM(P5:P8)</f>
        <v>45.49</v>
      </c>
      <c r="Q9" s="4">
        <f t="shared" si="0"/>
        <v>0</v>
      </c>
      <c r="R9" s="4">
        <f t="shared" si="0"/>
        <v>-1.000000000000334E-2</v>
      </c>
      <c r="S9" s="4">
        <f t="shared" si="0"/>
        <v>0</v>
      </c>
      <c r="T9" s="4">
        <f t="shared" si="0"/>
        <v>0.05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0" t="str">
        <f>N5</f>
        <v>2025.05.08</v>
      </c>
      <c r="B16" s="4">
        <v>3.26</v>
      </c>
      <c r="C16" s="6">
        <v>10.09</v>
      </c>
      <c r="D16" s="39">
        <f>B16/C16</f>
        <v>0.32309217046580774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0" t="str">
        <f>N6</f>
        <v>2025.05.22</v>
      </c>
      <c r="B17" s="4">
        <v>11.7</v>
      </c>
      <c r="C17" s="5">
        <v>10.8422</v>
      </c>
      <c r="D17" s="39">
        <f>B17/C17</f>
        <v>1.0791167844164469</v>
      </c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17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20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14.959999999999999</v>
      </c>
      <c r="C20" s="6">
        <f>SUMPRODUCT(C16:C19,D16:D19)/SUM(D16:D19)</f>
        <v>10.668880659984241</v>
      </c>
      <c r="D20" s="6">
        <f>SUM(D16:D19)</f>
        <v>1.4022089548822545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0" t="str">
        <f>N5</f>
        <v>2025.05.08</v>
      </c>
      <c r="B26" s="4">
        <v>1.76</v>
      </c>
      <c r="C26" s="6">
        <v>8.8870000000000005</v>
      </c>
      <c r="D26" s="39">
        <f>B26/C26</f>
        <v>0.19804208394283784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0" t="str">
        <f>N6</f>
        <v>2025.05.22</v>
      </c>
      <c r="B27" s="4">
        <v>6.13</v>
      </c>
      <c r="C27" s="6">
        <v>9.2094000000000005</v>
      </c>
      <c r="D27" s="39">
        <f>B27/C27</f>
        <v>0.66562425348013976</v>
      </c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17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20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7.89</v>
      </c>
      <c r="C30" s="6">
        <f>SUMPRODUCT(C26:C29,D26:D29)/SUM(D26:D29)</f>
        <v>9.1354724135044041</v>
      </c>
      <c r="D30" s="6">
        <f>SUM(D26:D29)</f>
        <v>0.8636663374229776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0" t="str">
        <f>N5</f>
        <v>2025.05.08</v>
      </c>
      <c r="B36" s="4">
        <v>1.23</v>
      </c>
      <c r="C36" s="5">
        <v>6.1364000000000001</v>
      </c>
      <c r="D36" s="39">
        <f>B36/C36</f>
        <v>0.20044325663255327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0" t="str">
        <f>N6</f>
        <v>2025.05.22</v>
      </c>
      <c r="B37" s="4">
        <v>4.28</v>
      </c>
      <c r="C37" s="5">
        <v>6.3666</v>
      </c>
      <c r="D37" s="39">
        <f>B37/C37</f>
        <v>0.67225834825495556</v>
      </c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17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20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5.51</v>
      </c>
      <c r="C40" s="6">
        <f>SUMPRODUCT(C36:C39,D36:D39)/SUM(D36:D39)</f>
        <v>6.3137273601212618</v>
      </c>
      <c r="D40" s="6">
        <f>SUM(D36:D39)</f>
        <v>0.87270160488750881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2" t="str">
        <f>N5</f>
        <v>2025.05.08</v>
      </c>
      <c r="B46" s="4">
        <v>0.56000000000000005</v>
      </c>
      <c r="C46" s="6">
        <v>6.2709999999999999</v>
      </c>
      <c r="D46" s="39">
        <f>B46/C46</f>
        <v>8.9299952160739923E-2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2" t="str">
        <f>N6</f>
        <v>2025.05.22</v>
      </c>
      <c r="B47" s="4">
        <v>1.93</v>
      </c>
      <c r="C47" s="6">
        <v>6.3760000000000003</v>
      </c>
      <c r="D47" s="39">
        <f>B47/C47</f>
        <v>0.30269761606022583</v>
      </c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17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20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2.4900000000000002</v>
      </c>
      <c r="C50" s="6">
        <f>SUMPRODUCT(C46:C49,D46:D49)/SUM(D46:D49)</f>
        <v>6.3520802215701702</v>
      </c>
      <c r="D50" s="6">
        <f>SUM(D46:D49)</f>
        <v>0.39199756822096576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2" t="str">
        <f>N5</f>
        <v>2025.05.08</v>
      </c>
      <c r="B56" s="4">
        <v>3.18</v>
      </c>
      <c r="C56" s="6">
        <v>8.9209999999999994</v>
      </c>
      <c r="D56" s="39">
        <f>B56/C56</f>
        <v>0.35646228001345143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2" t="str">
        <f>N6</f>
        <v>2025.05.22</v>
      </c>
      <c r="B57" s="4">
        <v>11.46</v>
      </c>
      <c r="C57" s="6">
        <v>9.5519999999999996</v>
      </c>
      <c r="D57" s="39">
        <f>B57/C57</f>
        <v>1.1997487437185932</v>
      </c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17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20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14.64</v>
      </c>
      <c r="C60" s="6">
        <f>SUMPRODUCT(C56:C59,D56:D59)/SUM(D56:D59)</f>
        <v>9.4074645255313278</v>
      </c>
      <c r="D60" s="6">
        <f>SUM(D56:D59)</f>
        <v>1.5562110237320446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2:L2"/>
    <mergeCell ref="N2:T2"/>
    <mergeCell ref="A3:D3"/>
    <mergeCell ref="E3:E9"/>
    <mergeCell ref="F3:I3"/>
    <mergeCell ref="K3:L3"/>
    <mergeCell ref="N3:T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</mergeCells>
  <hyperlinks>
    <hyperlink ref="A13:L13" location="SGAS!A1" display="SGAS GY iShares MSCI USA ESG Screened" xr:uid="{FE301526-B5B2-44A8-83F0-1F7F8E858F46}"/>
    <hyperlink ref="A23:L23" location="SLMC!A1" display="SLMC GY iShares MSCI Europe ESG Screened" xr:uid="{A97898E1-C833-4DC4-B896-35361C344EDB}"/>
    <hyperlink ref="A33:L33" location="AYEM!A1" display="AYEM GY iShares MSCI EM IMI ESG Screened" xr:uid="{8D62AC95-9948-45BE-8F63-2E01C25DAE4C}"/>
    <hyperlink ref="A43:L43" location="SGAJ!A1" display="SGAJ GY iShares MSCI Japan ESG Screened" xr:uid="{64E64FA2-6926-4C7B-B5CC-2BB5E3034BE1}"/>
    <hyperlink ref="A53:L53" location="EDMU!A1" display="EDMU GY iShares MSCI USA ESG Enhanced" xr:uid="{ABE5B883-8A48-4798-9156-9C968D5E7558}"/>
  </hyperlinks>
  <pageMargins left="0.7" right="0.7" top="0.75" bottom="0.75" header="0.3" footer="0.3"/>
  <pageSetup orientation="portrait" r:id="rId1"/>
  <ignoredErrors>
    <ignoredError sqref="C20 C30 C40 C50 C60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T60"/>
  <sheetViews>
    <sheetView workbookViewId="0">
      <pane ySplit="10" topLeftCell="A11" activePane="bottomLeft" state="frozen"/>
      <selection pane="bottomLeft"/>
    </sheetView>
  </sheetViews>
  <sheetFormatPr defaultRowHeight="15" x14ac:dyDescent="0.25"/>
  <cols>
    <col min="1" max="1" width="15.7109375" style="1" customWidth="1"/>
    <col min="2" max="3" width="10.7109375" customWidth="1"/>
    <col min="4" max="4" width="15.7109375" customWidth="1"/>
    <col min="5" max="5" width="2.7109375" customWidth="1"/>
    <col min="6" max="6" width="15.7109375" customWidth="1"/>
    <col min="7" max="8" width="10.7109375" customWidth="1"/>
    <col min="9" max="9" width="15.7109375" customWidth="1"/>
    <col min="10" max="10" width="2.7109375" customWidth="1"/>
    <col min="11" max="12" width="10.7109375" customWidth="1"/>
    <col min="14" max="14" width="15.7109375" customWidth="1"/>
    <col min="15" max="20" width="10.7109375" customWidth="1"/>
  </cols>
  <sheetData>
    <row r="2" spans="1:2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N2" s="68" t="s">
        <v>5</v>
      </c>
      <c r="O2" s="69"/>
      <c r="P2" s="69"/>
      <c r="Q2" s="69"/>
      <c r="R2" s="69"/>
      <c r="S2" s="69"/>
      <c r="T2" s="70"/>
    </row>
    <row r="3" spans="1:20" x14ac:dyDescent="0.25">
      <c r="A3" s="71"/>
      <c r="B3" s="71"/>
      <c r="C3" s="71"/>
      <c r="D3" s="71"/>
      <c r="E3" s="72"/>
      <c r="F3" s="71"/>
      <c r="G3" s="71"/>
      <c r="H3" s="71"/>
      <c r="I3" s="71"/>
      <c r="J3" s="22"/>
      <c r="K3" s="71"/>
      <c r="L3" s="71"/>
      <c r="N3" s="73" t="s">
        <v>7</v>
      </c>
      <c r="O3" s="69"/>
      <c r="P3" s="69"/>
      <c r="Q3" s="69"/>
      <c r="R3" s="69"/>
      <c r="S3" s="69"/>
      <c r="T3" s="70"/>
    </row>
    <row r="4" spans="1:20" x14ac:dyDescent="0.25">
      <c r="A4" s="23"/>
      <c r="B4" s="22"/>
      <c r="C4" s="22"/>
      <c r="D4" s="22"/>
      <c r="E4" s="72"/>
      <c r="F4" s="23"/>
      <c r="G4" s="22"/>
      <c r="H4" s="22"/>
      <c r="I4" s="22"/>
      <c r="J4" s="22"/>
      <c r="K4" s="22"/>
      <c r="L4" s="22"/>
      <c r="N4" s="12" t="s">
        <v>17</v>
      </c>
      <c r="O4" s="3" t="s">
        <v>3</v>
      </c>
      <c r="P4" s="3" t="s">
        <v>31</v>
      </c>
      <c r="Q4" s="3" t="s">
        <v>34</v>
      </c>
      <c r="R4" s="3" t="s">
        <v>12</v>
      </c>
      <c r="S4" s="3" t="s">
        <v>13</v>
      </c>
      <c r="T4" s="3" t="s">
        <v>10</v>
      </c>
    </row>
    <row r="5" spans="1:20" x14ac:dyDescent="0.25">
      <c r="A5" s="24"/>
      <c r="B5" s="25"/>
      <c r="C5" s="1"/>
      <c r="D5" s="26"/>
      <c r="E5" s="72"/>
      <c r="F5" s="24"/>
      <c r="G5" s="1"/>
      <c r="H5" s="7"/>
      <c r="I5" s="1"/>
      <c r="J5" s="1"/>
      <c r="K5" s="24"/>
      <c r="L5" s="7"/>
      <c r="N5" s="41" t="s">
        <v>8</v>
      </c>
      <c r="O5" s="4">
        <v>100</v>
      </c>
      <c r="P5" s="4">
        <f>B16+B26+B36+B46+B56</f>
        <v>99.919999999999987</v>
      </c>
      <c r="Q5" s="4">
        <f>G20+G30+G40+G50+G60</f>
        <v>0</v>
      </c>
      <c r="R5" s="4">
        <f>O5-P5+Q5</f>
        <v>8.0000000000012506E-2</v>
      </c>
      <c r="S5" s="4">
        <f>L20+L30+L40+L50+L60</f>
        <v>0</v>
      </c>
      <c r="T5" s="4">
        <v>0</v>
      </c>
    </row>
    <row r="6" spans="1:20" ht="15" customHeight="1" x14ac:dyDescent="0.3">
      <c r="A6" s="24"/>
      <c r="B6" s="7"/>
      <c r="C6" s="1"/>
      <c r="D6" s="27"/>
      <c r="E6" s="72"/>
      <c r="F6" s="28"/>
      <c r="K6" s="28"/>
      <c r="N6" s="41" t="s">
        <v>42</v>
      </c>
      <c r="O6" s="4">
        <v>10</v>
      </c>
      <c r="P6" s="4">
        <f>B17+B27+B37+B47+B57</f>
        <v>10.040000000000001</v>
      </c>
      <c r="Q6" s="4">
        <f>G21+G31+G41+G51+G61</f>
        <v>0</v>
      </c>
      <c r="R6" s="4">
        <f>O6-P6+Q6</f>
        <v>-4.0000000000000924E-2</v>
      </c>
      <c r="S6" s="4">
        <f>L21+L31+L41+L51+L61</f>
        <v>0</v>
      </c>
      <c r="T6" s="2"/>
    </row>
    <row r="7" spans="1:20" ht="15" customHeight="1" x14ac:dyDescent="0.3">
      <c r="A7" s="24"/>
      <c r="B7" s="7"/>
      <c r="C7" s="1"/>
      <c r="D7" s="27"/>
      <c r="E7" s="72"/>
      <c r="F7" s="28"/>
      <c r="K7" s="28"/>
      <c r="N7" s="31"/>
      <c r="O7" s="4"/>
      <c r="P7" s="4"/>
      <c r="Q7" s="4"/>
      <c r="R7" s="4"/>
      <c r="S7" s="31"/>
      <c r="T7" s="2"/>
    </row>
    <row r="8" spans="1:20" ht="15" customHeight="1" x14ac:dyDescent="0.3">
      <c r="A8" s="28"/>
      <c r="B8" s="7"/>
      <c r="C8" s="1"/>
      <c r="D8" s="29"/>
      <c r="E8" s="72"/>
      <c r="F8" s="28"/>
      <c r="K8" s="28"/>
      <c r="N8" s="31"/>
      <c r="O8" s="4"/>
      <c r="P8" s="4"/>
      <c r="Q8" s="4"/>
      <c r="R8" s="4"/>
      <c r="S8" s="32"/>
      <c r="T8" s="2"/>
    </row>
    <row r="9" spans="1:20" ht="15" customHeight="1" x14ac:dyDescent="0.25">
      <c r="A9" s="22"/>
      <c r="B9" s="7"/>
      <c r="C9" s="1"/>
      <c r="D9" s="8"/>
      <c r="E9" s="72"/>
      <c r="F9" s="22"/>
      <c r="G9" s="7"/>
      <c r="H9" s="1"/>
      <c r="I9" s="8"/>
      <c r="J9" s="30"/>
      <c r="K9" s="22"/>
      <c r="L9" s="7"/>
      <c r="N9" s="3" t="s">
        <v>2</v>
      </c>
      <c r="O9" s="4">
        <f>SUM(O5:O8)</f>
        <v>110</v>
      </c>
      <c r="P9" s="4">
        <f t="shared" ref="P9:T9" si="0">SUM(P5:P8)</f>
        <v>109.96</v>
      </c>
      <c r="Q9" s="4">
        <f t="shared" si="0"/>
        <v>0</v>
      </c>
      <c r="R9" s="4">
        <f t="shared" si="0"/>
        <v>4.0000000000011582E-2</v>
      </c>
      <c r="S9" s="4">
        <f t="shared" si="0"/>
        <v>0</v>
      </c>
      <c r="T9" s="4">
        <f t="shared" si="0"/>
        <v>0</v>
      </c>
    </row>
    <row r="10" spans="1:20" ht="15" customHeight="1" x14ac:dyDescent="0.25">
      <c r="A10" s="22"/>
      <c r="B10" s="7"/>
      <c r="C10" s="1"/>
      <c r="D10" s="8"/>
      <c r="E10" s="1"/>
      <c r="F10" s="22"/>
      <c r="G10" s="7"/>
      <c r="H10" s="1"/>
      <c r="I10" s="8"/>
      <c r="J10" s="30"/>
      <c r="K10" s="22"/>
      <c r="L10" s="7"/>
      <c r="N10" s="22"/>
      <c r="O10" s="7"/>
      <c r="P10" s="7"/>
      <c r="Q10" s="7"/>
      <c r="R10" s="7"/>
      <c r="S10" s="7"/>
      <c r="T10" s="7"/>
    </row>
    <row r="11" spans="1:20" ht="15" customHeight="1" x14ac:dyDescent="0.25">
      <c r="A11" s="22"/>
      <c r="B11" s="7"/>
      <c r="C11" s="1"/>
      <c r="D11" s="8"/>
      <c r="E11" s="1"/>
      <c r="F11" s="22"/>
      <c r="G11" s="7"/>
      <c r="H11" s="1"/>
      <c r="I11" s="8"/>
      <c r="J11" s="30"/>
      <c r="K11" s="22"/>
      <c r="L11" s="7"/>
      <c r="N11" s="22"/>
      <c r="O11" s="7"/>
      <c r="P11" s="7"/>
      <c r="Q11" s="7"/>
      <c r="R11" s="7"/>
      <c r="S11" s="7"/>
      <c r="T11" s="7"/>
    </row>
    <row r="12" spans="1:20" ht="15" customHeight="1" x14ac:dyDescent="0.25">
      <c r="A12" s="22"/>
      <c r="B12" s="7"/>
      <c r="C12" s="1"/>
      <c r="D12" s="8"/>
      <c r="E12" s="1"/>
      <c r="F12" s="22"/>
      <c r="G12" s="7"/>
      <c r="H12" s="1"/>
      <c r="I12" s="8"/>
      <c r="J12" s="30"/>
      <c r="K12" s="22"/>
      <c r="L12" s="7"/>
      <c r="N12" s="22"/>
      <c r="O12" s="7"/>
      <c r="P12" s="7"/>
      <c r="Q12" s="7"/>
      <c r="R12" s="7"/>
      <c r="S12" s="22"/>
      <c r="T12" s="7"/>
    </row>
    <row r="13" spans="1:20" ht="15" customHeight="1" x14ac:dyDescent="0.25">
      <c r="A13" s="55" t="s">
        <v>37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  <c r="N13" s="22"/>
      <c r="O13" s="7"/>
      <c r="P13" s="7"/>
      <c r="Q13" s="7"/>
      <c r="R13" s="7"/>
      <c r="S13" s="22"/>
      <c r="T13" s="7"/>
    </row>
    <row r="14" spans="1:20" x14ac:dyDescent="0.25">
      <c r="A14" s="58" t="s">
        <v>29</v>
      </c>
      <c r="B14" s="59"/>
      <c r="C14" s="59"/>
      <c r="D14" s="60"/>
      <c r="E14" s="61"/>
      <c r="F14" s="64" t="s">
        <v>30</v>
      </c>
      <c r="G14" s="65"/>
      <c r="H14" s="65"/>
      <c r="I14" s="66"/>
      <c r="J14" s="14"/>
      <c r="K14" s="58" t="s">
        <v>13</v>
      </c>
      <c r="L14" s="60"/>
      <c r="N14" s="22"/>
      <c r="O14" s="7"/>
      <c r="P14" s="7"/>
      <c r="Q14" s="7"/>
      <c r="R14" s="7"/>
      <c r="S14" s="22"/>
      <c r="T14" s="7"/>
    </row>
    <row r="15" spans="1:20" x14ac:dyDescent="0.25">
      <c r="A15" s="12" t="s">
        <v>17</v>
      </c>
      <c r="B15" s="3" t="s">
        <v>3</v>
      </c>
      <c r="C15" s="3" t="s">
        <v>0</v>
      </c>
      <c r="D15" s="3" t="s">
        <v>1</v>
      </c>
      <c r="E15" s="62"/>
      <c r="F15" s="12" t="s">
        <v>17</v>
      </c>
      <c r="G15" s="3" t="s">
        <v>32</v>
      </c>
      <c r="H15" s="3" t="s">
        <v>0</v>
      </c>
      <c r="I15" s="3" t="s">
        <v>1</v>
      </c>
      <c r="J15" s="16"/>
      <c r="K15" s="13" t="s">
        <v>17</v>
      </c>
      <c r="L15" s="3" t="s">
        <v>32</v>
      </c>
      <c r="N15" s="22"/>
      <c r="O15" s="7"/>
      <c r="P15" s="7"/>
      <c r="Q15" s="7"/>
      <c r="R15" s="7"/>
      <c r="S15" s="22"/>
      <c r="T15" s="7"/>
    </row>
    <row r="16" spans="1:20" x14ac:dyDescent="0.25">
      <c r="A16" s="40" t="str">
        <f>N5</f>
        <v>2025.04.10</v>
      </c>
      <c r="B16" s="4">
        <v>32.75</v>
      </c>
      <c r="C16" s="6">
        <v>9.5570000000000004</v>
      </c>
      <c r="D16" s="39">
        <f>B16/C16</f>
        <v>3.426807575599037</v>
      </c>
      <c r="E16" s="62"/>
      <c r="F16" s="17"/>
      <c r="G16" s="5"/>
      <c r="H16" s="4"/>
      <c r="I16" s="5"/>
      <c r="J16" s="15"/>
      <c r="K16" s="17"/>
      <c r="L16" s="4"/>
    </row>
    <row r="17" spans="1:20" x14ac:dyDescent="0.25">
      <c r="A17" s="40" t="str">
        <f>N6</f>
        <v>2025.04.24</v>
      </c>
      <c r="B17" s="4">
        <v>3.24</v>
      </c>
      <c r="C17" s="5">
        <v>9.1658000000000008</v>
      </c>
      <c r="D17" s="39">
        <f>B17/C17</f>
        <v>0.35348796613498001</v>
      </c>
      <c r="E17" s="62"/>
      <c r="F17" s="17"/>
      <c r="G17" s="5"/>
      <c r="H17" s="4"/>
      <c r="I17" s="5"/>
      <c r="J17" s="15"/>
      <c r="K17" s="17"/>
      <c r="L17" s="4"/>
    </row>
    <row r="18" spans="1:20" x14ac:dyDescent="0.25">
      <c r="A18" s="17"/>
      <c r="B18" s="4"/>
      <c r="C18" s="5"/>
      <c r="D18" s="33"/>
      <c r="E18" s="62"/>
      <c r="F18" s="17"/>
      <c r="G18" s="2"/>
      <c r="H18" s="2"/>
      <c r="I18" s="2"/>
      <c r="J18" s="19"/>
      <c r="K18" s="17"/>
      <c r="L18" s="2"/>
    </row>
    <row r="19" spans="1:20" ht="16.5" x14ac:dyDescent="0.3">
      <c r="A19" s="20"/>
      <c r="B19" s="4"/>
      <c r="C19" s="5"/>
      <c r="D19" s="10"/>
      <c r="E19" s="62"/>
      <c r="F19" s="20"/>
      <c r="G19" s="2"/>
      <c r="H19" s="2"/>
      <c r="I19" s="2"/>
      <c r="J19" s="19"/>
      <c r="K19" s="20"/>
      <c r="L19" s="2"/>
    </row>
    <row r="20" spans="1:20" x14ac:dyDescent="0.25">
      <c r="A20" s="3" t="s">
        <v>2</v>
      </c>
      <c r="B20" s="4">
        <f>SUM(B16:B19)</f>
        <v>35.99</v>
      </c>
      <c r="C20" s="6">
        <f>SUMPRODUCT(C16:C19,D16:D19)/SUM(D16:D19)</f>
        <v>9.5204196610224372</v>
      </c>
      <c r="D20" s="6">
        <f>SUM(D16:D19)</f>
        <v>3.7802955417340169</v>
      </c>
      <c r="E20" s="63"/>
      <c r="F20" s="3" t="s">
        <v>2</v>
      </c>
      <c r="G20" s="4">
        <f>SUM(G16:G19)</f>
        <v>0</v>
      </c>
      <c r="H20" s="5"/>
      <c r="I20" s="6">
        <f>SUM(I16:I19)</f>
        <v>0</v>
      </c>
      <c r="J20" s="21"/>
      <c r="K20" s="3" t="s">
        <v>2</v>
      </c>
      <c r="L20" s="4">
        <f>SUM(L16:L19)</f>
        <v>0</v>
      </c>
    </row>
    <row r="21" spans="1:20" x14ac:dyDescent="0.25">
      <c r="A21" s="22"/>
      <c r="B21" s="7"/>
      <c r="C21" s="1"/>
      <c r="D21" s="8"/>
      <c r="E21" s="1"/>
      <c r="F21" s="22"/>
      <c r="G21" s="7"/>
      <c r="H21" s="1"/>
      <c r="I21" s="8"/>
      <c r="J21" s="30"/>
      <c r="K21" s="22"/>
      <c r="L21" s="7"/>
    </row>
    <row r="22" spans="1:20" x14ac:dyDescent="0.25">
      <c r="B22" s="1"/>
    </row>
    <row r="23" spans="1:20" ht="15" customHeight="1" x14ac:dyDescent="0.25">
      <c r="A23" s="55" t="s">
        <v>38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  <c r="N23" s="22"/>
      <c r="O23" s="7"/>
      <c r="P23" s="7"/>
      <c r="Q23" s="7"/>
      <c r="R23" s="7"/>
      <c r="S23" s="22"/>
      <c r="T23" s="7"/>
    </row>
    <row r="24" spans="1:20" x14ac:dyDescent="0.25">
      <c r="A24" s="53" t="s">
        <v>29</v>
      </c>
      <c r="B24" s="53"/>
      <c r="C24" s="53"/>
      <c r="D24" s="53"/>
      <c r="E24" s="54"/>
      <c r="F24" s="53" t="s">
        <v>30</v>
      </c>
      <c r="G24" s="53"/>
      <c r="H24" s="53"/>
      <c r="I24" s="53"/>
      <c r="J24" s="35"/>
      <c r="K24" s="53" t="s">
        <v>13</v>
      </c>
      <c r="L24" s="53"/>
      <c r="N24" s="22"/>
      <c r="O24" s="7"/>
      <c r="P24" s="7"/>
      <c r="Q24" s="7"/>
      <c r="R24" s="7"/>
      <c r="S24" s="22"/>
      <c r="T24" s="7"/>
    </row>
    <row r="25" spans="1:20" x14ac:dyDescent="0.25">
      <c r="A25" s="12" t="s">
        <v>17</v>
      </c>
      <c r="B25" s="3" t="s">
        <v>3</v>
      </c>
      <c r="C25" s="3" t="s">
        <v>0</v>
      </c>
      <c r="D25" s="3" t="s">
        <v>1</v>
      </c>
      <c r="E25" s="54"/>
      <c r="F25" s="12" t="s">
        <v>17</v>
      </c>
      <c r="G25" s="3" t="s">
        <v>32</v>
      </c>
      <c r="H25" s="3" t="s">
        <v>0</v>
      </c>
      <c r="I25" s="3" t="s">
        <v>1</v>
      </c>
      <c r="J25" s="35"/>
      <c r="K25" s="3" t="s">
        <v>17</v>
      </c>
      <c r="L25" s="3" t="s">
        <v>32</v>
      </c>
      <c r="N25" s="22"/>
      <c r="O25" s="7"/>
      <c r="P25" s="7"/>
      <c r="Q25" s="7"/>
      <c r="R25" s="7"/>
      <c r="S25" s="22"/>
      <c r="T25" s="7"/>
    </row>
    <row r="26" spans="1:20" x14ac:dyDescent="0.25">
      <c r="A26" s="40" t="str">
        <f>N5</f>
        <v>2025.04.10</v>
      </c>
      <c r="B26" s="4">
        <v>16.93</v>
      </c>
      <c r="C26" s="6">
        <v>7.9</v>
      </c>
      <c r="D26" s="39">
        <f>B26/C26</f>
        <v>2.1430379746835442</v>
      </c>
      <c r="E26" s="54"/>
      <c r="F26" s="17"/>
      <c r="G26" s="4"/>
      <c r="H26" s="4"/>
      <c r="I26" s="5"/>
      <c r="J26" s="34"/>
      <c r="K26" s="17"/>
      <c r="L26" s="4"/>
    </row>
    <row r="27" spans="1:20" x14ac:dyDescent="0.25">
      <c r="A27" s="40" t="str">
        <f>N6</f>
        <v>2025.04.24</v>
      </c>
      <c r="B27" s="4">
        <v>1.78</v>
      </c>
      <c r="C27" s="6">
        <v>8.3049999999999997</v>
      </c>
      <c r="D27" s="39">
        <f>B27/C27</f>
        <v>0.21432871763997594</v>
      </c>
      <c r="E27" s="54"/>
      <c r="F27" s="17"/>
      <c r="G27" s="5"/>
      <c r="H27" s="4"/>
      <c r="I27" s="5"/>
      <c r="J27" s="34"/>
      <c r="K27" s="17"/>
      <c r="L27" s="4"/>
    </row>
    <row r="28" spans="1:20" ht="16.5" x14ac:dyDescent="0.3">
      <c r="A28" s="17"/>
      <c r="B28" s="4"/>
      <c r="C28" s="5"/>
      <c r="D28" s="39"/>
      <c r="E28" s="54"/>
      <c r="F28" s="20"/>
      <c r="G28" s="2"/>
      <c r="H28" s="2"/>
      <c r="I28" s="2"/>
      <c r="J28" s="36"/>
      <c r="K28" s="20"/>
      <c r="L28" s="2"/>
    </row>
    <row r="29" spans="1:20" ht="16.5" x14ac:dyDescent="0.3">
      <c r="A29" s="20"/>
      <c r="B29" s="4"/>
      <c r="C29" s="5"/>
      <c r="D29" s="6"/>
      <c r="E29" s="54"/>
      <c r="F29" s="20"/>
      <c r="G29" s="2"/>
      <c r="H29" s="2"/>
      <c r="I29" s="2"/>
      <c r="J29" s="36"/>
      <c r="K29" s="20"/>
      <c r="L29" s="2"/>
    </row>
    <row r="30" spans="1:20" x14ac:dyDescent="0.25">
      <c r="A30" s="3" t="s">
        <v>2</v>
      </c>
      <c r="B30" s="4">
        <f>SUM(B26:B29)</f>
        <v>18.71</v>
      </c>
      <c r="C30" s="6">
        <f>SUMPRODUCT(C26:C29,D26:D29)/SUM(D26:D29)</f>
        <v>7.9368220739382025</v>
      </c>
      <c r="D30" s="6">
        <f>SUM(D26:D29)</f>
        <v>2.3573666923235201</v>
      </c>
      <c r="E30" s="54"/>
      <c r="F30" s="3" t="s">
        <v>2</v>
      </c>
      <c r="G30" s="4">
        <f>SUM(G26:G29)</f>
        <v>0</v>
      </c>
      <c r="H30" s="5"/>
      <c r="I30" s="6">
        <f>SUM(I26:I29)</f>
        <v>0</v>
      </c>
      <c r="J30" s="37"/>
      <c r="K30" s="3" t="s">
        <v>2</v>
      </c>
      <c r="L30" s="4">
        <f>SUM(L26:L29)</f>
        <v>0</v>
      </c>
    </row>
    <row r="31" spans="1:20" x14ac:dyDescent="0.25">
      <c r="A31" s="22"/>
      <c r="B31" s="7"/>
      <c r="C31" s="1"/>
      <c r="D31" s="30"/>
      <c r="E31" s="1"/>
      <c r="F31" s="22"/>
      <c r="G31" s="7"/>
      <c r="H31" s="1"/>
      <c r="I31" s="8"/>
      <c r="J31" s="30"/>
      <c r="K31" s="22"/>
      <c r="L31" s="7"/>
    </row>
    <row r="32" spans="1:20" x14ac:dyDescent="0.25">
      <c r="A32" s="22"/>
      <c r="B32" s="7"/>
      <c r="C32" s="1"/>
      <c r="D32" s="30"/>
      <c r="E32" s="1"/>
      <c r="F32" s="22"/>
      <c r="G32" s="7"/>
      <c r="H32" s="1"/>
      <c r="I32" s="8"/>
      <c r="J32" s="30"/>
      <c r="K32" s="22"/>
      <c r="L32" s="7"/>
    </row>
    <row r="33" spans="1:20" ht="15" customHeight="1" x14ac:dyDescent="0.25">
      <c r="A33" s="55" t="s">
        <v>39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  <c r="N33" s="22"/>
      <c r="O33" s="7"/>
      <c r="P33" s="7"/>
      <c r="Q33" s="7"/>
      <c r="R33" s="7"/>
      <c r="S33" s="22"/>
      <c r="T33" s="7"/>
    </row>
    <row r="34" spans="1:20" x14ac:dyDescent="0.25">
      <c r="A34" s="53" t="s">
        <v>29</v>
      </c>
      <c r="B34" s="53"/>
      <c r="C34" s="53"/>
      <c r="D34" s="53"/>
      <c r="E34" s="54"/>
      <c r="F34" s="53" t="s">
        <v>30</v>
      </c>
      <c r="G34" s="53"/>
      <c r="H34" s="53"/>
      <c r="I34" s="53"/>
      <c r="J34" s="35"/>
      <c r="K34" s="53" t="s">
        <v>13</v>
      </c>
      <c r="L34" s="53"/>
      <c r="N34" s="22"/>
      <c r="O34" s="7"/>
      <c r="P34" s="7"/>
      <c r="Q34" s="7"/>
      <c r="R34" s="7"/>
      <c r="S34" s="22"/>
      <c r="T34" s="7"/>
    </row>
    <row r="35" spans="1:20" x14ac:dyDescent="0.25">
      <c r="A35" s="12" t="s">
        <v>17</v>
      </c>
      <c r="B35" s="3" t="s">
        <v>3</v>
      </c>
      <c r="C35" s="3" t="s">
        <v>0</v>
      </c>
      <c r="D35" s="3" t="s">
        <v>1</v>
      </c>
      <c r="E35" s="54"/>
      <c r="F35" s="12" t="s">
        <v>17</v>
      </c>
      <c r="G35" s="3" t="s">
        <v>32</v>
      </c>
      <c r="H35" s="3" t="s">
        <v>0</v>
      </c>
      <c r="I35" s="3" t="s">
        <v>1</v>
      </c>
      <c r="J35" s="35"/>
      <c r="K35" s="3" t="s">
        <v>17</v>
      </c>
      <c r="L35" s="3" t="s">
        <v>32</v>
      </c>
      <c r="N35" s="22"/>
      <c r="O35" s="7"/>
      <c r="P35" s="7"/>
      <c r="Q35" s="7"/>
      <c r="R35" s="7"/>
      <c r="S35" s="22"/>
      <c r="T35" s="7"/>
    </row>
    <row r="36" spans="1:20" x14ac:dyDescent="0.25">
      <c r="A36" s="40" t="str">
        <f>N5</f>
        <v>2025.04.10</v>
      </c>
      <c r="B36" s="4">
        <v>12.35</v>
      </c>
      <c r="C36" s="5">
        <v>5.5713999999999997</v>
      </c>
      <c r="D36" s="39">
        <f>B36/C36</f>
        <v>2.2166780342463297</v>
      </c>
      <c r="E36" s="54"/>
      <c r="F36" s="17"/>
      <c r="G36" s="5"/>
      <c r="H36" s="4"/>
      <c r="I36" s="5"/>
      <c r="J36" s="34"/>
      <c r="K36" s="17"/>
      <c r="L36" s="4"/>
    </row>
    <row r="37" spans="1:20" x14ac:dyDescent="0.25">
      <c r="A37" s="40" t="str">
        <f>N6</f>
        <v>2025.04.24</v>
      </c>
      <c r="B37" s="4">
        <v>1.24</v>
      </c>
      <c r="C37" s="6">
        <v>5.6950000000000003</v>
      </c>
      <c r="D37" s="39">
        <f>B37/C37</f>
        <v>0.21773485513608426</v>
      </c>
      <c r="E37" s="54"/>
      <c r="F37" s="17"/>
      <c r="G37" s="5"/>
      <c r="H37" s="4"/>
      <c r="I37" s="5"/>
      <c r="J37" s="34"/>
      <c r="K37" s="17"/>
      <c r="L37" s="4"/>
    </row>
    <row r="38" spans="1:20" x14ac:dyDescent="0.25">
      <c r="A38" s="17"/>
      <c r="B38" s="18"/>
      <c r="C38" s="5"/>
      <c r="D38" s="39"/>
      <c r="E38" s="54"/>
      <c r="F38" s="17"/>
      <c r="G38" s="5"/>
      <c r="H38" s="4"/>
      <c r="I38" s="5"/>
      <c r="J38" s="34"/>
      <c r="K38" s="17"/>
      <c r="L38" s="4"/>
    </row>
    <row r="39" spans="1:20" ht="16.5" x14ac:dyDescent="0.3">
      <c r="A39" s="20"/>
      <c r="B39" s="4"/>
      <c r="C39" s="5"/>
      <c r="D39" s="6"/>
      <c r="E39" s="54"/>
      <c r="F39" s="20"/>
      <c r="G39" s="2"/>
      <c r="H39" s="2"/>
      <c r="I39" s="2"/>
      <c r="J39" s="36"/>
      <c r="K39" s="20"/>
      <c r="L39" s="2"/>
    </row>
    <row r="40" spans="1:20" x14ac:dyDescent="0.25">
      <c r="A40" s="3" t="s">
        <v>2</v>
      </c>
      <c r="B40" s="4">
        <f>SUM(B36:B39)</f>
        <v>13.59</v>
      </c>
      <c r="C40" s="6">
        <f>SUMPRODUCT(C36:C39,D36:D39)/SUM(D36:D39)</f>
        <v>5.5824548330614725</v>
      </c>
      <c r="D40" s="6">
        <f>SUM(D36:D39)</f>
        <v>2.434412889382414</v>
      </c>
      <c r="E40" s="54"/>
      <c r="F40" s="3" t="s">
        <v>2</v>
      </c>
      <c r="G40" s="4">
        <f>SUM(G36:G39)</f>
        <v>0</v>
      </c>
      <c r="H40" s="5"/>
      <c r="I40" s="6">
        <f>SUM(I36:I39)</f>
        <v>0</v>
      </c>
      <c r="J40" s="37"/>
      <c r="K40" s="3" t="s">
        <v>2</v>
      </c>
      <c r="L40" s="4">
        <f>SUM(L36:L39)</f>
        <v>0</v>
      </c>
    </row>
    <row r="43" spans="1:20" ht="15" customHeight="1" x14ac:dyDescent="0.25">
      <c r="A43" s="55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  <c r="N43" s="22"/>
      <c r="O43" s="7"/>
      <c r="P43" s="7"/>
      <c r="Q43" s="7"/>
      <c r="R43" s="7"/>
      <c r="S43" s="22"/>
      <c r="T43" s="7"/>
    </row>
    <row r="44" spans="1:20" x14ac:dyDescent="0.25">
      <c r="A44" s="53" t="s">
        <v>29</v>
      </c>
      <c r="B44" s="53"/>
      <c r="C44" s="53"/>
      <c r="D44" s="53"/>
      <c r="E44" s="54"/>
      <c r="F44" s="53" t="s">
        <v>30</v>
      </c>
      <c r="G44" s="53"/>
      <c r="H44" s="53"/>
      <c r="I44" s="53"/>
      <c r="J44" s="35"/>
      <c r="K44" s="53" t="s">
        <v>13</v>
      </c>
      <c r="L44" s="53"/>
      <c r="N44" s="22"/>
      <c r="O44" s="7"/>
      <c r="P44" s="7"/>
      <c r="Q44" s="7"/>
      <c r="R44" s="7"/>
      <c r="S44" s="22"/>
      <c r="T44" s="7"/>
    </row>
    <row r="45" spans="1:20" x14ac:dyDescent="0.25">
      <c r="A45" s="12" t="s">
        <v>17</v>
      </c>
      <c r="B45" s="3" t="s">
        <v>3</v>
      </c>
      <c r="C45" s="3" t="s">
        <v>0</v>
      </c>
      <c r="D45" s="3" t="s">
        <v>1</v>
      </c>
      <c r="E45" s="54"/>
      <c r="F45" s="12" t="s">
        <v>17</v>
      </c>
      <c r="G45" s="3" t="s">
        <v>32</v>
      </c>
      <c r="H45" s="3" t="s">
        <v>0</v>
      </c>
      <c r="I45" s="3" t="s">
        <v>1</v>
      </c>
      <c r="J45" s="35"/>
      <c r="K45" s="3" t="s">
        <v>17</v>
      </c>
      <c r="L45" s="3" t="s">
        <v>32</v>
      </c>
      <c r="N45" s="22"/>
      <c r="O45" s="7"/>
      <c r="P45" s="7"/>
      <c r="Q45" s="7"/>
      <c r="R45" s="7"/>
      <c r="S45" s="22"/>
      <c r="T45" s="7"/>
    </row>
    <row r="46" spans="1:20" x14ac:dyDescent="0.25">
      <c r="A46" s="42" t="str">
        <f>N5</f>
        <v>2025.04.10</v>
      </c>
      <c r="B46" s="4">
        <v>5.46</v>
      </c>
      <c r="C46" s="5">
        <v>5.6803999999999997</v>
      </c>
      <c r="D46" s="39">
        <f>B46/C46</f>
        <v>0.9611999154989086</v>
      </c>
      <c r="E46" s="54"/>
      <c r="F46" s="17"/>
      <c r="G46" s="5"/>
      <c r="H46" s="4"/>
      <c r="I46" s="5"/>
      <c r="J46" s="34"/>
      <c r="K46" s="17"/>
      <c r="L46" s="4"/>
    </row>
    <row r="47" spans="1:20" x14ac:dyDescent="0.25">
      <c r="A47" s="42" t="str">
        <f>N6</f>
        <v>2025.04.24</v>
      </c>
      <c r="B47" s="4">
        <v>0.56000000000000005</v>
      </c>
      <c r="C47" s="6">
        <v>5.8819999999999997</v>
      </c>
      <c r="D47" s="39">
        <f>B47/C47</f>
        <v>9.5205712342740584E-2</v>
      </c>
      <c r="E47" s="54"/>
      <c r="F47" s="17"/>
      <c r="G47" s="5"/>
      <c r="H47" s="4"/>
      <c r="I47" s="5"/>
      <c r="J47" s="34"/>
      <c r="K47" s="17"/>
      <c r="L47" s="4"/>
    </row>
    <row r="48" spans="1:20" x14ac:dyDescent="0.25">
      <c r="A48" s="17"/>
      <c r="B48" s="18"/>
      <c r="C48" s="5"/>
      <c r="D48" s="39"/>
      <c r="E48" s="54"/>
      <c r="F48" s="17"/>
      <c r="G48" s="5"/>
      <c r="H48" s="4"/>
      <c r="I48" s="5"/>
      <c r="J48" s="34"/>
      <c r="K48" s="17"/>
      <c r="L48" s="4"/>
    </row>
    <row r="49" spans="1:20" ht="16.5" x14ac:dyDescent="0.3">
      <c r="A49" s="20"/>
      <c r="B49" s="4"/>
      <c r="C49" s="5"/>
      <c r="D49" s="6"/>
      <c r="E49" s="54"/>
      <c r="F49" s="20"/>
      <c r="G49" s="2"/>
      <c r="H49" s="2"/>
      <c r="I49" s="2"/>
      <c r="J49" s="36"/>
      <c r="K49" s="20"/>
      <c r="L49" s="2"/>
    </row>
    <row r="50" spans="1:20" x14ac:dyDescent="0.25">
      <c r="A50" s="3" t="s">
        <v>2</v>
      </c>
      <c r="B50" s="4">
        <f>SUM(B46:B49)</f>
        <v>6.02</v>
      </c>
      <c r="C50" s="6">
        <f>SUMPRODUCT(C46:C49,D46:D49)/SUM(D46:D49)</f>
        <v>5.6985686570976624</v>
      </c>
      <c r="D50" s="6">
        <f>SUM(D46:D49)</f>
        <v>1.0564056278416492</v>
      </c>
      <c r="E50" s="54"/>
      <c r="F50" s="3" t="s">
        <v>2</v>
      </c>
      <c r="G50" s="4">
        <f>SUM(G46:G49)</f>
        <v>0</v>
      </c>
      <c r="H50" s="5"/>
      <c r="I50" s="6">
        <f>SUM(I46:I49)</f>
        <v>0</v>
      </c>
      <c r="J50" s="37"/>
      <c r="K50" s="3" t="s">
        <v>2</v>
      </c>
      <c r="L50" s="4">
        <f>SUM(L46:L49)</f>
        <v>0</v>
      </c>
    </row>
    <row r="53" spans="1:20" ht="15" customHeight="1" x14ac:dyDescent="0.25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7"/>
      <c r="N53" s="22"/>
      <c r="O53" s="7"/>
      <c r="P53" s="7"/>
      <c r="Q53" s="7"/>
      <c r="R53" s="7"/>
      <c r="S53" s="22"/>
      <c r="T53" s="7"/>
    </row>
    <row r="54" spans="1:20" x14ac:dyDescent="0.25">
      <c r="A54" s="53" t="s">
        <v>29</v>
      </c>
      <c r="B54" s="53"/>
      <c r="C54" s="53"/>
      <c r="D54" s="53"/>
      <c r="E54" s="54"/>
      <c r="F54" s="53" t="s">
        <v>30</v>
      </c>
      <c r="G54" s="53"/>
      <c r="H54" s="53"/>
      <c r="I54" s="53"/>
      <c r="J54" s="35"/>
      <c r="K54" s="53" t="s">
        <v>13</v>
      </c>
      <c r="L54" s="53"/>
      <c r="N54" s="22"/>
      <c r="O54" s="7"/>
      <c r="P54" s="7"/>
      <c r="Q54" s="7"/>
      <c r="R54" s="7"/>
      <c r="S54" s="22"/>
      <c r="T54" s="7"/>
    </row>
    <row r="55" spans="1:20" x14ac:dyDescent="0.25">
      <c r="A55" s="12" t="s">
        <v>17</v>
      </c>
      <c r="B55" s="3" t="s">
        <v>3</v>
      </c>
      <c r="C55" s="3" t="s">
        <v>0</v>
      </c>
      <c r="D55" s="3" t="s">
        <v>1</v>
      </c>
      <c r="E55" s="54"/>
      <c r="F55" s="12" t="s">
        <v>17</v>
      </c>
      <c r="G55" s="3" t="s">
        <v>32</v>
      </c>
      <c r="H55" s="3" t="s">
        <v>0</v>
      </c>
      <c r="I55" s="3" t="s">
        <v>1</v>
      </c>
      <c r="J55" s="35"/>
      <c r="K55" s="3" t="s">
        <v>17</v>
      </c>
      <c r="L55" s="3" t="s">
        <v>32</v>
      </c>
      <c r="N55" s="22"/>
      <c r="O55" s="7"/>
      <c r="P55" s="7"/>
      <c r="Q55" s="7"/>
      <c r="R55" s="7"/>
      <c r="S55" s="22"/>
      <c r="T55" s="7"/>
    </row>
    <row r="56" spans="1:20" x14ac:dyDescent="0.25">
      <c r="A56" s="42" t="str">
        <f>N5</f>
        <v>2025.04.10</v>
      </c>
      <c r="B56" s="4">
        <v>32.43</v>
      </c>
      <c r="C56" s="6">
        <v>8.4909999999999997</v>
      </c>
      <c r="D56" s="39">
        <f>B56/C56</f>
        <v>3.8193381227181722</v>
      </c>
      <c r="E56" s="54"/>
      <c r="F56" s="17"/>
      <c r="G56" s="5"/>
      <c r="H56" s="4"/>
      <c r="I56" s="5"/>
      <c r="J56" s="34"/>
      <c r="K56" s="17"/>
      <c r="L56" s="4"/>
    </row>
    <row r="57" spans="1:20" x14ac:dyDescent="0.25">
      <c r="A57" s="42" t="str">
        <f>N6</f>
        <v>2025.04.24</v>
      </c>
      <c r="B57" s="4">
        <v>3.22</v>
      </c>
      <c r="C57" s="6">
        <v>8.141</v>
      </c>
      <c r="D57" s="39">
        <f>B57/C57</f>
        <v>0.39552880481513331</v>
      </c>
      <c r="E57" s="54"/>
      <c r="F57" s="17"/>
      <c r="G57" s="5"/>
      <c r="H57" s="4"/>
      <c r="I57" s="5"/>
      <c r="J57" s="34"/>
      <c r="K57" s="17"/>
      <c r="L57" s="4"/>
    </row>
    <row r="58" spans="1:20" x14ac:dyDescent="0.25">
      <c r="A58" s="17"/>
      <c r="B58" s="18"/>
      <c r="C58" s="5"/>
      <c r="D58" s="39"/>
      <c r="E58" s="54"/>
      <c r="F58" s="17"/>
      <c r="G58" s="5"/>
      <c r="H58" s="4"/>
      <c r="I58" s="5"/>
      <c r="J58" s="34"/>
      <c r="K58" s="17"/>
      <c r="L58" s="4"/>
    </row>
    <row r="59" spans="1:20" ht="16.5" x14ac:dyDescent="0.3">
      <c r="A59" s="20"/>
      <c r="B59" s="4"/>
      <c r="C59" s="5"/>
      <c r="D59" s="6"/>
      <c r="E59" s="54"/>
      <c r="F59" s="20"/>
      <c r="G59" s="2"/>
      <c r="H59" s="2"/>
      <c r="I59" s="2"/>
      <c r="J59" s="36"/>
      <c r="K59" s="20"/>
      <c r="L59" s="2"/>
    </row>
    <row r="60" spans="1:20" x14ac:dyDescent="0.25">
      <c r="A60" s="3" t="s">
        <v>2</v>
      </c>
      <c r="B60" s="4">
        <f>SUM(B56:B59)</f>
        <v>35.65</v>
      </c>
      <c r="C60" s="6">
        <f>SUMPRODUCT(C56:C59,D56:D59)/SUM(D56:D59)</f>
        <v>8.4581555273119093</v>
      </c>
      <c r="D60" s="6">
        <f>SUM(D56:D59)</f>
        <v>4.2148669275333059</v>
      </c>
      <c r="E60" s="54"/>
      <c r="F60" s="3" t="s">
        <v>2</v>
      </c>
      <c r="G60" s="4">
        <f>SUM(G56:G59)</f>
        <v>0</v>
      </c>
      <c r="H60" s="5"/>
      <c r="I60" s="6">
        <f>SUM(I56:I59)</f>
        <v>0</v>
      </c>
      <c r="J60" s="37"/>
      <c r="K60" s="3" t="s">
        <v>2</v>
      </c>
      <c r="L60" s="4">
        <f>SUM(L56:L59)</f>
        <v>0</v>
      </c>
    </row>
  </sheetData>
  <mergeCells count="32">
    <mergeCell ref="A54:D54"/>
    <mergeCell ref="E54:E60"/>
    <mergeCell ref="F54:I54"/>
    <mergeCell ref="K54:L54"/>
    <mergeCell ref="A43:L43"/>
    <mergeCell ref="A44:D44"/>
    <mergeCell ref="E44:E50"/>
    <mergeCell ref="F44:I44"/>
    <mergeCell ref="K44:L44"/>
    <mergeCell ref="A53:L53"/>
    <mergeCell ref="A34:D34"/>
    <mergeCell ref="E34:E40"/>
    <mergeCell ref="F34:I34"/>
    <mergeCell ref="K34:L34"/>
    <mergeCell ref="A13:L13"/>
    <mergeCell ref="A14:D14"/>
    <mergeCell ref="E14:E20"/>
    <mergeCell ref="F14:I14"/>
    <mergeCell ref="K14:L14"/>
    <mergeCell ref="A23:L23"/>
    <mergeCell ref="A24:D24"/>
    <mergeCell ref="E24:E30"/>
    <mergeCell ref="F24:I24"/>
    <mergeCell ref="K24:L24"/>
    <mergeCell ref="A33:L33"/>
    <mergeCell ref="A2:L2"/>
    <mergeCell ref="N2:T2"/>
    <mergeCell ref="A3:D3"/>
    <mergeCell ref="E3:E9"/>
    <mergeCell ref="F3:I3"/>
    <mergeCell ref="K3:L3"/>
    <mergeCell ref="N3:T3"/>
  </mergeCells>
  <hyperlinks>
    <hyperlink ref="A13:L13" location="SGAS!A1" display="SGAS GY iShares MSCI USA ESG Screened" xr:uid="{A6D92258-4CF1-400C-9492-AE505FE2485D}"/>
    <hyperlink ref="A23:L23" location="SLMC!A1" display="SLMC GY iShares MSCI Europe ESG Screened" xr:uid="{87F66086-90AA-418E-A1BB-2F47E1472AB1}"/>
    <hyperlink ref="A33:L33" location="AYEM!A1" display="AYEM GY iShares MSCI EM IMI ESG Screened" xr:uid="{2088332C-C458-416D-B364-EECA29B77843}"/>
    <hyperlink ref="A43:L43" location="SGAJ!A1" display="SGAJ GY iShares MSCI Japan ESG Screened" xr:uid="{6E21EBC4-5A58-44D7-9427-9545ED68F1CB}"/>
    <hyperlink ref="A53:L53" location="EDMU!A1" display="EDMU GY iShares MSCI USA ESG Enhanced" xr:uid="{8FDCF214-169E-4832-B811-5467AEA452B0}"/>
  </hyperlinks>
  <pageMargins left="0.7" right="0.7" top="0.75" bottom="0.75" header="0.3" footer="0.3"/>
  <pageSetup orientation="portrait" r:id="rId1"/>
  <ignoredErrors>
    <ignoredError sqref="C20 C30 C40 C50 C6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Apžvalga</vt:lpstr>
      <vt:lpstr>SGAS</vt:lpstr>
      <vt:lpstr>SLMC</vt:lpstr>
      <vt:lpstr>AYEM</vt:lpstr>
      <vt:lpstr>SGAJ</vt:lpstr>
      <vt:lpstr>EDMU</vt:lpstr>
      <vt:lpstr>2026.07</vt:lpstr>
      <vt:lpstr>2026.06</vt:lpstr>
      <vt:lpstr>2026.05</vt:lpstr>
      <vt:lpstr>2026.04</vt:lpstr>
      <vt:lpstr>2026.03</vt:lpstr>
      <vt:lpstr>2026.02</vt:lpstr>
      <vt:lpstr>2026.01</vt:lpstr>
      <vt:lpstr>2025.12</vt:lpstr>
      <vt:lpstr>2025.11</vt:lpstr>
      <vt:lpstr>2025.10</vt:lpstr>
      <vt:lpstr>2025.09</vt:lpstr>
      <vt:lpstr>2025.08</vt:lpstr>
      <vt:lpstr>2025.07</vt:lpstr>
      <vt:lpstr>2025.06</vt:lpstr>
      <vt:lpstr>2025.05</vt:lpstr>
      <vt:lpstr>2025.04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2025-05-27T05:42:47Z</dcterms:created>
  <dcterms:modified xsi:type="dcterms:W3CDTF">2026-07-24T04:26:01Z</dcterms:modified>
</cp:coreProperties>
</file>