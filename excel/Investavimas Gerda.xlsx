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"/>
    </mc:Choice>
  </mc:AlternateContent>
  <xr:revisionPtr revIDLastSave="0" documentId="13_ncr:1_{B8CB3340-6486-4510-B236-EC1E19960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stavima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F7" i="7"/>
  <c r="N7" i="7"/>
  <c r="O7" i="7"/>
  <c r="Q7" i="7"/>
  <c r="Y7" i="7" s="1"/>
  <c r="V7" i="7"/>
  <c r="AD7" i="7"/>
  <c r="AE7" i="7"/>
  <c r="D6" i="7"/>
  <c r="F6" i="7"/>
  <c r="N6" i="7"/>
  <c r="O6" i="7"/>
  <c r="Q6" i="7"/>
  <c r="Y6" i="7" s="1"/>
  <c r="V6" i="7"/>
  <c r="AD6" i="7"/>
  <c r="AE6" i="7"/>
  <c r="AE3" i="7"/>
  <c r="D4" i="7"/>
  <c r="D5" i="7"/>
  <c r="D3" i="7"/>
  <c r="P7" i="7" l="1"/>
  <c r="W7" i="7"/>
  <c r="R7" i="7"/>
  <c r="W6" i="7"/>
  <c r="R6" i="7"/>
  <c r="Q5" i="7"/>
  <c r="Q4" i="7"/>
  <c r="Q3" i="7"/>
  <c r="O5" i="7"/>
  <c r="P6" i="7" s="1"/>
  <c r="O4" i="7"/>
  <c r="O3" i="7"/>
  <c r="P3" i="7" s="1"/>
  <c r="X7" i="7" l="1"/>
  <c r="T7" i="7"/>
  <c r="S7" i="7"/>
  <c r="Z7" i="7"/>
  <c r="Z6" i="7"/>
  <c r="AA6" i="7" s="1"/>
  <c r="S6" i="7"/>
  <c r="F5" i="7"/>
  <c r="N5" i="7"/>
  <c r="V5" i="7"/>
  <c r="AD5" i="7"/>
  <c r="AE5" i="7"/>
  <c r="F4" i="7"/>
  <c r="N4" i="7"/>
  <c r="V4" i="7"/>
  <c r="AD4" i="7"/>
  <c r="AE4" i="7"/>
  <c r="F3" i="7"/>
  <c r="N3" i="7"/>
  <c r="V3" i="7"/>
  <c r="AD3" i="7"/>
  <c r="AA7" i="7" l="1"/>
  <c r="AB7" i="7"/>
  <c r="P5" i="7"/>
  <c r="P4" i="7"/>
  <c r="Y5" i="7"/>
  <c r="W5" i="7"/>
  <c r="X6" i="7" s="1"/>
  <c r="R5" i="7"/>
  <c r="T6" i="7" s="1"/>
  <c r="Y4" i="7"/>
  <c r="W4" i="7"/>
  <c r="R4" i="7"/>
  <c r="R3" i="7"/>
  <c r="T3" i="7" s="1"/>
  <c r="Y3" i="7"/>
  <c r="W3" i="7"/>
  <c r="X3" i="7" s="1"/>
  <c r="X4" i="7" l="1"/>
  <c r="X5" i="7"/>
  <c r="Z5" i="7"/>
  <c r="AB6" i="7" s="1"/>
  <c r="T5" i="7"/>
  <c r="S5" i="7"/>
  <c r="Z4" i="7"/>
  <c r="AA4" i="7" s="1"/>
  <c r="S4" i="7"/>
  <c r="T4" i="7"/>
  <c r="S3" i="7"/>
  <c r="Z3" i="7"/>
  <c r="AA3" i="7" l="1"/>
  <c r="AB3" i="7"/>
  <c r="AB5" i="7"/>
  <c r="AA5" i="7"/>
  <c r="AB4" i="7"/>
  <c r="AD2" i="7" l="1"/>
  <c r="AE2" i="7"/>
</calcChain>
</file>

<file path=xl/sharedStrings.xml><?xml version="1.0" encoding="utf-8"?>
<sst xmlns="http://schemas.openxmlformats.org/spreadsheetml/2006/main" count="29" uniqueCount="11">
  <si>
    <t>Data</t>
  </si>
  <si>
    <t>Profitus</t>
  </si>
  <si>
    <t>Investuota</t>
  </si>
  <si>
    <t>Vertė</t>
  </si>
  <si>
    <t>%</t>
  </si>
  <si>
    <t>Per mėn.</t>
  </si>
  <si>
    <t>Prieaugis</t>
  </si>
  <si>
    <t>Įnešta</t>
  </si>
  <si>
    <t>Fondai</t>
  </si>
  <si>
    <t>P2P</t>
  </si>
  <si>
    <t>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</si>
</sst>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left"/>
    </xf>
    <xf numFmtId="2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2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0" fontId="0" fillId="0" borderId="3" xfId="0" applyNumberForma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workbookViewId="0">
      <pane ySplit="2" topLeftCell="A3" activePane="bottomLeft" state="frozen"/>
      <selection pane="bottomLeft" activeCell="Z14" sqref="Z14"/>
    </sheetView>
  </sheetViews>
  <sheetFormatPr defaultColWidth="10.7109375" defaultRowHeight="15" x14ac:dyDescent="0.25"/>
  <sheetData>
    <row r="1" spans="1:31" ht="15.75" thickBot="1" x14ac:dyDescent="0.3">
      <c r="A1" s="16" t="s">
        <v>0</v>
      </c>
      <c r="B1" s="19" t="s">
        <v>1</v>
      </c>
      <c r="C1" s="19"/>
      <c r="D1" s="19"/>
      <c r="E1" s="1"/>
      <c r="F1" s="18" t="s">
        <v>8</v>
      </c>
      <c r="G1" s="18"/>
      <c r="H1" s="18"/>
      <c r="I1" s="18"/>
      <c r="J1" s="18"/>
      <c r="K1" s="18"/>
      <c r="L1" s="18"/>
      <c r="M1" s="1"/>
      <c r="N1" s="18" t="s">
        <v>9</v>
      </c>
      <c r="O1" s="18"/>
      <c r="P1" s="18"/>
      <c r="Q1" s="18"/>
      <c r="R1" s="18"/>
      <c r="S1" s="18"/>
      <c r="T1" s="18"/>
      <c r="U1" s="9"/>
      <c r="V1" s="18" t="s">
        <v>10</v>
      </c>
      <c r="W1" s="18"/>
      <c r="X1" s="18"/>
      <c r="Y1" s="18"/>
      <c r="Z1" s="18"/>
      <c r="AA1" s="18"/>
      <c r="AB1" s="18"/>
      <c r="AC1" s="10"/>
      <c r="AD1" s="14"/>
      <c r="AE1" s="15"/>
    </row>
    <row r="2" spans="1:31" ht="15.75" thickBot="1" x14ac:dyDescent="0.3">
      <c r="A2" s="17"/>
      <c r="B2" s="3" t="s">
        <v>2</v>
      </c>
      <c r="C2" s="3" t="s">
        <v>3</v>
      </c>
      <c r="D2" s="3" t="s">
        <v>4</v>
      </c>
      <c r="E2" s="1"/>
      <c r="F2" s="8" t="s">
        <v>0</v>
      </c>
      <c r="G2" s="8" t="s">
        <v>7</v>
      </c>
      <c r="H2" s="8" t="s">
        <v>5</v>
      </c>
      <c r="I2" s="8" t="s">
        <v>3</v>
      </c>
      <c r="J2" s="8" t="s">
        <v>6</v>
      </c>
      <c r="K2" s="8" t="s">
        <v>4</v>
      </c>
      <c r="L2" s="8" t="s">
        <v>5</v>
      </c>
      <c r="M2" s="9"/>
      <c r="N2" s="8" t="s">
        <v>0</v>
      </c>
      <c r="O2" s="8" t="s">
        <v>7</v>
      </c>
      <c r="P2" s="8" t="s">
        <v>5</v>
      </c>
      <c r="Q2" s="8" t="s">
        <v>3</v>
      </c>
      <c r="R2" s="8" t="s">
        <v>6</v>
      </c>
      <c r="S2" s="8" t="s">
        <v>4</v>
      </c>
      <c r="T2" s="8" t="s">
        <v>5</v>
      </c>
      <c r="U2" s="9"/>
      <c r="V2" s="8" t="s">
        <v>0</v>
      </c>
      <c r="W2" s="8" t="s">
        <v>7</v>
      </c>
      <c r="X2" s="8" t="s">
        <v>5</v>
      </c>
      <c r="Y2" s="8" t="s">
        <v>3</v>
      </c>
      <c r="Z2" s="8" t="s">
        <v>6</v>
      </c>
      <c r="AA2" s="8" t="s">
        <v>4</v>
      </c>
      <c r="AB2" s="8" t="s">
        <v>5</v>
      </c>
      <c r="AD2" s="3" t="str">
        <f>A1</f>
        <v>Data</v>
      </c>
      <c r="AE2" s="3" t="str">
        <f>B1</f>
        <v>Profitus</v>
      </c>
    </row>
    <row r="3" spans="1:31" x14ac:dyDescent="0.25">
      <c r="A3" s="5">
        <v>46173</v>
      </c>
      <c r="B3" s="11">
        <v>200.31</v>
      </c>
      <c r="C3" s="12">
        <v>200.31</v>
      </c>
      <c r="D3" s="13">
        <f>(C3-B3)/B3</f>
        <v>0</v>
      </c>
      <c r="F3" s="4">
        <f>A3</f>
        <v>46173</v>
      </c>
      <c r="G3" s="2"/>
      <c r="H3" s="2"/>
      <c r="I3" s="2"/>
      <c r="J3" s="2"/>
      <c r="K3" s="7"/>
      <c r="L3" s="2"/>
      <c r="M3" s="6"/>
      <c r="N3" s="4">
        <f t="shared" ref="N3:O5" si="0">A3</f>
        <v>46173</v>
      </c>
      <c r="O3" s="2">
        <f t="shared" si="0"/>
        <v>200.31</v>
      </c>
      <c r="P3" s="2">
        <f>O3</f>
        <v>200.31</v>
      </c>
      <c r="Q3" s="2">
        <f>C3</f>
        <v>200.31</v>
      </c>
      <c r="R3" s="2">
        <f t="shared" ref="R3" si="1">Q3-O3</f>
        <v>0</v>
      </c>
      <c r="S3" s="7">
        <f t="shared" ref="S3" si="2">R3/O3</f>
        <v>0</v>
      </c>
      <c r="T3" s="2">
        <f>R3</f>
        <v>0</v>
      </c>
      <c r="U3" s="6"/>
      <c r="V3" s="4">
        <f>A3</f>
        <v>46173</v>
      </c>
      <c r="W3" s="2">
        <f t="shared" ref="W3" si="3">G3+O3</f>
        <v>200.31</v>
      </c>
      <c r="X3" s="2">
        <f>W3</f>
        <v>200.31</v>
      </c>
      <c r="Y3" s="2">
        <f t="shared" ref="Y3" si="4">I3+Q3</f>
        <v>200.31</v>
      </c>
      <c r="Z3" s="2">
        <f t="shared" ref="Z3" si="5">Y3-W3</f>
        <v>0</v>
      </c>
      <c r="AA3" s="7">
        <f t="shared" ref="AA3" si="6">Z3/W3</f>
        <v>0</v>
      </c>
      <c r="AB3" s="2">
        <f>Z3</f>
        <v>0</v>
      </c>
      <c r="AD3" s="4">
        <f>A3</f>
        <v>46173</v>
      </c>
      <c r="AE3" s="2">
        <f>(C3-B3)</f>
        <v>0</v>
      </c>
    </row>
    <row r="4" spans="1:31" x14ac:dyDescent="0.25">
      <c r="A4" s="5">
        <v>46203</v>
      </c>
      <c r="B4" s="11">
        <v>200.31</v>
      </c>
      <c r="C4" s="12">
        <v>240.3</v>
      </c>
      <c r="D4" s="13">
        <f t="shared" ref="D4:D5" si="7">(C4-B4)/B4</f>
        <v>0.19964055713643855</v>
      </c>
      <c r="F4" s="4">
        <f>A4</f>
        <v>46203</v>
      </c>
      <c r="G4" s="2"/>
      <c r="H4" s="2"/>
      <c r="I4" s="2"/>
      <c r="J4" s="2"/>
      <c r="K4" s="7"/>
      <c r="L4" s="2"/>
      <c r="M4" s="6"/>
      <c r="N4" s="4">
        <f t="shared" si="0"/>
        <v>46203</v>
      </c>
      <c r="O4" s="2">
        <f t="shared" si="0"/>
        <v>200.31</v>
      </c>
      <c r="P4" s="2">
        <f t="shared" ref="P4" si="8">O4-O3</f>
        <v>0</v>
      </c>
      <c r="Q4" s="2">
        <f>C4</f>
        <v>240.3</v>
      </c>
      <c r="R4" s="2">
        <f t="shared" ref="R4" si="9">Q4-O4</f>
        <v>39.990000000000009</v>
      </c>
      <c r="S4" s="7">
        <f t="shared" ref="S4" si="10">R4/O4</f>
        <v>0.19964055713643855</v>
      </c>
      <c r="T4" s="2">
        <f t="shared" ref="T4" si="11">R4-R3</f>
        <v>39.990000000000009</v>
      </c>
      <c r="U4" s="6"/>
      <c r="V4" s="4">
        <f>A4</f>
        <v>46203</v>
      </c>
      <c r="W4" s="2">
        <f t="shared" ref="W4" si="12">G4+O4</f>
        <v>200.31</v>
      </c>
      <c r="X4" s="2">
        <f t="shared" ref="X4" si="13">W4-W3</f>
        <v>0</v>
      </c>
      <c r="Y4" s="2">
        <f t="shared" ref="Y4" si="14">I4+Q4</f>
        <v>240.3</v>
      </c>
      <c r="Z4" s="2">
        <f t="shared" ref="Z4" si="15">Y4-W4</f>
        <v>39.990000000000009</v>
      </c>
      <c r="AA4" s="7">
        <f t="shared" ref="AA4" si="16">Z4/W4</f>
        <v>0.19964055713643855</v>
      </c>
      <c r="AB4" s="2">
        <f t="shared" ref="AB4" si="17">Z4-Z3</f>
        <v>39.990000000000009</v>
      </c>
      <c r="AD4" s="4">
        <f>A4</f>
        <v>46203</v>
      </c>
      <c r="AE4" s="2">
        <f>(C4-B4)-(C3-B3)</f>
        <v>39.990000000000009</v>
      </c>
    </row>
    <row r="5" spans="1:31" x14ac:dyDescent="0.25">
      <c r="A5" s="5">
        <v>46234</v>
      </c>
      <c r="B5" s="11">
        <v>200.31</v>
      </c>
      <c r="C5" s="12">
        <v>240.3</v>
      </c>
      <c r="D5" s="13">
        <f t="shared" si="7"/>
        <v>0.19964055713643855</v>
      </c>
      <c r="F5" s="4">
        <f>A5</f>
        <v>46234</v>
      </c>
      <c r="G5" s="2"/>
      <c r="H5" s="2"/>
      <c r="I5" s="2"/>
      <c r="J5" s="2"/>
      <c r="K5" s="7"/>
      <c r="L5" s="2"/>
      <c r="M5" s="6"/>
      <c r="N5" s="4">
        <f t="shared" si="0"/>
        <v>46234</v>
      </c>
      <c r="O5" s="2">
        <f t="shared" si="0"/>
        <v>200.31</v>
      </c>
      <c r="P5" s="2">
        <f t="shared" ref="P5" si="18">O5-O4</f>
        <v>0</v>
      </c>
      <c r="Q5" s="2">
        <f>C5</f>
        <v>240.3</v>
      </c>
      <c r="R5" s="2">
        <f t="shared" ref="R5" si="19">Q5-O5</f>
        <v>39.990000000000009</v>
      </c>
      <c r="S5" s="7">
        <f t="shared" ref="S5" si="20">R5/O5</f>
        <v>0.19964055713643855</v>
      </c>
      <c r="T5" s="2">
        <f t="shared" ref="T5" si="21">R5-R4</f>
        <v>0</v>
      </c>
      <c r="U5" s="6"/>
      <c r="V5" s="4">
        <f>A5</f>
        <v>46234</v>
      </c>
      <c r="W5" s="2">
        <f t="shared" ref="W5" si="22">G5+O5</f>
        <v>200.31</v>
      </c>
      <c r="X5" s="2">
        <f t="shared" ref="X5" si="23">W5-W4</f>
        <v>0</v>
      </c>
      <c r="Y5" s="2">
        <f t="shared" ref="Y5" si="24">I5+Q5</f>
        <v>240.3</v>
      </c>
      <c r="Z5" s="2">
        <f t="shared" ref="Z5" si="25">Y5-W5</f>
        <v>39.990000000000009</v>
      </c>
      <c r="AA5" s="7">
        <f t="shared" ref="AA5" si="26">Z5/W5</f>
        <v>0.19964055713643855</v>
      </c>
      <c r="AB5" s="2">
        <f t="shared" ref="AB5" si="27">Z5-Z4</f>
        <v>0</v>
      </c>
      <c r="AD5" s="4">
        <f>A5</f>
        <v>46234</v>
      </c>
      <c r="AE5" s="2">
        <f>(C5-B5)-(C4-B4)</f>
        <v>0</v>
      </c>
    </row>
    <row r="6" spans="1:31" x14ac:dyDescent="0.25">
      <c r="A6" s="5">
        <v>46265</v>
      </c>
      <c r="B6" s="11">
        <v>350.31</v>
      </c>
      <c r="C6" s="12">
        <v>392.56</v>
      </c>
      <c r="D6" s="13">
        <f t="shared" ref="D6" si="28">(C6-B6)/B6</f>
        <v>0.12060746196226199</v>
      </c>
      <c r="F6" s="4">
        <f>A6</f>
        <v>46265</v>
      </c>
      <c r="G6" s="2"/>
      <c r="H6" s="2"/>
      <c r="I6" s="2"/>
      <c r="J6" s="2"/>
      <c r="K6" s="7"/>
      <c r="L6" s="2"/>
      <c r="M6" s="6"/>
      <c r="N6" s="4">
        <f t="shared" ref="N6" si="29">A6</f>
        <v>46265</v>
      </c>
      <c r="O6" s="2">
        <f t="shared" ref="O6" si="30">B6</f>
        <v>350.31</v>
      </c>
      <c r="P6" s="2">
        <f t="shared" ref="P6" si="31">O6-O5</f>
        <v>150</v>
      </c>
      <c r="Q6" s="2">
        <f>C6</f>
        <v>392.56</v>
      </c>
      <c r="R6" s="2">
        <f t="shared" ref="R6" si="32">Q6-O6</f>
        <v>42.25</v>
      </c>
      <c r="S6" s="7">
        <f t="shared" ref="S6" si="33">R6/O6</f>
        <v>0.12060746196226199</v>
      </c>
      <c r="T6" s="2">
        <f t="shared" ref="T6" si="34">R6-R5</f>
        <v>2.2599999999999909</v>
      </c>
      <c r="U6" s="6"/>
      <c r="V6" s="4">
        <f>A6</f>
        <v>46265</v>
      </c>
      <c r="W6" s="2">
        <f t="shared" ref="W6" si="35">G6+O6</f>
        <v>350.31</v>
      </c>
      <c r="X6" s="2">
        <f t="shared" ref="X6" si="36">W6-W5</f>
        <v>150</v>
      </c>
      <c r="Y6" s="2">
        <f t="shared" ref="Y6" si="37">I6+Q6</f>
        <v>392.56</v>
      </c>
      <c r="Z6" s="2">
        <f t="shared" ref="Z6" si="38">Y6-W6</f>
        <v>42.25</v>
      </c>
      <c r="AA6" s="7">
        <f t="shared" ref="AA6" si="39">Z6/W6</f>
        <v>0.12060746196226199</v>
      </c>
      <c r="AB6" s="2">
        <f t="shared" ref="AB6" si="40">Z6-Z5</f>
        <v>2.2599999999999909</v>
      </c>
      <c r="AD6" s="4">
        <f>A6</f>
        <v>46265</v>
      </c>
      <c r="AE6" s="2">
        <f>(C6-B6)-(C5-B5)</f>
        <v>2.2599999999999909</v>
      </c>
    </row>
    <row r="7" spans="1:31" x14ac:dyDescent="0.25">
      <c r="A7" s="5">
        <v>46295</v>
      </c>
      <c r="B7" s="11">
        <v>350.31</v>
      </c>
      <c r="C7" s="12">
        <v>395.61</v>
      </c>
      <c r="D7" s="13">
        <f t="shared" ref="D7" si="41">(C7-B7)/B7</f>
        <v>0.12931403613941941</v>
      </c>
      <c r="F7" s="4">
        <f>A7</f>
        <v>46295</v>
      </c>
      <c r="G7" s="2"/>
      <c r="H7" s="2"/>
      <c r="I7" s="2"/>
      <c r="J7" s="2"/>
      <c r="K7" s="7"/>
      <c r="L7" s="2"/>
      <c r="M7" s="6"/>
      <c r="N7" s="4">
        <f t="shared" ref="N7" si="42">A7</f>
        <v>46295</v>
      </c>
      <c r="O7" s="2">
        <f t="shared" ref="O7" si="43">B7</f>
        <v>350.31</v>
      </c>
      <c r="P7" s="2">
        <f t="shared" ref="P7" si="44">O7-O6</f>
        <v>0</v>
      </c>
      <c r="Q7" s="2">
        <f>C7</f>
        <v>395.61</v>
      </c>
      <c r="R7" s="2">
        <f t="shared" ref="R7" si="45">Q7-O7</f>
        <v>45.300000000000011</v>
      </c>
      <c r="S7" s="7">
        <f t="shared" ref="S7" si="46">R7/O7</f>
        <v>0.12931403613941941</v>
      </c>
      <c r="T7" s="2">
        <f t="shared" ref="T7" si="47">R7-R6</f>
        <v>3.0500000000000114</v>
      </c>
      <c r="U7" s="6"/>
      <c r="V7" s="4">
        <f>A7</f>
        <v>46295</v>
      </c>
      <c r="W7" s="2">
        <f t="shared" ref="W7" si="48">G7+O7</f>
        <v>350.31</v>
      </c>
      <c r="X7" s="2">
        <f t="shared" ref="X7" si="49">W7-W6</f>
        <v>0</v>
      </c>
      <c r="Y7" s="2">
        <f t="shared" ref="Y7" si="50">I7+Q7</f>
        <v>395.61</v>
      </c>
      <c r="Z7" s="2">
        <f t="shared" ref="Z7" si="51">Y7-W7</f>
        <v>45.300000000000011</v>
      </c>
      <c r="AA7" s="7">
        <f t="shared" ref="AA7" si="52">Z7/W7</f>
        <v>0.12931403613941941</v>
      </c>
      <c r="AB7" s="2">
        <f t="shared" ref="AB7" si="53">Z7-Z6</f>
        <v>3.0500000000000114</v>
      </c>
      <c r="AD7" s="4">
        <f>A7</f>
        <v>46295</v>
      </c>
      <c r="AE7" s="2">
        <f>(C7-B7)-(C6-B6)</f>
        <v>3.0500000000000114</v>
      </c>
    </row>
  </sheetData>
  <mergeCells count="6">
    <mergeCell ref="AD1:AE1"/>
    <mergeCell ref="A1:A2"/>
    <mergeCell ref="F1:L1"/>
    <mergeCell ref="B1:D1"/>
    <mergeCell ref="N1:T1"/>
    <mergeCell ref="V1:AB1"/>
  </mergeCells>
  <phoneticPr fontId="1" type="noConversion"/>
  <pageMargins left="0.7" right="0.7" top="0.75" bottom="0.75" header="0.3" footer="0.3"/>
  <pageSetup orientation="portrait" r:id="rId1"/>
  <ignoredErrors>
    <ignoredError sqref="X3:X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Investavimas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2025-03-13T14:17:49Z</dcterms:created>
  <dcterms:modified xsi:type="dcterms:W3CDTF">2026-10-01T18:21:22Z</dcterms:modified>
</cp:coreProperties>
</file>