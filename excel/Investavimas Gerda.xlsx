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"/>
    </mc:Choice>
  </mc:AlternateContent>
  <xr:revisionPtr revIDLastSave="0" documentId="13_ncr:1_{8F97F47C-E2F0-4B1A-9545-7633BC74531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" i="7" l="1"/>
  <c r="D4" i="7"/>
  <c r="D5" i="7"/>
  <c r="D3" i="7"/>
  <c r="Q5" i="7" l="1"/>
  <c r="Q4" i="7"/>
  <c r="Q3" i="7"/>
  <c r="O5" i="7"/>
  <c r="O4" i="7"/>
  <c r="O3" i="7"/>
  <c r="P3" i="7" s="1"/>
  <c r="F5" i="7" l="1"/>
  <c r="N5" i="7"/>
  <c r="V5" i="7"/>
  <c r="AD5" i="7"/>
  <c r="AE5" i="7"/>
  <c r="F4" i="7"/>
  <c r="N4" i="7"/>
  <c r="V4" i="7"/>
  <c r="AD4" i="7"/>
  <c r="AE4" i="7"/>
  <c r="F3" i="7"/>
  <c r="N3" i="7"/>
  <c r="V3" i="7"/>
  <c r="AD3" i="7"/>
  <c r="P5" i="7" l="1"/>
  <c r="P4" i="7"/>
  <c r="Y5" i="7"/>
  <c r="W5" i="7"/>
  <c r="R5" i="7"/>
  <c r="Y4" i="7"/>
  <c r="W4" i="7"/>
  <c r="R4" i="7"/>
  <c r="R3" i="7"/>
  <c r="T3" i="7" s="1"/>
  <c r="Y3" i="7"/>
  <c r="W3" i="7"/>
  <c r="X3" i="7" s="1"/>
  <c r="X4" i="7" l="1"/>
  <c r="X5" i="7"/>
  <c r="Z5" i="7"/>
  <c r="T5" i="7"/>
  <c r="S5" i="7"/>
  <c r="Z4" i="7"/>
  <c r="AA4" i="7" s="1"/>
  <c r="S4" i="7"/>
  <c r="T4" i="7"/>
  <c r="S3" i="7"/>
  <c r="Z3" i="7"/>
  <c r="AA3" i="7" l="1"/>
  <c r="AB3" i="7"/>
  <c r="AB5" i="7"/>
  <c r="AA5" i="7"/>
  <c r="AB4" i="7"/>
  <c r="AD2" i="7" l="1"/>
  <c r="AE2" i="7"/>
</calcChain>
</file>

<file path=xl/sharedStrings.xml><?xml version="1.0" encoding="utf-8"?>
<sst xmlns="http://schemas.openxmlformats.org/spreadsheetml/2006/main" count="29" uniqueCount="11">
  <si>
    <t>Data</t>
  </si>
  <si>
    <t>Profitus</t>
  </si>
  <si>
    <t>Investuota</t>
  </si>
  <si>
    <t>Vertė</t>
  </si>
  <si>
    <t>%</t>
  </si>
  <si>
    <t>Per mėn.</t>
  </si>
  <si>
    <t>Prieaugis</t>
  </si>
  <si>
    <t>Įnešta</t>
  </si>
  <si>
    <t>Fondai</t>
  </si>
  <si>
    <t>P2P</t>
  </si>
  <si>
    <t>Viso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</si>
</sst>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left"/>
    </xf>
    <xf numFmtId="2" fontId="0" fillId="0" borderId="0" xfId="0" applyNumberFormat="1" applyAlignment="1">
      <alignment horizontal="center"/>
    </xf>
    <xf numFmtId="10" fontId="0" fillId="0" borderId="1" xfId="0" applyNumberForma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0" fillId="0" borderId="2" xfId="0" applyNumberForma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10" fontId="0" fillId="0" borderId="3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5"/>
  <sheetViews>
    <sheetView tabSelected="1" workbookViewId="0">
      <pane ySplit="2" topLeftCell="A3" activePane="bottomLeft" state="frozen"/>
      <selection pane="bottomLeft" activeCell="AE12" sqref="AE12"/>
    </sheetView>
  </sheetViews>
  <sheetFormatPr defaultColWidth="10.7109375" defaultRowHeight="15" x14ac:dyDescent="0.25"/>
  <sheetData>
    <row r="1" spans="1:31" ht="15.75" thickBot="1" x14ac:dyDescent="0.3">
      <c r="A1" s="13" t="s">
        <v>0</v>
      </c>
      <c r="B1" s="15" t="s">
        <v>1</v>
      </c>
      <c r="C1" s="15"/>
      <c r="D1" s="15"/>
      <c r="E1" s="1"/>
      <c r="F1" s="16" t="s">
        <v>8</v>
      </c>
      <c r="G1" s="16"/>
      <c r="H1" s="16"/>
      <c r="I1" s="16"/>
      <c r="J1" s="16"/>
      <c r="K1" s="16"/>
      <c r="L1" s="16"/>
      <c r="M1" s="1"/>
      <c r="N1" s="16" t="s">
        <v>9</v>
      </c>
      <c r="O1" s="16"/>
      <c r="P1" s="16"/>
      <c r="Q1" s="16"/>
      <c r="R1" s="16"/>
      <c r="S1" s="16"/>
      <c r="T1" s="16"/>
      <c r="U1" s="9"/>
      <c r="V1" s="16" t="s">
        <v>10</v>
      </c>
      <c r="W1" s="16"/>
      <c r="X1" s="16"/>
      <c r="Y1" s="16"/>
      <c r="Z1" s="16"/>
      <c r="AA1" s="16"/>
      <c r="AB1" s="16"/>
      <c r="AC1" s="10"/>
      <c r="AD1" s="11"/>
      <c r="AE1" s="12"/>
    </row>
    <row r="2" spans="1:31" ht="15.75" thickBot="1" x14ac:dyDescent="0.3">
      <c r="A2" s="14"/>
      <c r="B2" s="3" t="s">
        <v>2</v>
      </c>
      <c r="C2" s="3" t="s">
        <v>3</v>
      </c>
      <c r="D2" s="3" t="s">
        <v>4</v>
      </c>
      <c r="E2" s="1"/>
      <c r="F2" s="8" t="s">
        <v>0</v>
      </c>
      <c r="G2" s="8" t="s">
        <v>7</v>
      </c>
      <c r="H2" s="8" t="s">
        <v>5</v>
      </c>
      <c r="I2" s="8" t="s">
        <v>3</v>
      </c>
      <c r="J2" s="8" t="s">
        <v>6</v>
      </c>
      <c r="K2" s="8" t="s">
        <v>4</v>
      </c>
      <c r="L2" s="8" t="s">
        <v>5</v>
      </c>
      <c r="M2" s="9"/>
      <c r="N2" s="8" t="s">
        <v>0</v>
      </c>
      <c r="O2" s="8" t="s">
        <v>7</v>
      </c>
      <c r="P2" s="8" t="s">
        <v>5</v>
      </c>
      <c r="Q2" s="8" t="s">
        <v>3</v>
      </c>
      <c r="R2" s="8" t="s">
        <v>6</v>
      </c>
      <c r="S2" s="8" t="s">
        <v>4</v>
      </c>
      <c r="T2" s="8" t="s">
        <v>5</v>
      </c>
      <c r="U2" s="9"/>
      <c r="V2" s="8" t="s">
        <v>0</v>
      </c>
      <c r="W2" s="8" t="s">
        <v>7</v>
      </c>
      <c r="X2" s="8" t="s">
        <v>5</v>
      </c>
      <c r="Y2" s="8" t="s">
        <v>3</v>
      </c>
      <c r="Z2" s="8" t="s">
        <v>6</v>
      </c>
      <c r="AA2" s="8" t="s">
        <v>4</v>
      </c>
      <c r="AB2" s="8" t="s">
        <v>5</v>
      </c>
      <c r="AD2" s="3" t="str">
        <f>A1</f>
        <v>Data</v>
      </c>
      <c r="AE2" s="3" t="str">
        <f>B1</f>
        <v>Profitus</v>
      </c>
    </row>
    <row r="3" spans="1:31" x14ac:dyDescent="0.25">
      <c r="A3" s="5">
        <v>46173</v>
      </c>
      <c r="B3" s="17">
        <v>106.34</v>
      </c>
      <c r="C3" s="18">
        <v>106.34</v>
      </c>
      <c r="D3" s="19">
        <f>(C3-B3)/B3</f>
        <v>0</v>
      </c>
      <c r="F3" s="4">
        <f>A3</f>
        <v>46173</v>
      </c>
      <c r="G3" s="2"/>
      <c r="H3" s="2"/>
      <c r="I3" s="2"/>
      <c r="J3" s="2"/>
      <c r="K3" s="7"/>
      <c r="L3" s="2"/>
      <c r="M3" s="6"/>
      <c r="N3" s="4">
        <f>A3</f>
        <v>46173</v>
      </c>
      <c r="O3" s="2">
        <f>B3</f>
        <v>106.34</v>
      </c>
      <c r="P3" s="2">
        <f>O3</f>
        <v>106.34</v>
      </c>
      <c r="Q3" s="2">
        <f>C3</f>
        <v>106.34</v>
      </c>
      <c r="R3" s="2">
        <f t="shared" ref="R3" si="0">Q3-O3</f>
        <v>0</v>
      </c>
      <c r="S3" s="7">
        <f t="shared" ref="S3" si="1">R3/O3</f>
        <v>0</v>
      </c>
      <c r="T3" s="2">
        <f>R3</f>
        <v>0</v>
      </c>
      <c r="U3" s="6"/>
      <c r="V3" s="4">
        <f>A3</f>
        <v>46173</v>
      </c>
      <c r="W3" s="2">
        <f t="shared" ref="W3" si="2">G3+O3</f>
        <v>106.34</v>
      </c>
      <c r="X3" s="2">
        <f>W3</f>
        <v>106.34</v>
      </c>
      <c r="Y3" s="2">
        <f t="shared" ref="Y3" si="3">I3+Q3</f>
        <v>106.34</v>
      </c>
      <c r="Z3" s="2">
        <f t="shared" ref="Z3" si="4">Y3-W3</f>
        <v>0</v>
      </c>
      <c r="AA3" s="7">
        <f t="shared" ref="AA3" si="5">Z3/W3</f>
        <v>0</v>
      </c>
      <c r="AB3" s="2">
        <f>Z3</f>
        <v>0</v>
      </c>
      <c r="AD3" s="4">
        <f>A3</f>
        <v>46173</v>
      </c>
      <c r="AE3" s="2">
        <f>(C3-B3)</f>
        <v>0</v>
      </c>
    </row>
    <row r="4" spans="1:31" x14ac:dyDescent="0.25">
      <c r="A4" s="5">
        <v>46203</v>
      </c>
      <c r="B4" s="17">
        <v>215.3</v>
      </c>
      <c r="C4" s="18">
        <v>240.3</v>
      </c>
      <c r="D4" s="19">
        <f t="shared" ref="D4:D5" si="6">(C4-B4)/B4</f>
        <v>0.1161170459823502</v>
      </c>
      <c r="F4" s="4">
        <f>A4</f>
        <v>46203</v>
      </c>
      <c r="G4" s="2"/>
      <c r="H4" s="2"/>
      <c r="I4" s="2"/>
      <c r="J4" s="2"/>
      <c r="K4" s="7"/>
      <c r="L4" s="2"/>
      <c r="M4" s="6"/>
      <c r="N4" s="4">
        <f>A4</f>
        <v>46203</v>
      </c>
      <c r="O4" s="2">
        <f>B4</f>
        <v>215.3</v>
      </c>
      <c r="P4" s="2">
        <f t="shared" ref="P4" si="7">O4-O3</f>
        <v>108.96000000000001</v>
      </c>
      <c r="Q4" s="2">
        <f>C4</f>
        <v>240.3</v>
      </c>
      <c r="R4" s="2">
        <f t="shared" ref="R4" si="8">Q4-O4</f>
        <v>25</v>
      </c>
      <c r="S4" s="7">
        <f t="shared" ref="S4" si="9">R4/O4</f>
        <v>0.1161170459823502</v>
      </c>
      <c r="T4" s="2">
        <f t="shared" ref="T4" si="10">R4-R3</f>
        <v>25</v>
      </c>
      <c r="U4" s="6"/>
      <c r="V4" s="4">
        <f>A4</f>
        <v>46203</v>
      </c>
      <c r="W4" s="2">
        <f t="shared" ref="W4" si="11">G4+O4</f>
        <v>215.3</v>
      </c>
      <c r="X4" s="2">
        <f t="shared" ref="X4" si="12">W4-W3</f>
        <v>108.96000000000001</v>
      </c>
      <c r="Y4" s="2">
        <f t="shared" ref="Y4" si="13">I4+Q4</f>
        <v>240.3</v>
      </c>
      <c r="Z4" s="2">
        <f t="shared" ref="Z4" si="14">Y4-W4</f>
        <v>25</v>
      </c>
      <c r="AA4" s="7">
        <f t="shared" ref="AA4" si="15">Z4/W4</f>
        <v>0.1161170459823502</v>
      </c>
      <c r="AB4" s="2">
        <f t="shared" ref="AB4" si="16">Z4-Z3</f>
        <v>25</v>
      </c>
      <c r="AD4" s="4">
        <f>A4</f>
        <v>46203</v>
      </c>
      <c r="AE4" s="2">
        <f>(C4-B4)-(C3-B3)</f>
        <v>25</v>
      </c>
    </row>
    <row r="5" spans="1:31" x14ac:dyDescent="0.25">
      <c r="A5" s="5">
        <v>46234</v>
      </c>
      <c r="B5" s="17">
        <v>215.3</v>
      </c>
      <c r="C5" s="18">
        <v>240.3</v>
      </c>
      <c r="D5" s="19">
        <f t="shared" si="6"/>
        <v>0.1161170459823502</v>
      </c>
      <c r="F5" s="4">
        <f>A5</f>
        <v>46234</v>
      </c>
      <c r="G5" s="2"/>
      <c r="H5" s="2"/>
      <c r="I5" s="2"/>
      <c r="J5" s="2"/>
      <c r="K5" s="7"/>
      <c r="L5" s="2"/>
      <c r="M5" s="6"/>
      <c r="N5" s="4">
        <f>A5</f>
        <v>46234</v>
      </c>
      <c r="O5" s="2">
        <f>B5</f>
        <v>215.3</v>
      </c>
      <c r="P5" s="2">
        <f t="shared" ref="P5" si="17">O5-O4</f>
        <v>0</v>
      </c>
      <c r="Q5" s="2">
        <f>C5</f>
        <v>240.3</v>
      </c>
      <c r="R5" s="2">
        <f t="shared" ref="R5" si="18">Q5-O5</f>
        <v>25</v>
      </c>
      <c r="S5" s="7">
        <f t="shared" ref="S5" si="19">R5/O5</f>
        <v>0.1161170459823502</v>
      </c>
      <c r="T5" s="2">
        <f t="shared" ref="T5" si="20">R5-R4</f>
        <v>0</v>
      </c>
      <c r="U5" s="6"/>
      <c r="V5" s="4">
        <f>A5</f>
        <v>46234</v>
      </c>
      <c r="W5" s="2">
        <f t="shared" ref="W5" si="21">G5+O5</f>
        <v>215.3</v>
      </c>
      <c r="X5" s="2">
        <f t="shared" ref="X5" si="22">W5-W4</f>
        <v>0</v>
      </c>
      <c r="Y5" s="2">
        <f t="shared" ref="Y5" si="23">I5+Q5</f>
        <v>240.3</v>
      </c>
      <c r="Z5" s="2">
        <f t="shared" ref="Z5" si="24">Y5-W5</f>
        <v>25</v>
      </c>
      <c r="AA5" s="7">
        <f t="shared" ref="AA5" si="25">Z5/W5</f>
        <v>0.1161170459823502</v>
      </c>
      <c r="AB5" s="2">
        <f t="shared" ref="AB5" si="26">Z5-Z4</f>
        <v>0</v>
      </c>
      <c r="AD5" s="4">
        <f>A5</f>
        <v>46234</v>
      </c>
      <c r="AE5" s="2">
        <f>(C5-B5)-(C4-B4)</f>
        <v>0</v>
      </c>
    </row>
  </sheetData>
  <mergeCells count="6">
    <mergeCell ref="AD1:AE1"/>
    <mergeCell ref="A1:A2"/>
    <mergeCell ref="F1:L1"/>
    <mergeCell ref="B1:D1"/>
    <mergeCell ref="N1:T1"/>
    <mergeCell ref="V1:AB1"/>
  </mergeCells>
  <phoneticPr fontId="1" type="noConversion"/>
  <pageMargins left="0.7" right="0.7" top="0.75" bottom="0.75" header="0.3" footer="0.3"/>
  <pageSetup orientation="portrait" r:id="rId1"/>
  <ignoredErrors>
    <ignoredError sqref="X3:X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Investavimas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2026-08-02T11:10:32Z</dcterms:modified>
</cp:coreProperties>
</file>