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Twino\"/>
    </mc:Choice>
  </mc:AlternateContent>
  <xr:revisionPtr revIDLastSave="0" documentId="13_ncr:1_{CCE7E6BB-AB73-4FAC-BCBC-7749EE31EF4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Pinigai" sheetId="15" r:id="rId2"/>
    <sheet name="8572f54e...85fb68b6201e" sheetId="24" r:id="rId3"/>
    <sheet name="6a67a901...550919b8d681" sheetId="1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A200" i="15" l="1"/>
  <c r="K2" i="15"/>
  <c r="F4" i="14"/>
  <c r="I4" i="1" l="1"/>
  <c r="H4" i="1"/>
  <c r="G4" i="1"/>
  <c r="C4" i="1"/>
  <c r="B4" i="1"/>
  <c r="I3" i="1" l="1"/>
  <c r="H3" i="1"/>
  <c r="G3" i="1"/>
  <c r="B3" i="1"/>
  <c r="I53" i="24"/>
  <c r="M3" i="24" s="1"/>
  <c r="O4" i="1" s="1"/>
  <c r="H53" i="24"/>
  <c r="L3" i="24" s="1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L3" i="14" s="1"/>
  <c r="I53" i="14"/>
  <c r="M3" i="14" s="1"/>
  <c r="O3" i="1" s="1"/>
  <c r="G53" i="14"/>
  <c r="K3" i="14" s="1"/>
  <c r="Q3" i="14" s="1"/>
  <c r="B8" i="14"/>
  <c r="F3" i="1" s="1"/>
  <c r="AA3" i="1" l="1"/>
  <c r="M3" i="1"/>
  <c r="U3" i="1" s="1"/>
  <c r="R3" i="1" s="1"/>
  <c r="Q3" i="24"/>
  <c r="N3" i="24"/>
  <c r="O3" i="24"/>
  <c r="J4" i="1" s="1"/>
  <c r="N4" i="1"/>
  <c r="Z3" i="24"/>
  <c r="B12" i="24"/>
  <c r="K4" i="1" s="1"/>
  <c r="N3" i="14"/>
  <c r="O3" i="14"/>
  <c r="J3" i="1" s="1"/>
  <c r="N3" i="1"/>
  <c r="Z3" i="14"/>
  <c r="V3" i="1" l="1"/>
  <c r="P3" i="24"/>
  <c r="L4" i="1" s="1"/>
  <c r="AC4" i="1"/>
  <c r="P3" i="14"/>
  <c r="L3" i="1" s="1"/>
  <c r="AC3" i="1"/>
  <c r="E4" i="1"/>
  <c r="D4" i="1"/>
  <c r="B12" i="14" l="1"/>
  <c r="K3" i="1" s="1"/>
  <c r="H2" i="15"/>
  <c r="E3" i="1" l="1"/>
  <c r="D3" i="1" l="1"/>
  <c r="C3" i="1"/>
  <c r="G2" i="15" l="1"/>
  <c r="F2" i="15"/>
  <c r="I2" i="15" l="1"/>
  <c r="Q3" i="1" s="1"/>
  <c r="W3" i="1" s="1"/>
  <c r="Y3" i="1" l="1"/>
  <c r="X3" i="1"/>
  <c r="T3" i="1"/>
  <c r="K200" i="15"/>
  <c r="Z3" i="1" s="1"/>
</calcChain>
</file>

<file path=xl/sharedStrings.xml><?xml version="1.0" encoding="utf-8"?>
<sst xmlns="http://schemas.openxmlformats.org/spreadsheetml/2006/main" count="105" uniqueCount="42">
  <si>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</si>
  <si>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</si>
  <si>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</si>
  <si>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</si>
  <si>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</si>
  <si>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</si>
  <si>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</si>
  <si>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</si>
  <si>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</si>
  <si>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</si>
  <si>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</si>
  <si>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</si>
  <si>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</si>
  <si>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</si>
  <si>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</si>
  <si>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</si>
  <si>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</si>
  <si>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</si>
  <si>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</si>
  <si>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</si>
  <si>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</si>
  <si>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</si>
  <si>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</si>
  <si>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</si>
  <si>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</si>
  <si>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</si>
  <si>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</si>
  <si>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</si>
  <si>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</si>
  <si>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</si>
  <si>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</si>
  <si>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</si>
  <si>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</si>
  <si>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</si>
  <si>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Liko, dienos</t>
  </si>
  <si>
    <t>Investuota, Eur</t>
  </si>
  <si>
    <t>Vėluoja</t>
  </si>
  <si>
    <t>Vėl./Anks.</t>
  </si>
  <si>
    <t>Inv. data</t>
  </si>
  <si>
    <t>Liko</t>
  </si>
  <si>
    <t>Eur.</t>
  </si>
  <si>
    <t xml:space="preserve">Premijos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</si>
</sst>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Q3" sqref="Q3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5" t="s">
        <v>0</v>
      </c>
      <c r="B1" s="35"/>
      <c r="C1" s="35"/>
      <c r="D1" s="35"/>
      <c r="E1" s="35"/>
      <c r="F1" s="35"/>
      <c r="G1" s="35"/>
      <c r="H1" s="36"/>
      <c r="I1" s="32" t="s">
        <v>30</v>
      </c>
      <c r="J1" s="33"/>
      <c r="K1" s="33"/>
      <c r="L1" s="34"/>
      <c r="M1" s="37" t="s">
        <v>23</v>
      </c>
      <c r="N1" s="37"/>
      <c r="O1" s="37"/>
      <c r="Q1" s="38" t="s">
        <v>22</v>
      </c>
      <c r="R1" s="39"/>
      <c r="S1" s="39"/>
      <c r="T1" s="40"/>
      <c r="U1" s="38" t="s">
        <v>23</v>
      </c>
      <c r="V1" s="40"/>
      <c r="W1" s="32" t="s">
        <v>4</v>
      </c>
      <c r="X1" s="33"/>
      <c r="Y1" s="33"/>
      <c r="Z1" s="34"/>
      <c r="AA1" s="4" t="s">
        <v>25</v>
      </c>
    </row>
    <row r="2" spans="1:29" x14ac:dyDescent="0.25">
      <c r="A2" s="16" t="s">
        <v>33</v>
      </c>
      <c r="B2" s="24" t="s">
        <v>38</v>
      </c>
      <c r="C2" s="4" t="s">
        <v>3</v>
      </c>
      <c r="D2" s="4" t="s">
        <v>15</v>
      </c>
      <c r="E2" s="4" t="s">
        <v>21</v>
      </c>
      <c r="F2" s="4" t="s">
        <v>16</v>
      </c>
      <c r="G2" s="4" t="s">
        <v>5</v>
      </c>
      <c r="H2" s="4" t="s">
        <v>8</v>
      </c>
      <c r="I2" s="4" t="s">
        <v>31</v>
      </c>
      <c r="J2" s="4" t="s">
        <v>32</v>
      </c>
      <c r="K2" s="4" t="s">
        <v>39</v>
      </c>
      <c r="L2" s="4" t="s">
        <v>36</v>
      </c>
      <c r="M2" s="4" t="s">
        <v>0</v>
      </c>
      <c r="N2" s="4" t="s">
        <v>1</v>
      </c>
      <c r="O2" s="4" t="s">
        <v>25</v>
      </c>
      <c r="P2" s="9"/>
      <c r="Q2" s="28" t="s">
        <v>9</v>
      </c>
      <c r="R2" s="28" t="s">
        <v>8</v>
      </c>
      <c r="S2" s="4" t="s">
        <v>41</v>
      </c>
      <c r="T2" s="4" t="s">
        <v>6</v>
      </c>
      <c r="U2" s="24" t="s">
        <v>0</v>
      </c>
      <c r="V2" s="24" t="s">
        <v>1</v>
      </c>
      <c r="W2" s="4" t="s">
        <v>24</v>
      </c>
      <c r="X2" s="4" t="s">
        <v>40</v>
      </c>
      <c r="Y2" s="4" t="s">
        <v>5</v>
      </c>
      <c r="Z2" s="4" t="s">
        <v>26</v>
      </c>
      <c r="AA2" s="4" t="s">
        <v>40</v>
      </c>
      <c r="AC2" s="12" t="s">
        <v>36</v>
      </c>
    </row>
    <row r="3" spans="1:29" x14ac:dyDescent="0.25">
      <c r="A3" s="2">
        <v>1</v>
      </c>
      <c r="B3" s="6">
        <f>'8572f54e...85fb68b6201e'!B9</f>
        <v>0</v>
      </c>
      <c r="C3" s="26">
        <f>'6a67a901...550919b8d681'!B1</f>
        <v>0</v>
      </c>
      <c r="D3" s="2">
        <f>'6a67a901...550919b8d681'!B2</f>
        <v>0</v>
      </c>
      <c r="E3" s="2">
        <f>'6a67a901...550919b8d681'!B3</f>
        <v>0</v>
      </c>
      <c r="F3" s="2" t="str">
        <f>'6a67a901...550919b8d681'!B8</f>
        <v>0 m. 0 mėn. 0 d.</v>
      </c>
      <c r="G3" s="7">
        <f>'6a67a901...550919b8d681'!B15</f>
        <v>0</v>
      </c>
      <c r="H3" s="3">
        <f>'6a67a901...550919b8d681'!B16</f>
        <v>0</v>
      </c>
      <c r="I3" s="6">
        <f>'6a67a901...550919b8d681'!B11</f>
        <v>0</v>
      </c>
      <c r="J3" s="6">
        <f>'6a67a901...550919b8d681'!O3</f>
        <v>0</v>
      </c>
      <c r="K3" s="19" t="str">
        <f ca="1">'6a67a901...550919b8d681'!B12</f>
        <v/>
      </c>
      <c r="L3" s="19" t="str">
        <f ca="1">'6a67a901...550919b8d681'!P3</f>
        <v/>
      </c>
      <c r="M3" s="3">
        <f>'6a67a901...550919b8d681'!K3</f>
        <v>0</v>
      </c>
      <c r="N3" s="3">
        <f>'6a67a901...550919b8d681'!L3</f>
        <v>0</v>
      </c>
      <c r="O3" s="3">
        <f>'6a67a901...550919b8d681'!M3</f>
        <v>0</v>
      </c>
      <c r="P3" s="10"/>
      <c r="Q3" s="29">
        <f>Pinigai!I2</f>
        <v>0</v>
      </c>
      <c r="R3" s="29">
        <f>SUM(H3:H93)-U3</f>
        <v>0</v>
      </c>
      <c r="S3" s="30">
        <f>Pinigai!H2</f>
        <v>0</v>
      </c>
      <c r="T3" s="29">
        <f>W3-R3</f>
        <v>0</v>
      </c>
      <c r="U3" s="29">
        <f>SUM(M3:M93)</f>
        <v>0</v>
      </c>
      <c r="V3" s="29">
        <f>SUM(N3:N93)-AA3</f>
        <v>0</v>
      </c>
      <c r="W3" s="29">
        <f>Q3+V3+S3</f>
        <v>0</v>
      </c>
      <c r="X3" s="29">
        <f>W3-Q3</f>
        <v>0</v>
      </c>
      <c r="Y3" s="31" t="e">
        <f>(W3-Q3)/Q3</f>
        <v>#DIV/0!</v>
      </c>
      <c r="Z3" s="31" t="e">
        <f ca="1">XIRR(Pinigai!K2:K200,Pinigai!A2:A200)</f>
        <v>#NUM!</v>
      </c>
      <c r="AA3" s="29">
        <f>SUM(O3:O93)</f>
        <v>0</v>
      </c>
      <c r="AC3" s="3" t="str">
        <f ca="1">'6a67a901...550919b8d681'!Z3</f>
        <v/>
      </c>
    </row>
    <row r="4" spans="1:29" x14ac:dyDescent="0.25">
      <c r="A4" s="2">
        <v>2</v>
      </c>
      <c r="B4" s="6">
        <f>'8572f54e...85fb68b6201e'!B9</f>
        <v>0</v>
      </c>
      <c r="C4" s="26">
        <f>'8572f54e...85fb68b6201e'!B1</f>
        <v>0</v>
      </c>
      <c r="D4" s="2">
        <f>'8572f54e...85fb68b6201e'!B2</f>
        <v>0</v>
      </c>
      <c r="E4" s="2">
        <f>'8572f54e...85fb68b6201e'!B3</f>
        <v>0</v>
      </c>
      <c r="F4" s="2" t="str">
        <f>'8572f54e...85fb68b6201e'!B8</f>
        <v>0 m. 0 mėn. 0 d.</v>
      </c>
      <c r="G4" s="7">
        <f>'8572f54e...85fb68b6201e'!B15</f>
        <v>0</v>
      </c>
      <c r="H4" s="3">
        <f>'8572f54e...85fb68b6201e'!B16</f>
        <v>0</v>
      </c>
      <c r="I4" s="6">
        <f>'8572f54e...85fb68b6201e'!B11</f>
        <v>0</v>
      </c>
      <c r="J4" s="6">
        <f>'8572f54e...85fb68b6201e'!O3</f>
        <v>0</v>
      </c>
      <c r="K4" s="19" t="str">
        <f ca="1">'8572f54e...85fb68b6201e'!B12</f>
        <v/>
      </c>
      <c r="L4" s="19" t="str">
        <f ca="1">'8572f54e...85fb68b6201e'!P3</f>
        <v/>
      </c>
      <c r="M4" s="3">
        <f>'8572f54e...85fb68b6201e'!K3</f>
        <v>0</v>
      </c>
      <c r="N4" s="3">
        <f>'8572f54e...85fb68b6201e'!L3</f>
        <v>0</v>
      </c>
      <c r="O4" s="3">
        <f>'8572f54e...85fb68b6201e'!M3</f>
        <v>0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'8572f54e...85fb68b6201e'!Z3</f>
        <v/>
      </c>
    </row>
    <row r="5" spans="1:29" x14ac:dyDescent="0.25">
      <c r="A5" s="1"/>
      <c r="B5" s="1"/>
      <c r="C5" s="1"/>
      <c r="D5" s="1"/>
      <c r="E5" s="1"/>
      <c r="F5" s="1"/>
      <c r="G5" s="1"/>
      <c r="H5" s="1"/>
      <c r="I5" s="15"/>
      <c r="J5" s="15"/>
      <c r="K5" s="25"/>
      <c r="L5" s="25"/>
      <c r="M5" s="1"/>
      <c r="N5" s="1"/>
      <c r="O5" s="3"/>
      <c r="AC5" s="1"/>
    </row>
    <row r="6" spans="1:29" x14ac:dyDescent="0.25">
      <c r="A6" s="1"/>
      <c r="B6" s="1"/>
      <c r="C6" s="1"/>
      <c r="D6" s="1"/>
      <c r="E6" s="1"/>
      <c r="F6" s="1"/>
      <c r="G6" s="1"/>
      <c r="H6" s="1"/>
      <c r="I6" s="15"/>
      <c r="J6" s="15"/>
      <c r="K6" s="25"/>
      <c r="L6" s="25"/>
      <c r="M6" s="1"/>
      <c r="N6" s="1"/>
      <c r="O6" s="3"/>
      <c r="AC6" s="1"/>
    </row>
    <row r="7" spans="1:29" x14ac:dyDescent="0.25">
      <c r="A7" s="1"/>
      <c r="B7" s="1"/>
      <c r="C7" s="1"/>
      <c r="D7" s="1"/>
      <c r="E7" s="1"/>
      <c r="F7" s="1"/>
      <c r="G7" s="1"/>
      <c r="H7" s="1"/>
      <c r="I7" s="15"/>
      <c r="J7" s="15"/>
      <c r="K7" s="25"/>
      <c r="L7" s="25"/>
      <c r="M7" s="1"/>
      <c r="N7" s="1"/>
      <c r="O7" s="3"/>
      <c r="AC7" s="1"/>
    </row>
    <row r="8" spans="1:29" x14ac:dyDescent="0.25">
      <c r="A8" s="1"/>
      <c r="B8" s="1"/>
      <c r="C8" s="1"/>
      <c r="D8" s="1"/>
      <c r="E8" s="1"/>
      <c r="F8" s="1"/>
      <c r="G8" s="1"/>
      <c r="H8" s="1"/>
      <c r="I8" s="15"/>
      <c r="J8" s="15"/>
      <c r="K8" s="25"/>
      <c r="L8" s="25"/>
      <c r="M8" s="1"/>
      <c r="N8" s="1"/>
      <c r="O8" s="3"/>
      <c r="AC8" s="1"/>
    </row>
    <row r="9" spans="1:29" x14ac:dyDescent="0.25">
      <c r="A9" s="1"/>
      <c r="B9" s="1"/>
      <c r="C9" s="1"/>
      <c r="D9" s="1"/>
      <c r="E9" s="1"/>
      <c r="F9" s="1"/>
      <c r="G9" s="1"/>
      <c r="H9" s="1"/>
      <c r="I9" s="15"/>
      <c r="J9" s="15"/>
      <c r="K9" s="25"/>
      <c r="L9" s="25"/>
      <c r="M9" s="1"/>
      <c r="N9" s="1"/>
      <c r="O9" s="3"/>
      <c r="AC9" s="1"/>
    </row>
    <row r="10" spans="1:29" x14ac:dyDescent="0.25">
      <c r="A10" s="1"/>
      <c r="B10" s="1"/>
      <c r="C10" s="1"/>
      <c r="D10" s="1"/>
      <c r="E10" s="1"/>
      <c r="F10" s="1"/>
      <c r="G10" s="1"/>
      <c r="H10" s="1"/>
      <c r="I10" s="15"/>
      <c r="J10" s="15"/>
      <c r="K10" s="25"/>
      <c r="L10" s="25"/>
      <c r="M10" s="1"/>
      <c r="N10" s="1"/>
      <c r="O10" s="3"/>
      <c r="AC10" s="1"/>
    </row>
    <row r="11" spans="1:29" x14ac:dyDescent="0.25">
      <c r="A11" s="1"/>
      <c r="B11" s="1"/>
      <c r="C11" s="1"/>
      <c r="D11" s="1"/>
      <c r="E11" s="1"/>
      <c r="F11" s="1"/>
      <c r="G11" s="1"/>
      <c r="H11" s="1"/>
      <c r="I11" s="15"/>
      <c r="J11" s="15"/>
      <c r="K11" s="25"/>
      <c r="L11" s="25"/>
      <c r="M11" s="1"/>
      <c r="N11" s="1"/>
      <c r="O11" s="3"/>
      <c r="AC11" s="1"/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3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3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3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3"/>
      <c r="AC20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0">
    <cfRule type="expression" dxfId="10" priority="15">
      <formula>$AC3="+"</formula>
    </cfRule>
    <cfRule type="expression" dxfId="9" priority="16">
      <formula>AND($M3&gt;0,$H3=$M3)</formula>
    </cfRule>
  </conditionalFormatting>
  <conditionalFormatting sqref="AC3:AC20">
    <cfRule type="expression" dxfId="8" priority="2">
      <formula>AND($M3&gt;0,$H3=$M3)</formula>
    </cfRule>
  </conditionalFormatting>
  <hyperlinks>
    <hyperlink ref="C3" location="'6a67a901...550919b8d681'!A1" display="'6a67a901...550919b8d681'!A1" xr:uid="{87C3E6BC-C2D4-4CD6-83E2-4126641D3546}"/>
    <hyperlink ref="C4" location="'8572f54e...85fb68b6201e'!A1" display="'8572f54e...85fb68b6201e'!A1" xr:uid="{E1A2E8FA-E90A-432F-B098-8C25480A0509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abSelected="1" workbookViewId="0">
      <selection activeCell="B5" sqref="B5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9</v>
      </c>
      <c r="C1" s="12" t="s">
        <v>10</v>
      </c>
      <c r="D1" s="12" t="s">
        <v>7</v>
      </c>
      <c r="F1" s="12" t="s">
        <v>9</v>
      </c>
      <c r="G1" s="12" t="s">
        <v>10</v>
      </c>
      <c r="H1" s="12" t="s">
        <v>7</v>
      </c>
      <c r="I1" s="12" t="s">
        <v>11</v>
      </c>
      <c r="K1" s="12" t="s">
        <v>26</v>
      </c>
    </row>
    <row r="2" spans="1:11" x14ac:dyDescent="0.25">
      <c r="A2" s="6">
        <v>46139</v>
      </c>
      <c r="B2" s="3">
        <v>0</v>
      </c>
      <c r="C2" s="3">
        <v>0</v>
      </c>
      <c r="D2" s="3">
        <v>0</v>
      </c>
      <c r="F2" s="3">
        <f>SUM(B2:B35)</f>
        <v>0</v>
      </c>
      <c r="G2" s="3">
        <f>SUM(C2:C35)</f>
        <v>0</v>
      </c>
      <c r="H2" s="3">
        <f>SUM(D2:D14)</f>
        <v>0</v>
      </c>
      <c r="I2" s="3">
        <f>F2-G2</f>
        <v>0</v>
      </c>
      <c r="K2" s="3">
        <f>B2*-1</f>
        <v>0</v>
      </c>
    </row>
    <row r="3" spans="1:11" x14ac:dyDescent="0.25">
      <c r="A3" s="6"/>
      <c r="B3" s="3"/>
      <c r="C3" s="3"/>
      <c r="D3" s="3"/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46247</v>
      </c>
      <c r="B200" s="1"/>
      <c r="C200" s="1"/>
      <c r="D200" s="1"/>
      <c r="K200" s="3">
        <f>Overview!W3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sheetPr>
    <tabColor rgb="FF92D050"/>
  </sheetPr>
  <dimension ref="A1:Z53"/>
  <sheetViews>
    <sheetView workbookViewId="0">
      <selection activeCell="B15" sqref="B15:B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/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/>
      <c r="D2" s="12" t="s">
        <v>31</v>
      </c>
      <c r="E2" s="12" t="s">
        <v>32</v>
      </c>
      <c r="F2" s="17" t="s">
        <v>37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36</v>
      </c>
      <c r="Q2" s="12" t="s">
        <v>37</v>
      </c>
      <c r="X2" s="12" t="s">
        <v>2</v>
      </c>
      <c r="Y2" s="12" t="s">
        <v>28</v>
      </c>
      <c r="Z2" s="12" t="s">
        <v>36</v>
      </c>
    </row>
    <row r="3" spans="1:26" x14ac:dyDescent="0.25">
      <c r="A3" s="5" t="s">
        <v>18</v>
      </c>
      <c r="B3" s="6"/>
      <c r="D3" s="11"/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e">
        <f>IF(B16=K3,XIRR(Y3:Y52,X3:X52),"")</f>
        <v>#NUM!</v>
      </c>
      <c r="O3" s="6">
        <f>IF(B16=K3,MAX(E:E),"")</f>
        <v>0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0</v>
      </c>
      <c r="Y3" s="3">
        <f>B16*-1</f>
        <v>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/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/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/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/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/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/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Z53"/>
  <sheetViews>
    <sheetView workbookViewId="0">
      <selection activeCell="G13" sqref="G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/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/>
      <c r="D2" s="12" t="s">
        <v>31</v>
      </c>
      <c r="E2" s="12" t="s">
        <v>32</v>
      </c>
      <c r="F2" s="17" t="s">
        <v>37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36</v>
      </c>
      <c r="Q2" s="12" t="s">
        <v>37</v>
      </c>
      <c r="X2" s="12" t="s">
        <v>2</v>
      </c>
      <c r="Y2" s="12" t="s">
        <v>28</v>
      </c>
      <c r="Z2" s="12" t="s">
        <v>36</v>
      </c>
    </row>
    <row r="3" spans="1:26" x14ac:dyDescent="0.25">
      <c r="A3" s="5" t="s">
        <v>18</v>
      </c>
      <c r="B3" s="6"/>
      <c r="D3" s="11"/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e">
        <f>IF(B16=K3,XIRR(Y3:Y52,X3:X52),"")</f>
        <v>#NUM!</v>
      </c>
      <c r="O3" s="6">
        <f>IF(B16=K3,MAX(E:E),"")</f>
        <v>0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0</v>
      </c>
      <c r="Y3" s="3">
        <f>B16*-1</f>
        <v>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/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/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/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/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/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/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Pinigai</vt:lpstr>
      <vt:lpstr>8572f54e...85fb68b6201e</vt:lpstr>
      <vt:lpstr>6a67a901...550919b8d681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2026-08-13T13:06:56Z</dcterms:modified>
</cp:coreProperties>
</file>