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Twino\"/>
    </mc:Choice>
  </mc:AlternateContent>
  <xr:revisionPtr revIDLastSave="0" documentId="13_ncr:1_{97D4E069-6E7F-416D-AB73-9CD69145A73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X0000R1N56" sheetId="25" r:id="rId3"/>
    <sheet name="LVX0000VAUM7" sheetId="24" r:id="rId4"/>
    <sheet name="LVX0000VCV76" sheetId="1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N5" i="1"/>
  <c r="M5" i="1"/>
  <c r="J5" i="1"/>
  <c r="I5" i="1"/>
  <c r="H5" i="1"/>
  <c r="G5" i="1"/>
  <c r="F5" i="1"/>
  <c r="E5" i="1"/>
  <c r="D5" i="1"/>
  <c r="C5" i="1"/>
  <c r="B5" i="1"/>
  <c r="K3" i="15"/>
  <c r="I53" i="25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L3" i="25"/>
  <c r="F3" i="25"/>
  <c r="B3" i="1"/>
  <c r="Z3" i="25" l="1"/>
  <c r="N3" i="25"/>
  <c r="O3" i="25"/>
  <c r="B12" i="25"/>
  <c r="K5" i="1" s="1"/>
  <c r="Q3" i="25"/>
  <c r="P3" i="25" l="1"/>
  <c r="L5" i="1" s="1"/>
  <c r="AC5" i="1"/>
  <c r="A200" i="15"/>
  <c r="K2" i="15"/>
  <c r="F4" i="14"/>
  <c r="I4" i="1" l="1"/>
  <c r="H4" i="1"/>
  <c r="G4" i="1"/>
  <c r="C4" i="1"/>
  <c r="B4" i="1"/>
  <c r="I3" i="1" l="1"/>
  <c r="H3" i="1"/>
  <c r="G3" i="1"/>
  <c r="I53" i="24"/>
  <c r="M3" i="24" s="1"/>
  <c r="O4" i="1" s="1"/>
  <c r="H53" i="24"/>
  <c r="L3" i="24" s="1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L3" i="14" s="1"/>
  <c r="I53" i="14"/>
  <c r="M3" i="14" s="1"/>
  <c r="O3" i="1" s="1"/>
  <c r="G53" i="14"/>
  <c r="K3" i="14" s="1"/>
  <c r="Q3" i="14" s="1"/>
  <c r="B8" i="14"/>
  <c r="F3" i="1" s="1"/>
  <c r="AA3" i="1" l="1"/>
  <c r="M3" i="1"/>
  <c r="U3" i="1" s="1"/>
  <c r="R3" i="1" s="1"/>
  <c r="Q3" i="24"/>
  <c r="N3" i="24"/>
  <c r="O3" i="24"/>
  <c r="J4" i="1" s="1"/>
  <c r="N4" i="1"/>
  <c r="Z3" i="24"/>
  <c r="AC4" i="1" s="1"/>
  <c r="B12" i="24"/>
  <c r="N3" i="14"/>
  <c r="O3" i="14"/>
  <c r="J3" i="1" s="1"/>
  <c r="N3" i="1"/>
  <c r="Z3" i="14"/>
  <c r="AC3" i="1" s="1"/>
  <c r="K4" i="1" l="1"/>
  <c r="V3" i="1"/>
  <c r="P3" i="24"/>
  <c r="L4" i="1" s="1"/>
  <c r="P3" i="14"/>
  <c r="L3" i="1" s="1"/>
  <c r="E4" i="1"/>
  <c r="D4" i="1"/>
  <c r="B12" i="14" l="1"/>
  <c r="K3" i="1" s="1"/>
  <c r="H2" i="15"/>
  <c r="S3" i="1" s="1"/>
  <c r="E3" i="1" l="1"/>
  <c r="D3" i="1" l="1"/>
  <c r="C3" i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<sst xmlns="http://schemas.openxmlformats.org/spreadsheetml/2006/main" count="148" uniqueCount="48">
  <si>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</si>
  <si>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</si>
  <si>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</si>
  <si>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</si>
  <si>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</si>
  <si>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</si>
  <si>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</si>
  <si>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</si>
  <si>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</si>
  <si>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</si>
  <si>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</si>
  <si>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</si>
  <si>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</si>
  <si>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</si>
  <si>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</si>
  <si>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</si>
  <si>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</si>
  <si>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</si>
  <si>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</si>
  <si>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</si>
  <si>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</si>
  <si>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</si>
  <si>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</si>
  <si>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</si>
  <si>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</si>
  <si>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</si>
  <si>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</si>
  <si>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</si>
  <si>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</si>
  <si>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</si>
  <si>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</si>
  <si>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</si>
  <si>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</si>
  <si>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</si>
  <si>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</si>
  <si>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</si>
  <si>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</si>
  <si>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</si>
  <si>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</si>
  <si>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</si>
  <si>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</si>
  <si>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 xml:space="preserve">Premijos </t>
  </si>
  <si>
    <t>LVX0000VCV76</t>
  </si>
  <si>
    <t>Poland</t>
  </si>
  <si>
    <t>Fincard Sp. z.o.o.</t>
  </si>
  <si>
    <t>Loan (Asset Backed Securities)</t>
  </si>
  <si>
    <t>LVX0000VAUM7</t>
  </si>
  <si>
    <t>LVX0000R1N56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</si>
</sst>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0"/>
      <color rgb="FF181D27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AAB2CB-F6D7-42C3-83F4-EA727B53D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6"/>
      <c r="C1" s="36"/>
      <c r="D1" s="36"/>
      <c r="E1" s="36"/>
      <c r="F1" s="36"/>
      <c r="G1" s="36"/>
      <c r="H1" s="37"/>
      <c r="I1" s="33" t="s">
        <v>30</v>
      </c>
      <c r="J1" s="34"/>
      <c r="K1" s="34"/>
      <c r="L1" s="35"/>
      <c r="M1" s="38" t="s">
        <v>23</v>
      </c>
      <c r="N1" s="38"/>
      <c r="O1" s="38"/>
      <c r="Q1" s="39" t="s">
        <v>22</v>
      </c>
      <c r="R1" s="40"/>
      <c r="S1" s="40"/>
      <c r="T1" s="41"/>
      <c r="U1" s="39" t="s">
        <v>23</v>
      </c>
      <c r="V1" s="41"/>
      <c r="W1" s="33" t="s">
        <v>4</v>
      </c>
      <c r="X1" s="34"/>
      <c r="Y1" s="34"/>
      <c r="Z1" s="35"/>
      <c r="AA1" s="4" t="s">
        <v>25</v>
      </c>
    </row>
    <row r="2" spans="1:29" x14ac:dyDescent="0.25">
      <c r="A2" s="16" t="s">
        <v>33</v>
      </c>
      <c r="B2" s="24" t="s">
        <v>38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39</v>
      </c>
      <c r="L2" s="4" t="s">
        <v>36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41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40</v>
      </c>
      <c r="Y2" s="4" t="s">
        <v>5</v>
      </c>
      <c r="Z2" s="4" t="s">
        <v>26</v>
      </c>
      <c r="AA2" s="4" t="s">
        <v>40</v>
      </c>
      <c r="AC2" s="12" t="s">
        <v>36</v>
      </c>
    </row>
    <row r="3" spans="1:29" x14ac:dyDescent="0.25">
      <c r="A3" s="2">
        <v>1</v>
      </c>
      <c r="B3" s="6">
        <f>LVX0000VCV76!B9</f>
        <v>46251</v>
      </c>
      <c r="C3" s="26" t="str">
        <f>LVX0000VCV76!B1</f>
        <v>LVX0000VCV76</v>
      </c>
      <c r="D3" s="2" t="str">
        <f>LVX0000VCV76!B2</f>
        <v>Poland</v>
      </c>
      <c r="E3" s="2" t="str">
        <f>LVX0000VCV76!B3</f>
        <v>Fincard Sp. z.o.o.</v>
      </c>
      <c r="F3" s="2" t="str">
        <f>LVX0000VCV76!B8</f>
        <v>0 m. 11 mėn. 23 d.</v>
      </c>
      <c r="G3" s="7">
        <f>LVX0000VCV76!B15</f>
        <v>0.12</v>
      </c>
      <c r="H3" s="3">
        <f>LVX0000VCV76!B16</f>
        <v>10</v>
      </c>
      <c r="I3" s="6">
        <f>LVX0000VCV76!B11</f>
        <v>46608</v>
      </c>
      <c r="J3" s="6" t="str">
        <f>LVX0000VCV76!O3</f>
        <v/>
      </c>
      <c r="K3" s="19">
        <f ca="1">LVX0000VCV76!B12</f>
        <v>342</v>
      </c>
      <c r="L3" s="19" t="str">
        <f ca="1">LVX0000VCV76!P3</f>
        <v/>
      </c>
      <c r="M3" s="3">
        <f>LVX0000VCV76!K3</f>
        <v>0</v>
      </c>
      <c r="N3" s="3">
        <f>LVX0000VCV76!L3</f>
        <v>0</v>
      </c>
      <c r="O3" s="3">
        <f>LVX0000VCV76!M3</f>
        <v>0</v>
      </c>
      <c r="P3" s="10"/>
      <c r="Q3" s="29">
        <f>Pinigai!I2</f>
        <v>30</v>
      </c>
      <c r="R3" s="29">
        <f>SUM(H3:H93)-U3</f>
        <v>30</v>
      </c>
      <c r="S3" s="30">
        <f>Pinigai!H2</f>
        <v>0</v>
      </c>
      <c r="T3" s="29">
        <f>W3-R3</f>
        <v>3.0000000000001137E-2</v>
      </c>
      <c r="U3" s="29">
        <f>SUM(M3:M93)</f>
        <v>0</v>
      </c>
      <c r="V3" s="29">
        <f>SUM(N3:N93)-AA3</f>
        <v>0.03</v>
      </c>
      <c r="W3" s="29">
        <f>Q3+V3+S3</f>
        <v>30.03</v>
      </c>
      <c r="X3" s="29">
        <f>W3-Q3</f>
        <v>3.0000000000001137E-2</v>
      </c>
      <c r="Y3" s="31">
        <f>(W3-Q3)/Q3</f>
        <v>1.000000000000038E-3</v>
      </c>
      <c r="Z3" s="31">
        <f ca="1">XIRR(Pinigai!K2:K200,Pinigai!A2:A200)</f>
        <v>2.2494205832481386E-2</v>
      </c>
      <c r="AA3" s="29">
        <f>SUM(O3:O93)</f>
        <v>0.01</v>
      </c>
      <c r="AC3" s="3" t="str">
        <f ca="1">LVX0000VCV76!Z3</f>
        <v/>
      </c>
    </row>
    <row r="4" spans="1:29" x14ac:dyDescent="0.25">
      <c r="A4" s="2">
        <v>2</v>
      </c>
      <c r="B4" s="6">
        <f>LVX0000VAUM7!B9</f>
        <v>46251</v>
      </c>
      <c r="C4" s="26" t="str">
        <f>LVX0000VAUM7!B1</f>
        <v>LVX0000VAUM7</v>
      </c>
      <c r="D4" s="2" t="str">
        <f>LVX0000VAUM7!B2</f>
        <v>Poland</v>
      </c>
      <c r="E4" s="2" t="str">
        <f>LVX0000VAUM7!B3</f>
        <v>Fincard Sp. z.o.o.</v>
      </c>
      <c r="F4" s="2" t="str">
        <f>LVX0000VAUM7!B8</f>
        <v>0 m. 5 mėn. 16 d.</v>
      </c>
      <c r="G4" s="7">
        <f>LVX0000VAUM7!B15</f>
        <v>0.1</v>
      </c>
      <c r="H4" s="3">
        <f>LVX0000VAUM7!B16</f>
        <v>10</v>
      </c>
      <c r="I4" s="6">
        <f>LVX0000VAUM7!B11</f>
        <v>46420</v>
      </c>
      <c r="J4" s="6" t="str">
        <f>LVX0000VAUM7!O3</f>
        <v/>
      </c>
      <c r="K4" s="19">
        <f ca="1">LVX0000VAUM7!B12</f>
        <v>154</v>
      </c>
      <c r="L4" s="19" t="str">
        <f ca="1">LVX0000VAUM7!P3</f>
        <v/>
      </c>
      <c r="M4" s="3">
        <f>LVX0000VAUM7!K3</f>
        <v>0</v>
      </c>
      <c r="N4" s="3">
        <f>LVX0000VAUM7!L3</f>
        <v>0.04</v>
      </c>
      <c r="O4" s="3">
        <f>LVX0000VAUM7!M3</f>
        <v>0.01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LVX0000VAUM7!Z3</f>
        <v/>
      </c>
    </row>
    <row r="5" spans="1:29" x14ac:dyDescent="0.25">
      <c r="A5" s="2">
        <v>3</v>
      </c>
      <c r="B5" s="6">
        <f>LVX0000R1N56!B9</f>
        <v>46251</v>
      </c>
      <c r="C5" s="26" t="str">
        <f>LVX0000R1N56!B1</f>
        <v>LVX0000R1N56</v>
      </c>
      <c r="D5" s="2" t="str">
        <f>LVX0000R1N56!B2</f>
        <v>Poland</v>
      </c>
      <c r="E5" s="2" t="str">
        <f>LVX0000R1N56!B3</f>
        <v>Fincard Sp. z.o.o.</v>
      </c>
      <c r="F5" s="2" t="str">
        <f>LVX0000R1N56!B8</f>
        <v>0 m. 3 mėn. 21 d.</v>
      </c>
      <c r="G5" s="7">
        <f>LVX0000R1N56!B15</f>
        <v>0.12</v>
      </c>
      <c r="H5" s="3">
        <f>LVX0000R1N56!B16</f>
        <v>10</v>
      </c>
      <c r="I5" s="6">
        <f>LVX0000R1N56!B11</f>
        <v>46364</v>
      </c>
      <c r="J5" s="6" t="str">
        <f>LVX0000R1N56!O3</f>
        <v/>
      </c>
      <c r="K5" s="19">
        <f ca="1">LVX0000R1N56!B12</f>
        <v>98</v>
      </c>
      <c r="L5" s="19" t="str">
        <f ca="1">LVX0000R1N56!P3</f>
        <v/>
      </c>
      <c r="M5" s="3">
        <f>LVX0000R1N56!K3</f>
        <v>0</v>
      </c>
      <c r="N5" s="3">
        <f>LVX0000R1N56!L3</f>
        <v>0</v>
      </c>
      <c r="O5" s="3">
        <f>LVX0000R1N56!M3</f>
        <v>0</v>
      </c>
      <c r="P5" s="10"/>
      <c r="Q5" s="10"/>
      <c r="R5" s="10"/>
      <c r="S5" s="10"/>
      <c r="T5" s="10"/>
      <c r="U5" s="10"/>
      <c r="V5" s="10"/>
      <c r="W5" s="10"/>
      <c r="X5" s="10"/>
      <c r="Y5" s="20"/>
      <c r="Z5" s="20"/>
      <c r="AA5" s="20"/>
      <c r="AC5" s="3" t="str">
        <f ca="1">LVX0000R1N56!Z3</f>
        <v/>
      </c>
    </row>
    <row r="6" spans="1:29" x14ac:dyDescent="0.25">
      <c r="A6" s="1"/>
      <c r="B6" s="1"/>
      <c r="C6" s="1"/>
      <c r="D6" s="1"/>
      <c r="E6" s="1"/>
      <c r="F6" s="1"/>
      <c r="G6" s="1"/>
      <c r="H6" s="1"/>
      <c r="I6" s="15"/>
      <c r="J6" s="15"/>
      <c r="K6" s="25"/>
      <c r="L6" s="25"/>
      <c r="M6" s="1"/>
      <c r="N6" s="1"/>
      <c r="O6" s="3"/>
      <c r="AC6" s="1"/>
    </row>
    <row r="7" spans="1:29" x14ac:dyDescent="0.25">
      <c r="A7" s="1"/>
      <c r="B7" s="1"/>
      <c r="C7" s="1"/>
      <c r="D7" s="1"/>
      <c r="E7" s="1"/>
      <c r="F7" s="1"/>
      <c r="G7" s="1"/>
      <c r="H7" s="1"/>
      <c r="I7" s="15"/>
      <c r="J7" s="15"/>
      <c r="K7" s="25"/>
      <c r="L7" s="25"/>
      <c r="M7" s="1"/>
      <c r="N7" s="1"/>
      <c r="O7" s="3"/>
      <c r="AC7" s="1"/>
    </row>
    <row r="8" spans="1:29" x14ac:dyDescent="0.25">
      <c r="A8" s="1"/>
      <c r="B8" s="1"/>
      <c r="C8" s="1"/>
      <c r="D8" s="1"/>
      <c r="E8" s="1"/>
      <c r="F8" s="1"/>
      <c r="G8" s="1"/>
      <c r="H8" s="1"/>
      <c r="I8" s="15"/>
      <c r="J8" s="15"/>
      <c r="K8" s="25"/>
      <c r="L8" s="25"/>
      <c r="M8" s="1"/>
      <c r="N8" s="1"/>
      <c r="O8" s="3"/>
      <c r="AC8" s="1"/>
    </row>
    <row r="9" spans="1:29" x14ac:dyDescent="0.25">
      <c r="A9" s="1"/>
      <c r="B9" s="1"/>
      <c r="C9" s="1"/>
      <c r="D9" s="1"/>
      <c r="E9" s="1"/>
      <c r="F9" s="1"/>
      <c r="G9" s="1"/>
      <c r="H9" s="1"/>
      <c r="I9" s="15"/>
      <c r="J9" s="15"/>
      <c r="K9" s="25"/>
      <c r="L9" s="25"/>
      <c r="M9" s="1"/>
      <c r="N9" s="1"/>
      <c r="O9" s="3"/>
      <c r="AC9" s="1"/>
    </row>
    <row r="10" spans="1:29" x14ac:dyDescent="0.25">
      <c r="A10" s="1"/>
      <c r="B10" s="1"/>
      <c r="C10" s="1"/>
      <c r="D10" s="1"/>
      <c r="E10" s="1"/>
      <c r="F10" s="1"/>
      <c r="G10" s="1"/>
      <c r="H10" s="1"/>
      <c r="I10" s="15"/>
      <c r="J10" s="15"/>
      <c r="K10" s="25"/>
      <c r="L10" s="25"/>
      <c r="M10" s="1"/>
      <c r="N10" s="1"/>
      <c r="O10" s="3"/>
      <c r="AC10" s="1"/>
    </row>
    <row r="11" spans="1:29" x14ac:dyDescent="0.25">
      <c r="A11" s="1"/>
      <c r="B11" s="1"/>
      <c r="C11" s="1"/>
      <c r="D11" s="1"/>
      <c r="E11" s="1"/>
      <c r="F11" s="1"/>
      <c r="G11" s="1"/>
      <c r="H11" s="1"/>
      <c r="I11" s="15"/>
      <c r="J11" s="15"/>
      <c r="K11" s="25"/>
      <c r="L11" s="25"/>
      <c r="M11" s="1"/>
      <c r="N11" s="1"/>
      <c r="O11" s="3"/>
      <c r="AC11" s="1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0">
    <cfRule type="expression" dxfId="14" priority="15">
      <formula>$AC3="+"</formula>
    </cfRule>
    <cfRule type="expression" dxfId="13" priority="16">
      <formula>AND($M3&gt;0,$H3=$M3)</formula>
    </cfRule>
  </conditionalFormatting>
  <conditionalFormatting sqref="AC3:AC20">
    <cfRule type="expression" dxfId="12" priority="2">
      <formula>AND($M3&gt;0,$H3=$M3)</formula>
    </cfRule>
  </conditionalFormatting>
  <hyperlinks>
    <hyperlink ref="C3" location="LVX0000VCV76!A1" display="LVX0000VCV76!A1" xr:uid="{87C3E6BC-C2D4-4CD6-83E2-4126641D3546}"/>
    <hyperlink ref="C4" location="LVX0000VAUM7!A1" display="LVX0000VAUM7!A1" xr:uid="{E1A2E8FA-E90A-432F-B098-8C25480A0509}"/>
    <hyperlink ref="C5" location="LVX0000R1N56!A1" display="LVX0000R1N56!A1" xr:uid="{2D7EBEF7-055C-4CFF-9B59-7A31AE2C2A58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" sqref="K2:K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46249</v>
      </c>
      <c r="B2" s="3">
        <v>21</v>
      </c>
      <c r="C2" s="3">
        <v>0</v>
      </c>
      <c r="D2" s="3">
        <v>0</v>
      </c>
      <c r="F2" s="3">
        <f>SUM(B2:B35)</f>
        <v>30</v>
      </c>
      <c r="G2" s="3">
        <f>SUM(C2:C35)</f>
        <v>0</v>
      </c>
      <c r="H2" s="3">
        <f>SUM(D2:D14)</f>
        <v>0</v>
      </c>
      <c r="I2" s="3">
        <f>F2-G2</f>
        <v>30</v>
      </c>
      <c r="K2" s="3">
        <f>B2*-1</f>
        <v>-21</v>
      </c>
    </row>
    <row r="3" spans="1:11" x14ac:dyDescent="0.25">
      <c r="A3" s="6">
        <v>46251</v>
      </c>
      <c r="B3" s="3">
        <v>9</v>
      </c>
      <c r="C3" s="3">
        <v>0</v>
      </c>
      <c r="D3" s="3">
        <v>0</v>
      </c>
      <c r="K3" s="3">
        <f>B3*-1</f>
        <v>-9</v>
      </c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46266</v>
      </c>
      <c r="B200" s="1"/>
      <c r="C200" s="1"/>
      <c r="D200" s="1"/>
      <c r="K200" s="3">
        <f>Overview!W3</f>
        <v>30.03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DB2E-6C81-42D7-8E68-07FF0DC0B8B7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15</v>
      </c>
      <c r="B2" s="6" t="s">
        <v>43</v>
      </c>
      <c r="D2" s="12" t="s">
        <v>31</v>
      </c>
      <c r="E2" s="12" t="s">
        <v>32</v>
      </c>
      <c r="F2" s="17" t="s">
        <v>37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36</v>
      </c>
      <c r="Q2" s="12" t="s">
        <v>37</v>
      </c>
      <c r="X2" s="12" t="s">
        <v>2</v>
      </c>
      <c r="Y2" s="12" t="s">
        <v>28</v>
      </c>
      <c r="Z2" s="12" t="s">
        <v>36</v>
      </c>
    </row>
    <row r="3" spans="1:26" x14ac:dyDescent="0.25">
      <c r="A3" s="5" t="s">
        <v>18</v>
      </c>
      <c r="B3" s="32" t="s">
        <v>44</v>
      </c>
      <c r="D3" s="11">
        <v>46273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46251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45</v>
      </c>
      <c r="D4" s="11">
        <v>46303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46334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46364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21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46251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46001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46364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9">
        <f ca="1">IF(B16&lt;&gt;K3,(TODAY()-B11)*-1,"")</f>
        <v>98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15</v>
      </c>
      <c r="B2" s="6" t="s">
        <v>43</v>
      </c>
      <c r="D2" s="12" t="s">
        <v>31</v>
      </c>
      <c r="E2" s="12" t="s">
        <v>32</v>
      </c>
      <c r="F2" s="17" t="s">
        <v>37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36</v>
      </c>
      <c r="Q2" s="12" t="s">
        <v>37</v>
      </c>
      <c r="X2" s="12" t="s">
        <v>2</v>
      </c>
      <c r="Y2" s="12" t="s">
        <v>28</v>
      </c>
      <c r="Z2" s="12" t="s">
        <v>36</v>
      </c>
    </row>
    <row r="3" spans="1:26" x14ac:dyDescent="0.25">
      <c r="A3" s="5" t="s">
        <v>18</v>
      </c>
      <c r="B3" s="32" t="s">
        <v>44</v>
      </c>
      <c r="D3" s="11">
        <v>46267</v>
      </c>
      <c r="E3" s="6">
        <v>46266</v>
      </c>
      <c r="F3" s="19">
        <f>IF(E3&gt;0,E3-D3,"")</f>
        <v>-1</v>
      </c>
      <c r="G3" s="3">
        <v>0</v>
      </c>
      <c r="H3" s="3">
        <v>0.04</v>
      </c>
      <c r="I3" s="3">
        <v>0.01</v>
      </c>
      <c r="J3" s="14"/>
      <c r="K3" s="3">
        <f>G53</f>
        <v>0</v>
      </c>
      <c r="L3" s="3">
        <f>H53</f>
        <v>0.04</v>
      </c>
      <c r="M3" s="3">
        <f>I53</f>
        <v>0.01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46251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45</v>
      </c>
      <c r="D4" s="11">
        <v>46297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46266</v>
      </c>
      <c r="Y4" s="3">
        <f>G3+H3-I3</f>
        <v>0.03</v>
      </c>
    </row>
    <row r="5" spans="1:26" x14ac:dyDescent="0.25">
      <c r="A5" s="5"/>
      <c r="B5" s="6"/>
      <c r="D5" s="11">
        <v>46328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46358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>
        <v>46389</v>
      </c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5 mėn. 16 d.</v>
      </c>
      <c r="D8" s="11">
        <v>46420</v>
      </c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46251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46420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9">
        <f ca="1">IF(B16&lt;&gt;K3,(TODAY()-B11)*-1,"")</f>
        <v>154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0.04</v>
      </c>
      <c r="I53" s="3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B2" sqref="B2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42</v>
      </c>
      <c r="D1" s="33" t="s">
        <v>2</v>
      </c>
      <c r="E1" s="34"/>
      <c r="F1" s="35"/>
      <c r="G1" s="33" t="s">
        <v>0</v>
      </c>
      <c r="H1" s="34"/>
      <c r="I1" s="35"/>
      <c r="J1" s="16"/>
      <c r="K1" s="33" t="s">
        <v>27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15</v>
      </c>
      <c r="B2" s="6" t="s">
        <v>43</v>
      </c>
      <c r="D2" s="12" t="s">
        <v>31</v>
      </c>
      <c r="E2" s="12" t="s">
        <v>32</v>
      </c>
      <c r="F2" s="17" t="s">
        <v>37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36</v>
      </c>
      <c r="Q2" s="12" t="s">
        <v>37</v>
      </c>
      <c r="X2" s="12" t="s">
        <v>2</v>
      </c>
      <c r="Y2" s="12" t="s">
        <v>28</v>
      </c>
      <c r="Z2" s="12" t="s">
        <v>36</v>
      </c>
    </row>
    <row r="3" spans="1:26" x14ac:dyDescent="0.25">
      <c r="A3" s="5" t="s">
        <v>18</v>
      </c>
      <c r="B3" s="32" t="s">
        <v>44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46251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45</v>
      </c>
      <c r="D4" s="11">
        <v>46304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46335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>
        <v>46365</v>
      </c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>
        <v>46396</v>
      </c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11 mėn. 23 d.</v>
      </c>
      <c r="D8" s="11">
        <v>46427</v>
      </c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46251</v>
      </c>
      <c r="D9" s="11">
        <v>46455</v>
      </c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>
        <v>46486</v>
      </c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46608</v>
      </c>
      <c r="D11" s="11">
        <v>46516</v>
      </c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9">
        <f ca="1">IF(B16&lt;&gt;K3,(TODAY()-B11)*-1,"")</f>
        <v>342</v>
      </c>
      <c r="D12" s="11">
        <v>46547</v>
      </c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>
        <v>46577</v>
      </c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>
        <v>46608</v>
      </c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Pinigai</vt:lpstr>
      <vt:lpstr>LVX0000R1N56</vt:lpstr>
      <vt:lpstr>LVX0000VAUM7</vt:lpstr>
      <vt:lpstr>LVX0000VCV76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2026-09-01T07:32:04Z</dcterms:modified>
</cp:coreProperties>
</file>